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4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onti/GitHub/def/Codelist Excel Files and Conversion Templates to XML/"/>
    </mc:Choice>
  </mc:AlternateContent>
  <xr:revisionPtr revIDLastSave="0" documentId="13_ncr:1_{474F6E48-CF2A-C943-ACE8-D158CD70448C}" xr6:coauthVersionLast="47" xr6:coauthVersionMax="47" xr10:uidLastSave="{00000000-0000-0000-0000-000000000000}"/>
  <bookViews>
    <workbookView xWindow="9200" yWindow="3280" windowWidth="39400" windowHeight="24940" tabRatio="500" activeTab="4" xr2:uid="{00000000-000D-0000-FFFF-FFFF00000000}"/>
  </bookViews>
  <sheets>
    <sheet name="DictionaryName" sheetId="3" r:id="rId1"/>
    <sheet name="Definitions" sheetId="1" r:id="rId2"/>
    <sheet name="AssociatedElements" sheetId="2" r:id="rId3"/>
    <sheet name="AlternateNames" sheetId="6" r:id="rId4"/>
    <sheet name="Lis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7" i="2"/>
  <c r="A28" i="2"/>
  <c r="A29" i="2"/>
  <c r="A30" i="2"/>
  <c r="A31" i="2"/>
  <c r="A32" i="2"/>
  <c r="A33" i="2"/>
  <c r="A34" i="2"/>
  <c r="A35" i="2"/>
  <c r="A36" i="2"/>
  <c r="A37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" i="6"/>
  <c r="A2" i="2"/>
</calcChain>
</file>

<file path=xl/sharedStrings.xml><?xml version="1.0" encoding="utf-8"?>
<sst xmlns="http://schemas.openxmlformats.org/spreadsheetml/2006/main" count="267" uniqueCount="250">
  <si>
    <t>Description</t>
  </si>
  <si>
    <t>double</t>
  </si>
  <si>
    <t>length</t>
  </si>
  <si>
    <t>pressure</t>
  </si>
  <si>
    <t>string</t>
  </si>
  <si>
    <t>force</t>
  </si>
  <si>
    <t>force per volume</t>
  </si>
  <si>
    <t>Dictionary ID</t>
  </si>
  <si>
    <t>Name</t>
  </si>
  <si>
    <t>Authority</t>
  </si>
  <si>
    <t>dimensionless</t>
  </si>
  <si>
    <t>plane angle</t>
  </si>
  <si>
    <t>volume per volume</t>
  </si>
  <si>
    <t>Start</t>
  </si>
  <si>
    <t>DictionaryName</t>
  </si>
  <si>
    <t>area per time</t>
  </si>
  <si>
    <t>electric conductivity</t>
  </si>
  <si>
    <t>mass per volume</t>
  </si>
  <si>
    <t>force per force</t>
  </si>
  <si>
    <t>length per length</t>
  </si>
  <si>
    <t>electrical resistivity</t>
  </si>
  <si>
    <t>time per length</t>
  </si>
  <si>
    <t>thermodynamic temperature</t>
  </si>
  <si>
    <t>length per time</t>
  </si>
  <si>
    <t>electric potential difference</t>
  </si>
  <si>
    <t>time</t>
  </si>
  <si>
    <t>absorbed dose</t>
  </si>
  <si>
    <t>amount of substance</t>
  </si>
  <si>
    <t>amount of substance per amount of substance</t>
  </si>
  <si>
    <t>amount of substance per area</t>
  </si>
  <si>
    <t>amount of substance per time</t>
  </si>
  <si>
    <t>amount of substance per volume</t>
  </si>
  <si>
    <t>angle per length</t>
  </si>
  <si>
    <t>angle per volume</t>
  </si>
  <si>
    <t>angular acceleration</t>
  </si>
  <si>
    <t>angular velocity</t>
  </si>
  <si>
    <t>area</t>
  </si>
  <si>
    <t>area per amount of substance</t>
  </si>
  <si>
    <t>area per area</t>
  </si>
  <si>
    <t>area per mass</t>
  </si>
  <si>
    <t>area per volume</t>
  </si>
  <si>
    <t>attenuation per frequency interval</t>
  </si>
  <si>
    <t>capacitance</t>
  </si>
  <si>
    <t>data transfer speed</t>
  </si>
  <si>
    <t>diffusion coefficient</t>
  </si>
  <si>
    <t>digital storage</t>
  </si>
  <si>
    <t>dipole moment</t>
  </si>
  <si>
    <t>dose equivalent</t>
  </si>
  <si>
    <t>dynamic viscosity</t>
  </si>
  <si>
    <t>electric charge</t>
  </si>
  <si>
    <t>electric charge per area</t>
  </si>
  <si>
    <t>electric charge per mass</t>
  </si>
  <si>
    <t>electric charge per volume</t>
  </si>
  <si>
    <t>electric conductance</t>
  </si>
  <si>
    <t>electric current</t>
  </si>
  <si>
    <t>electric current density</t>
  </si>
  <si>
    <t>electric field strength</t>
  </si>
  <si>
    <t>electric resistance</t>
  </si>
  <si>
    <t>electric resistance per length</t>
  </si>
  <si>
    <t>electromagnetic moment</t>
  </si>
  <si>
    <t>energy</t>
  </si>
  <si>
    <t>energy length per area</t>
  </si>
  <si>
    <t>energy length per time area temperature</t>
  </si>
  <si>
    <t>energy per area</t>
  </si>
  <si>
    <t>energy per length</t>
  </si>
  <si>
    <t>energy per mass</t>
  </si>
  <si>
    <t>energy per volume</t>
  </si>
  <si>
    <t>force area</t>
  </si>
  <si>
    <t>force length per length</t>
  </si>
  <si>
    <t>force per length</t>
  </si>
  <si>
    <t>frequency</t>
  </si>
  <si>
    <t>frequency interval</t>
  </si>
  <si>
    <t>heat capacity</t>
  </si>
  <si>
    <t>heat flow rate</t>
  </si>
  <si>
    <t>heat transfer coefficient</t>
  </si>
  <si>
    <t>illuminance</t>
  </si>
  <si>
    <t>inductance</t>
  </si>
  <si>
    <t>isothermal compressibility</t>
  </si>
  <si>
    <t>kinematic viscosity</t>
  </si>
  <si>
    <t>length per mass</t>
  </si>
  <si>
    <t>length per pressure</t>
  </si>
  <si>
    <t>length per temperature</t>
  </si>
  <si>
    <t>length per volume</t>
  </si>
  <si>
    <t>light exposure</t>
  </si>
  <si>
    <t>linear acceleration</t>
  </si>
  <si>
    <t>linear thermal expansion</t>
  </si>
  <si>
    <t>logarithmic power ratio</t>
  </si>
  <si>
    <t>logarithmic power ratio per length</t>
  </si>
  <si>
    <t>luminance</t>
  </si>
  <si>
    <t>luminous efficacy</t>
  </si>
  <si>
    <t>luminous flux</t>
  </si>
  <si>
    <t>luminous intensity</t>
  </si>
  <si>
    <t>magnetic dipole moment</t>
  </si>
  <si>
    <t>magnetic field strength</t>
  </si>
  <si>
    <t>magnetic flux</t>
  </si>
  <si>
    <t>magnetic flux density</t>
  </si>
  <si>
    <t>magnetic flux density per length</t>
  </si>
  <si>
    <t>magnetic permeability</t>
  </si>
  <si>
    <t>magnetic vector potential</t>
  </si>
  <si>
    <t>mass</t>
  </si>
  <si>
    <t>mass length</t>
  </si>
  <si>
    <t>mass per area</t>
  </si>
  <si>
    <t>mass per energy</t>
  </si>
  <si>
    <t>mass per length</t>
  </si>
  <si>
    <t>mass per mass</t>
  </si>
  <si>
    <t>mass per time</t>
  </si>
  <si>
    <t>mobility</t>
  </si>
  <si>
    <t>molar energy</t>
  </si>
  <si>
    <t>molar heat capacity</t>
  </si>
  <si>
    <t>molar volume</t>
  </si>
  <si>
    <t>molecular weight</t>
  </si>
  <si>
    <t>moment of force</t>
  </si>
  <si>
    <t>moment of inertia</t>
  </si>
  <si>
    <t>momentum</t>
  </si>
  <si>
    <t>normalized power</t>
  </si>
  <si>
    <t>permeability length</t>
  </si>
  <si>
    <t>permeability rock</t>
  </si>
  <si>
    <t>permittivity</t>
  </si>
  <si>
    <t>potential difference per power drop</t>
  </si>
  <si>
    <t>power</t>
  </si>
  <si>
    <t>power per area</t>
  </si>
  <si>
    <t>power per power</t>
  </si>
  <si>
    <t>power per volume</t>
  </si>
  <si>
    <t>pressure per time</t>
  </si>
  <si>
    <t>pressure per volume</t>
  </si>
  <si>
    <t>pressure squared</t>
  </si>
  <si>
    <t>pressure time per volume</t>
  </si>
  <si>
    <t>quantity of light</t>
  </si>
  <si>
    <t>radiance</t>
  </si>
  <si>
    <t>radiant intensity</t>
  </si>
  <si>
    <t>reciprocal area</t>
  </si>
  <si>
    <t>reciprocal electric potential difference</t>
  </si>
  <si>
    <t>reciprocal force</t>
  </si>
  <si>
    <t>reciprocal length</t>
  </si>
  <si>
    <t>reciprocal mass</t>
  </si>
  <si>
    <t>reciprocal pressure</t>
  </si>
  <si>
    <t>reciprocal time</t>
  </si>
  <si>
    <t>reciprocal volume</t>
  </si>
  <si>
    <t>reluctance</t>
  </si>
  <si>
    <t>second moment of area</t>
  </si>
  <si>
    <t>signaling event per time</t>
  </si>
  <si>
    <t>solid angle</t>
  </si>
  <si>
    <t>specific heat capacity</t>
  </si>
  <si>
    <t>temperature interval</t>
  </si>
  <si>
    <t>temperature interval per length</t>
  </si>
  <si>
    <t>temperature interval per pressure</t>
  </si>
  <si>
    <t>temperature interval per time</t>
  </si>
  <si>
    <t>thermal conductance</t>
  </si>
  <si>
    <t>thermal conductivity</t>
  </si>
  <si>
    <t>thermal diffusivity</t>
  </si>
  <si>
    <t>thermal insulance</t>
  </si>
  <si>
    <t>thermal resistance</t>
  </si>
  <si>
    <t>time per mass</t>
  </si>
  <si>
    <t>time per time</t>
  </si>
  <si>
    <t>time per volume</t>
  </si>
  <si>
    <t>volume</t>
  </si>
  <si>
    <t>volume flow rate per volume flow rate</t>
  </si>
  <si>
    <t>volume per area</t>
  </si>
  <si>
    <t>volume per length</t>
  </si>
  <si>
    <t>volume per mass</t>
  </si>
  <si>
    <t>volume per pressure</t>
  </si>
  <si>
    <t>volume per rotation</t>
  </si>
  <si>
    <t>volume per time</t>
  </si>
  <si>
    <t>volumetric heat transfer coefficient</t>
  </si>
  <si>
    <t>volumetric thermal expansion</t>
  </si>
  <si>
    <t>DataType</t>
  </si>
  <si>
    <t>duration</t>
  </si>
  <si>
    <t>dateTime</t>
  </si>
  <si>
    <t>date</t>
  </si>
  <si>
    <t>gYearMonth</t>
  </si>
  <si>
    <t>gYear</t>
  </si>
  <si>
    <t>gMonthDay</t>
  </si>
  <si>
    <t>gDay</t>
  </si>
  <si>
    <t>gMonth</t>
  </si>
  <si>
    <t>boolean</t>
  </si>
  <si>
    <t>base64binary</t>
  </si>
  <si>
    <t>hexBinary</t>
  </si>
  <si>
    <t>float</t>
  </si>
  <si>
    <t>decimal</t>
  </si>
  <si>
    <t>anyURI</t>
  </si>
  <si>
    <t>integer</t>
  </si>
  <si>
    <t>nonPositiveInteger</t>
  </si>
  <si>
    <t>long</t>
  </si>
  <si>
    <t>nonNegativeInteger</t>
  </si>
  <si>
    <t>negativeInteger</t>
  </si>
  <si>
    <t>unsignedLong</t>
  </si>
  <si>
    <t>positiveInteger</t>
  </si>
  <si>
    <t>short</t>
  </si>
  <si>
    <t>unsignedInt</t>
  </si>
  <si>
    <t>byte</t>
  </si>
  <si>
    <t>unsignedShort</t>
  </si>
  <si>
    <t>unsignedByte</t>
  </si>
  <si>
    <t>normalizedString</t>
  </si>
  <si>
    <t>token</t>
  </si>
  <si>
    <t>api gamma ray</t>
  </si>
  <si>
    <t>api gravity</t>
  </si>
  <si>
    <t>api neutron</t>
  </si>
  <si>
    <t>pressure per pressure</t>
  </si>
  <si>
    <t>area per count</t>
  </si>
  <si>
    <t>diffusive time of flight</t>
  </si>
  <si>
    <t>thermodynamic temperature per thermodynamic temperature</t>
  </si>
  <si>
    <t>Leave this line blank</t>
  </si>
  <si>
    <t>Reference</t>
  </si>
  <si>
    <t>SourceElement</t>
  </si>
  <si>
    <t>ConditionalElement</t>
  </si>
  <si>
    <t>ID</t>
  </si>
  <si>
    <t>QuantityClass</t>
  </si>
  <si>
    <t>DataType2</t>
  </si>
  <si>
    <t>DictionaryFile</t>
  </si>
  <si>
    <t>vector</t>
  </si>
  <si>
    <t>language</t>
  </si>
  <si>
    <t>LFS</t>
  </si>
  <si>
    <t>codeSpace</t>
  </si>
  <si>
    <t>An alternate name for the definition code given in ID</t>
  </si>
  <si>
    <t>A URI to provide context for the name. Typically this might identify an authority, a language. a dictionary, or some other metadata value</t>
  </si>
  <si>
    <t>measurand</t>
  </si>
  <si>
    <t xml:space="preserve">DIGGS Sensor Measurement Properties </t>
  </si>
  <si>
    <t>sensor_properties</t>
  </si>
  <si>
    <t xml:space="preserve"> </t>
  </si>
  <si>
    <t>This dictionary contains the values for the measurand property of the diggs:Detector object when used within a ameasurement or construction activity. These values serve to define the speciric properties that are measured by sensors used in those measurements.</t>
  </si>
  <si>
    <t>amount of substance per mass</t>
  </si>
  <si>
    <t>use for cation exchange capacity</t>
  </si>
  <si>
    <t>force or mass per volume</t>
  </si>
  <si>
    <t>use for geotechnical densities</t>
  </si>
  <si>
    <t>gravitational gradient</t>
  </si>
  <si>
    <t>relative rate</t>
  </si>
  <si>
    <t>use for strain rate</t>
  </si>
  <si>
    <t>Column2</t>
  </si>
  <si>
    <t>activity [of radioactivity]</t>
  </si>
  <si>
    <t>(amount of substance per time) per area</t>
  </si>
  <si>
    <t>In EML schema but not in EML dictionary</t>
  </si>
  <si>
    <t>(energy per mass) per time</t>
  </si>
  <si>
    <t>use for gravity gradients</t>
  </si>
  <si>
    <t>(mass per time) per area</t>
  </si>
  <si>
    <t>(mass per time) per length</t>
  </si>
  <si>
    <t>(mass per volume) per length</t>
  </si>
  <si>
    <t>(mass per volume) per pressure</t>
  </si>
  <si>
    <t>(mass per volume) per temperature</t>
  </si>
  <si>
    <t>pressure squared per (force time per area)</t>
  </si>
  <si>
    <t>reciprocal (mass time)</t>
  </si>
  <si>
    <t>(volume per time) length</t>
  </si>
  <si>
    <t>(volume per time) per area</t>
  </si>
  <si>
    <t>(volume per time) per length</t>
  </si>
  <si>
    <t>(volume per time) per pressure</t>
  </si>
  <si>
    <t>(volume per time) per (pressure length)</t>
  </si>
  <si>
    <t>(volume per time) per time</t>
  </si>
  <si>
    <t>(volume per time) per volume</t>
  </si>
  <si>
    <t>reciprocal time(0.5)</t>
  </si>
  <si>
    <t>used for pressure filtration</t>
  </si>
  <si>
    <t>volume or mass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</si>
</sst>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Verdana"/>
      <family val="2"/>
    </font>
    <font>
      <b/>
      <sz val="12"/>
      <color rgb="FFFFFFFF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Aptos Narrow"/>
      <family val="2"/>
    </font>
    <font>
      <sz val="12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7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8" fillId="2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alignment horizontal="general" vertical="center" textRotation="0" wrapText="1" indent="0" justifyLastLine="0" shrinkToFit="0" readingOrder="0"/>
    </dxf>
    <dxf>
      <font>
        <color auto="1"/>
      </font>
      <alignment horizontal="left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DBE5F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rgb="FF000000"/>
        <name val="Aptos Narrow"/>
        <family val="2"/>
        <scheme val="none"/>
      </font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1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ctionaryName" displayName="DictionaryName" ref="A1:E4" totalsRowShown="0" headerRowDxfId="24" dataDxfId="23">
  <autoFilter ref="A1:E4" xr:uid="{00000000-0009-0000-0100-000002000000}"/>
  <tableColumns count="5">
    <tableColumn id="1" xr3:uid="{00000000-0010-0000-0000-000001000000}" name="Start" dataDxfId="22"/>
    <tableColumn id="4" xr3:uid="{00000000-0010-0000-0000-000004000000}" name="Dictionary ID" dataDxfId="21"/>
    <tableColumn id="5" xr3:uid="{00000000-0010-0000-0000-000005000000}" name="DictionaryFile" dataDxfId="20"/>
    <tableColumn id="2" xr3:uid="{00000000-0010-0000-0000-000002000000}" name="DictionaryName" dataDxfId="19"/>
    <tableColumn id="3" xr3:uid="{00000000-0010-0000-0000-000003000000}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finitions" displayName="Definitions" ref="A1:H37" totalsRowShown="0" headerRowDxfId="17" dataDxfId="16">
  <autoFilter ref="A1:H37" xr:uid="{00000000-0009-0000-0100-000001000000}"/>
  <sortState xmlns:xlrd2="http://schemas.microsoft.com/office/spreadsheetml/2017/richdata2" ref="A2:H37">
    <sortCondition ref="A1:A37"/>
  </sortState>
  <tableColumns count="8">
    <tableColumn id="1" xr3:uid="{00000000-0010-0000-0100-000001000000}" name="Start" dataDxfId="15">
      <calculatedColumnFormula>IF(ISNA(VLOOKUP(B2,AssociatedElements!B$2:B2940,1,FALSE)),"Not used","")</calculatedColumnFormula>
    </tableColumn>
    <tableColumn id="10" xr3:uid="{00000000-0010-0000-0100-00000A000000}" name="ID" dataDxfId="14"/>
    <tableColumn id="7" xr3:uid="{00000000-0010-0000-0100-000007000000}" name="Name" dataDxfId="13"/>
    <tableColumn id="3" xr3:uid="{00000000-0010-0000-0100-000003000000}" name="Description" dataDxfId="12"/>
    <tableColumn id="4" xr3:uid="{00000000-0010-0000-0100-000004000000}" name="DataType" dataDxfId="11"/>
    <tableColumn id="5" xr3:uid="{00000000-0010-0000-0100-000005000000}" name="QuantityClass" dataDxfId="10"/>
    <tableColumn id="6" xr3:uid="{00000000-0010-0000-0100-000006000000}" name="Authority" dataDxfId="9"/>
    <tableColumn id="9" xr3:uid="{00000000-0010-0000-0100-000009000000}" name="Reference" dataDxfId="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ociatedElements" displayName="AssociatedElements" ref="A1:D37" totalsRowShown="0" headerRowDxfId="7">
  <autoFilter ref="A1:D37" xr:uid="{00000000-0009-0000-0100-000003000000}"/>
  <sortState xmlns:xlrd2="http://schemas.microsoft.com/office/spreadsheetml/2017/richdata2" ref="A2:C2">
    <sortCondition ref="C1:C2"/>
  </sortState>
  <tableColumns count="4">
    <tableColumn id="1" xr3:uid="{00000000-0010-0000-0200-000001000000}" name="Start" dataDxfId="6">
      <calculatedColumnFormula>IF(ISNA(VLOOKUP(B2,Definitions!B$2:B$1839,1,FALSE)),"Not listed","")</calculatedColumnFormula>
    </tableColumn>
    <tableColumn id="4" xr3:uid="{00000000-0010-0000-0200-000004000000}" name="ID" dataDxfId="5"/>
    <tableColumn id="2" xr3:uid="{00000000-0010-0000-0200-000002000000}" name="SourceElement" dataDxfId="4"/>
    <tableColumn id="3" xr3:uid="{00000000-0010-0000-0200-000003000000}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30CC37-04AB-8D4D-892F-F71979176D16}" name="AssociatedElements5" displayName="AssociatedElements5" ref="A1:D2" totalsRowShown="0" headerRowDxfId="3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2380BFF-37AF-9E4B-90BC-810D8EE9F845}" name="Start" dataDxfId="2">
      <calculatedColumnFormula>IF(ISNA(VLOOKUP(B2,Definitions!B$2:B$1839,1,FALSE)),"Not listed","")</calculatedColumnFormula>
    </tableColumn>
    <tableColumn id="4" xr3:uid="{5E6BF6FE-A198-8C42-A675-7E2A6AC3DAC7}" name="ID" dataDxfId="1"/>
    <tableColumn id="2" xr3:uid="{5B418AFD-E436-414C-98B3-82272B95D62A}" name="Name" dataDxfId="0"/>
    <tableColumn id="3" xr3:uid="{1FE3CE3E-155C-A44F-A7E6-27A5EC4A69F8}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D188" totalsRowShown="0">
  <autoFilter ref="A1:D188" xr:uid="{00000000-0009-0000-0100-000006000000}"/>
  <sortState xmlns:xlrd2="http://schemas.microsoft.com/office/spreadsheetml/2017/richdata2" ref="A2:C187">
    <sortCondition ref="C1:C187"/>
  </sortState>
  <tableColumns count="4">
    <tableColumn id="1" xr3:uid="{00000000-0010-0000-0300-000001000000}" name="DataType"/>
    <tableColumn id="2" xr3:uid="{00000000-0010-0000-0300-000002000000}" name="DataType2"/>
    <tableColumn id="3" xr3:uid="{00000000-0010-0000-0300-000003000000}" name="QuantityClass"/>
    <tableColumn id="5" xr3:uid="{6DBC15FA-55AF-F84A-8E98-E478F80C2A28}" name="Column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workbookViewId="0">
      <selection activeCell="E3" sqref="E3"/>
    </sheetView>
  </sheetViews>
  <sheetFormatPr baseColWidth="10" defaultColWidth="11" defaultRowHeight="16" x14ac:dyDescent="0.2"/>
  <cols>
    <col min="1" max="1" width="7.5" style="8" customWidth="1"/>
    <col min="2" max="2" width="41.33203125" style="8" customWidth="1"/>
    <col min="3" max="3" width="26.33203125" style="8" customWidth="1"/>
    <col min="4" max="4" width="35.6640625" style="8" customWidth="1"/>
    <col min="5" max="5" width="76" style="8" customWidth="1"/>
    <col min="6" max="16384" width="11" style="8"/>
  </cols>
  <sheetData>
    <row r="1" spans="1:5" s="10" customFormat="1" ht="18" thickBot="1" x14ac:dyDescent="0.25">
      <c r="A1" s="10" t="s">
        <v>13</v>
      </c>
      <c r="B1" s="10" t="s">
        <v>7</v>
      </c>
      <c r="C1" s="11" t="s">
        <v>208</v>
      </c>
      <c r="D1" s="10" t="s">
        <v>14</v>
      </c>
      <c r="E1" s="10" t="s">
        <v>0</v>
      </c>
    </row>
    <row r="2" spans="1:5" s="10" customFormat="1" ht="18" thickTop="1" x14ac:dyDescent="0.2">
      <c r="A2" s="1"/>
      <c r="B2" s="1"/>
      <c r="C2" s="1"/>
      <c r="D2" s="1"/>
      <c r="E2" s="1" t="s">
        <v>201</v>
      </c>
    </row>
    <row r="3" spans="1:5" s="2" customFormat="1" ht="154" customHeight="1" x14ac:dyDescent="0.2">
      <c r="B3" s="2" t="s">
        <v>215</v>
      </c>
      <c r="C3" s="12" t="s">
        <v>217</v>
      </c>
      <c r="D3" s="12" t="s">
        <v>216</v>
      </c>
      <c r="E3" s="2" t="s">
        <v>219</v>
      </c>
    </row>
    <row r="4" spans="1:5" ht="17" x14ac:dyDescent="0.2">
      <c r="A4" s="2"/>
      <c r="B4" s="2"/>
      <c r="D4" s="2"/>
      <c r="E4" s="2" t="s">
        <v>218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7"/>
  <sheetViews>
    <sheetView zoomScale="150" zoomScaleNormal="150" workbookViewId="0">
      <selection activeCell="B7" sqref="B7"/>
    </sheetView>
  </sheetViews>
  <sheetFormatPr baseColWidth="10" defaultColWidth="10.83203125" defaultRowHeight="16" x14ac:dyDescent="0.2"/>
  <cols>
    <col min="1" max="1" width="7" style="2" customWidth="1"/>
    <col min="2" max="2" width="25.83203125" style="2" customWidth="1"/>
    <col min="3" max="3" width="31.6640625" style="2" customWidth="1"/>
    <col min="4" max="4" width="84.6640625" style="2" customWidth="1"/>
    <col min="5" max="5" width="11.1640625" style="2" customWidth="1"/>
    <col min="6" max="6" width="25.6640625" style="2" bestFit="1" customWidth="1"/>
    <col min="7" max="7" width="17.83203125" style="2" customWidth="1"/>
    <col min="8" max="8" width="20.83203125" style="2" customWidth="1"/>
    <col min="9" max="16384" width="10.83203125" style="2"/>
  </cols>
  <sheetData>
    <row r="1" spans="1:8" s="1" customFormat="1" ht="17" x14ac:dyDescent="0.2">
      <c r="A1" s="1" t="s">
        <v>13</v>
      </c>
      <c r="B1" s="1" t="s">
        <v>205</v>
      </c>
      <c r="C1" s="1" t="s">
        <v>8</v>
      </c>
      <c r="D1" s="1" t="s">
        <v>0</v>
      </c>
      <c r="E1" s="1" t="s">
        <v>165</v>
      </c>
      <c r="F1" s="1" t="s">
        <v>206</v>
      </c>
      <c r="G1" s="1" t="s">
        <v>9</v>
      </c>
      <c r="H1" s="1" t="s">
        <v>202</v>
      </c>
    </row>
    <row r="2" spans="1:8" x14ac:dyDescent="0.2">
      <c r="A2" s="2" t="str">
        <f>IF(ISNA(VLOOKUP(B2,AssociatedElements!B$2:B2940,1,FALSE)),"Not used","")</f>
        <v>Not used</v>
      </c>
      <c r="B2" s="13"/>
      <c r="C2" s="13"/>
      <c r="D2" s="14"/>
      <c r="E2" s="13"/>
      <c r="F2" s="13"/>
      <c r="G2" s="9"/>
    </row>
    <row r="3" spans="1:8" x14ac:dyDescent="0.2">
      <c r="A3" s="2" t="str">
        <f>IF(ISNA(VLOOKUP(B3,AssociatedElements!B$2:B2941,1,FALSE)),"Not used","")</f>
        <v>Not used</v>
      </c>
      <c r="B3" s="13"/>
      <c r="C3" s="13"/>
      <c r="D3" s="14"/>
      <c r="E3" s="13"/>
      <c r="F3" s="13"/>
      <c r="G3" s="9"/>
    </row>
    <row r="4" spans="1:8" x14ac:dyDescent="0.2">
      <c r="A4" s="2" t="str">
        <f>IF(ISNA(VLOOKUP(B4,AssociatedElements!B$2:B2942,1,FALSE)),"Not used","")</f>
        <v>Not used</v>
      </c>
      <c r="G4" s="9"/>
    </row>
    <row r="5" spans="1:8" x14ac:dyDescent="0.2">
      <c r="A5" s="2" t="str">
        <f>IF(ISNA(VLOOKUP(B5,AssociatedElements!B$2:B2943,1,FALSE)),"Not used","")</f>
        <v>Not used</v>
      </c>
      <c r="B5" s="13"/>
      <c r="C5" s="13"/>
      <c r="D5" s="14"/>
      <c r="E5" s="13"/>
      <c r="F5" s="13"/>
      <c r="G5" s="9"/>
    </row>
    <row r="6" spans="1:8" x14ac:dyDescent="0.2">
      <c r="A6" s="2" t="str">
        <f>IF(ISNA(VLOOKUP(B6,AssociatedElements!B$2:B2944,1,FALSE)),"Not used","")</f>
        <v>Not used</v>
      </c>
      <c r="C6" s="16"/>
      <c r="D6" s="16"/>
      <c r="E6" s="17"/>
      <c r="G6" s="9"/>
    </row>
    <row r="7" spans="1:8" x14ac:dyDescent="0.2">
      <c r="A7" s="2" t="str">
        <f>IF(ISNA(VLOOKUP(B7,AssociatedElements!B$2:B2945,1,FALSE)),"Not used","")</f>
        <v>Not used</v>
      </c>
      <c r="G7" s="9"/>
    </row>
    <row r="8" spans="1:8" x14ac:dyDescent="0.2">
      <c r="A8" s="2" t="str">
        <f>IF(ISNA(VLOOKUP(B8,AssociatedElements!B$2:B2946,1,FALSE)),"Not used","")</f>
        <v>Not used</v>
      </c>
      <c r="G8" s="9"/>
    </row>
    <row r="9" spans="1:8" x14ac:dyDescent="0.2">
      <c r="A9" s="2" t="str">
        <f>IF(ISNA(VLOOKUP(B9,AssociatedElements!B$2:B2947,1,FALSE)),"Not used","")</f>
        <v>Not used</v>
      </c>
      <c r="C9" s="16"/>
      <c r="D9" s="16"/>
      <c r="E9" s="17"/>
      <c r="G9" s="9"/>
    </row>
    <row r="10" spans="1:8" x14ac:dyDescent="0.2">
      <c r="A10" s="2" t="str">
        <f>IF(ISNA(VLOOKUP(B10,AssociatedElements!B$2:B2948,1,FALSE)),"Not used","")</f>
        <v>Not used</v>
      </c>
      <c r="B10" s="13"/>
      <c r="C10" s="13"/>
      <c r="D10" s="14"/>
      <c r="E10" s="13"/>
      <c r="F10" s="13"/>
      <c r="G10" s="9"/>
    </row>
    <row r="11" spans="1:8" x14ac:dyDescent="0.2">
      <c r="A11" s="2" t="str">
        <f>IF(ISNA(VLOOKUP(B11,AssociatedElements!B$2:B2949,1,FALSE)),"Not used","")</f>
        <v>Not used</v>
      </c>
      <c r="B11" s="13"/>
      <c r="C11" s="13"/>
      <c r="D11" s="14"/>
      <c r="E11" s="13"/>
      <c r="F11" s="13"/>
      <c r="G11" s="9"/>
    </row>
    <row r="12" spans="1:8" x14ac:dyDescent="0.2">
      <c r="A12" s="2" t="str">
        <f>IF(ISNA(VLOOKUP(B12,AssociatedElements!B$2:B2950,1,FALSE)),"Not used","")</f>
        <v>Not used</v>
      </c>
      <c r="B12" s="13"/>
      <c r="C12" s="13"/>
      <c r="D12" s="14"/>
      <c r="E12" s="13"/>
      <c r="F12" s="13"/>
      <c r="G12" s="9"/>
    </row>
    <row r="13" spans="1:8" x14ac:dyDescent="0.2">
      <c r="A13" s="2" t="str">
        <f>IF(ISNA(VLOOKUP(B13,AssociatedElements!B$2:B2951,1,FALSE)),"Not used","")</f>
        <v>Not used</v>
      </c>
      <c r="B13" s="13"/>
      <c r="C13" s="13"/>
      <c r="D13" s="14"/>
      <c r="E13" s="13"/>
      <c r="F13" s="13"/>
      <c r="G13" s="9"/>
    </row>
    <row r="14" spans="1:8" x14ac:dyDescent="0.2">
      <c r="A14" s="2" t="str">
        <f>IF(ISNA(VLOOKUP(B14,AssociatedElements!B$2:B2952,1,FALSE)),"Not used","")</f>
        <v>Not used</v>
      </c>
      <c r="B14" s="13"/>
      <c r="C14" s="13"/>
      <c r="D14" s="14"/>
      <c r="E14" s="13"/>
      <c r="F14" s="13"/>
      <c r="G14" s="9"/>
    </row>
    <row r="15" spans="1:8" x14ac:dyDescent="0.2">
      <c r="A15" s="2" t="str">
        <f>IF(ISNA(VLOOKUP(B15,AssociatedElements!B$2:B2953,1,FALSE)),"Not used","")</f>
        <v>Not used</v>
      </c>
      <c r="B15" s="13"/>
      <c r="C15" s="18"/>
      <c r="D15" s="19"/>
      <c r="E15" s="18"/>
      <c r="F15" s="18"/>
      <c r="G15" s="9"/>
    </row>
    <row r="16" spans="1:8" x14ac:dyDescent="0.2">
      <c r="A16" s="2" t="str">
        <f>IF(ISNA(VLOOKUP(B16,AssociatedElements!B$2:B2954,1,FALSE)),"Not used","")</f>
        <v>Not used</v>
      </c>
      <c r="B16" s="13"/>
      <c r="C16" s="18"/>
      <c r="D16" s="19"/>
      <c r="E16" s="18"/>
      <c r="F16" s="18"/>
      <c r="G16" s="9"/>
    </row>
    <row r="17" spans="1:7" x14ac:dyDescent="0.2">
      <c r="A17" s="2" t="str">
        <f>IF(ISNA(VLOOKUP(B17,AssociatedElements!B$2:B2955,1,FALSE)),"Not used","")</f>
        <v>Not used</v>
      </c>
      <c r="B17" s="13"/>
      <c r="C17" s="18"/>
      <c r="D17" s="19"/>
      <c r="E17" s="18"/>
      <c r="F17" s="18"/>
      <c r="G17" s="9"/>
    </row>
    <row r="18" spans="1:7" x14ac:dyDescent="0.2">
      <c r="A18" s="2" t="str">
        <f>IF(ISNA(VLOOKUP(B18,AssociatedElements!B$2:B2956,1,FALSE)),"Not used","")</f>
        <v>Not used</v>
      </c>
      <c r="B18" s="13"/>
      <c r="C18" s="18"/>
      <c r="D18" s="19"/>
      <c r="E18" s="18"/>
      <c r="F18" s="18"/>
      <c r="G18" s="9"/>
    </row>
    <row r="19" spans="1:7" x14ac:dyDescent="0.2">
      <c r="A19" s="2" t="str">
        <f>IF(ISNA(VLOOKUP(B19,AssociatedElements!B$2:B2957,1,FALSE)),"Not used","")</f>
        <v>Not used</v>
      </c>
      <c r="B19" s="13"/>
      <c r="C19" s="18"/>
      <c r="D19" s="19"/>
      <c r="E19" s="18"/>
      <c r="F19" s="18"/>
      <c r="G19" s="9"/>
    </row>
    <row r="20" spans="1:7" x14ac:dyDescent="0.2">
      <c r="A20" s="2" t="str">
        <f>IF(ISNA(VLOOKUP(B20,AssociatedElements!B$2:B2958,1,FALSE)),"Not used","")</f>
        <v>Not used</v>
      </c>
      <c r="B20" s="13"/>
      <c r="C20" s="18"/>
      <c r="D20" s="19"/>
      <c r="E20" s="18"/>
      <c r="F20" s="18"/>
      <c r="G20" s="9"/>
    </row>
    <row r="21" spans="1:7" x14ac:dyDescent="0.2">
      <c r="A21" s="2" t="str">
        <f>IF(ISNA(VLOOKUP(B21,AssociatedElements!B$2:B2959,1,FALSE)),"Not used","")</f>
        <v>Not used</v>
      </c>
      <c r="B21" s="13"/>
      <c r="C21" s="18"/>
      <c r="D21" s="19"/>
      <c r="E21" s="18"/>
      <c r="F21" s="18"/>
      <c r="G21" s="9"/>
    </row>
    <row r="22" spans="1:7" x14ac:dyDescent="0.2">
      <c r="A22" s="2" t="str">
        <f>IF(ISNA(VLOOKUP(B22,AssociatedElements!B$2:B2960,1,FALSE)),"Not used","")</f>
        <v>Not used</v>
      </c>
      <c r="B22" s="13"/>
      <c r="C22" s="18"/>
      <c r="D22" s="19"/>
      <c r="E22" s="18"/>
      <c r="F22" s="18"/>
      <c r="G22" s="9"/>
    </row>
    <row r="23" spans="1:7" x14ac:dyDescent="0.2">
      <c r="A23" s="2" t="str">
        <f>IF(ISNA(VLOOKUP(B23,AssociatedElements!B$2:B2961,1,FALSE)),"Not used","")</f>
        <v>Not used</v>
      </c>
      <c r="B23" s="13"/>
      <c r="C23" s="18"/>
      <c r="D23" s="19"/>
      <c r="E23" s="18"/>
      <c r="F23" s="18"/>
      <c r="G23" s="9"/>
    </row>
    <row r="24" spans="1:7" x14ac:dyDescent="0.2">
      <c r="A24" s="2" t="str">
        <f>IF(ISNA(VLOOKUP(B24,AssociatedElements!B$2:B2962,1,FALSE)),"Not used","")</f>
        <v>Not used</v>
      </c>
      <c r="D24" s="16"/>
      <c r="G24" s="9"/>
    </row>
    <row r="25" spans="1:7" x14ac:dyDescent="0.2">
      <c r="A25" s="2" t="str">
        <f>IF(ISNA(VLOOKUP(B25,AssociatedElements!B$2:B2963,1,FALSE)),"Not used","")</f>
        <v>Not used</v>
      </c>
      <c r="B25" s="13"/>
      <c r="C25" s="13"/>
      <c r="E25" s="13"/>
      <c r="F25" s="13"/>
      <c r="G25" s="9"/>
    </row>
    <row r="26" spans="1:7" x14ac:dyDescent="0.2">
      <c r="A26" s="2" t="str">
        <f>IF(ISNA(VLOOKUP(B26,AssociatedElements!B$2:B2964,1,FALSE)),"Not used","")</f>
        <v>Not used</v>
      </c>
      <c r="B26" s="13"/>
      <c r="C26" s="13"/>
      <c r="E26" s="13"/>
      <c r="F26" s="13"/>
      <c r="G26" s="9"/>
    </row>
    <row r="27" spans="1:7" x14ac:dyDescent="0.2">
      <c r="A27" s="2" t="str">
        <f>IF(ISNA(VLOOKUP(B27,AssociatedElements!B$2:B2965,1,FALSE)),"Not used","")</f>
        <v>Not used</v>
      </c>
      <c r="B27" s="13"/>
      <c r="C27" s="13"/>
      <c r="D27" s="15"/>
      <c r="E27" s="13"/>
      <c r="F27" s="13"/>
      <c r="G27" s="9"/>
    </row>
    <row r="28" spans="1:7" x14ac:dyDescent="0.2">
      <c r="A28" s="2" t="str">
        <f>IF(ISNA(VLOOKUP(B28,AssociatedElements!B$2:B2966,1,FALSE)),"Not used","")</f>
        <v>Not used</v>
      </c>
      <c r="B28" s="13"/>
      <c r="C28" s="13"/>
      <c r="D28" s="14"/>
      <c r="E28" s="13"/>
      <c r="F28" s="13"/>
      <c r="G28" s="9"/>
    </row>
    <row r="29" spans="1:7" x14ac:dyDescent="0.2">
      <c r="A29" s="2" t="str">
        <f>IF(ISNA(VLOOKUP(B29,AssociatedElements!B$2:B2967,1,FALSE)),"Not used","")</f>
        <v>Not used</v>
      </c>
      <c r="B29" s="13"/>
      <c r="C29" s="13"/>
      <c r="D29" s="14"/>
      <c r="E29" s="13"/>
      <c r="F29" s="13"/>
      <c r="G29" s="9"/>
    </row>
    <row r="30" spans="1:7" x14ac:dyDescent="0.2">
      <c r="A30" s="2" t="str">
        <f>IF(ISNA(VLOOKUP(B30,AssociatedElements!B$2:B2968,1,FALSE)),"Not used","")</f>
        <v>Not used</v>
      </c>
      <c r="B30" s="13"/>
      <c r="C30" s="13"/>
      <c r="D30" s="14"/>
      <c r="E30" s="13"/>
      <c r="F30" s="13"/>
      <c r="G30" s="9"/>
    </row>
    <row r="31" spans="1:7" x14ac:dyDescent="0.2">
      <c r="A31" s="2" t="str">
        <f>IF(ISNA(VLOOKUP(B31,AssociatedElements!B$2:B2969,1,FALSE)),"Not used","")</f>
        <v>Not used</v>
      </c>
      <c r="B31" s="13"/>
      <c r="C31" s="18"/>
      <c r="D31" s="19"/>
      <c r="E31" s="18"/>
      <c r="F31" s="18"/>
      <c r="G31" s="9"/>
    </row>
    <row r="32" spans="1:7" x14ac:dyDescent="0.2">
      <c r="A32" s="2" t="str">
        <f>IF(ISNA(VLOOKUP(B32,AssociatedElements!B$2:B2970,1,FALSE)),"Not used","")</f>
        <v>Not used</v>
      </c>
      <c r="B32" s="13"/>
      <c r="C32" s="18"/>
      <c r="D32" s="19"/>
      <c r="E32" s="18"/>
      <c r="F32" s="18"/>
      <c r="G32" s="9"/>
    </row>
    <row r="33" spans="1:7" x14ac:dyDescent="0.2">
      <c r="A33" s="2" t="str">
        <f>IF(ISNA(VLOOKUP(B33,AssociatedElements!B$2:B2971,1,FALSE)),"Not used","")</f>
        <v>Not used</v>
      </c>
      <c r="B33" s="13"/>
      <c r="C33" s="18"/>
      <c r="D33" s="19"/>
      <c r="E33" s="18"/>
      <c r="F33" s="18"/>
      <c r="G33" s="9"/>
    </row>
    <row r="34" spans="1:7" x14ac:dyDescent="0.2">
      <c r="A34" s="2" t="str">
        <f>IF(ISNA(VLOOKUP(B34,AssociatedElements!B$2:B2972,1,FALSE)),"Not used","")</f>
        <v>Not used</v>
      </c>
      <c r="B34" s="13"/>
      <c r="C34" s="18"/>
      <c r="D34" s="19"/>
      <c r="E34" s="18"/>
      <c r="F34" s="18"/>
      <c r="G34" s="9"/>
    </row>
    <row r="35" spans="1:7" x14ac:dyDescent="0.2">
      <c r="A35" s="2" t="str">
        <f>IF(ISNA(VLOOKUP(B35,AssociatedElements!B$2:B2973,1,FALSE)),"Not used","")</f>
        <v>Not used</v>
      </c>
      <c r="B35" s="13"/>
      <c r="C35" s="18"/>
      <c r="D35" s="19"/>
      <c r="E35" s="18"/>
      <c r="F35" s="18"/>
      <c r="G35" s="9"/>
    </row>
    <row r="36" spans="1:7" x14ac:dyDescent="0.2">
      <c r="A36" s="2" t="str">
        <f>IF(ISNA(VLOOKUP(B36,AssociatedElements!B$2:B2974,1,FALSE)),"Not used","")</f>
        <v>Not used</v>
      </c>
      <c r="B36" s="13"/>
      <c r="C36" s="18"/>
      <c r="D36" s="19"/>
      <c r="E36" s="18"/>
      <c r="F36" s="18"/>
      <c r="G36" s="9"/>
    </row>
    <row r="37" spans="1:7" x14ac:dyDescent="0.2">
      <c r="A37" s="2" t="str">
        <f>IF(ISNA(VLOOKUP(B37,AssociatedElements!B$2:B2975,1,FALSE)),"Not used","")</f>
        <v>Not used</v>
      </c>
      <c r="G37" s="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205</v>
      </c>
      <c r="C1" s="5" t="s">
        <v>203</v>
      </c>
      <c r="D1" s="6" t="s">
        <v>204</v>
      </c>
    </row>
    <row r="2" spans="1:4" x14ac:dyDescent="0.2">
      <c r="A2" t="str">
        <f>IF(ISNA(VLOOKUP(#REF!,Definitions!B$2:B$1839,1,FALSE)),"Not listed","")</f>
        <v/>
      </c>
      <c r="B2" s="2"/>
    </row>
    <row r="3" spans="1:4" x14ac:dyDescent="0.2">
      <c r="A3" t="str">
        <f>IF(ISNA(VLOOKUP(B3,Definitions!B$2:B$1839,1,FALSE)),"Not listed","")</f>
        <v>Not listed</v>
      </c>
      <c r="B3" s="20"/>
    </row>
    <row r="4" spans="1:4" x14ac:dyDescent="0.2">
      <c r="A4" t="str">
        <f>IF(ISNA(VLOOKUP(B4,Definitions!B$2:B$1839,1,FALSE)),"Not listed","")</f>
        <v>Not listed</v>
      </c>
      <c r="B4" s="2"/>
    </row>
    <row r="5" spans="1:4" x14ac:dyDescent="0.2">
      <c r="A5" t="str">
        <f>IF(ISNA(VLOOKUP(B5,Definitions!B$2:B$1839,1,FALSE)),"Not listed","")</f>
        <v>Not listed</v>
      </c>
      <c r="B5" s="2"/>
    </row>
    <row r="6" spans="1:4" x14ac:dyDescent="0.2">
      <c r="A6" t="str">
        <f>IF(ISNA(VLOOKUP(B6,Definitions!B$2:B$1839,1,FALSE)),"Not listed","")</f>
        <v>Not listed</v>
      </c>
      <c r="B6" s="2"/>
    </row>
    <row r="7" spans="1:4" x14ac:dyDescent="0.2">
      <c r="A7" t="str">
        <f>IF(ISNA(VLOOKUP(B7,Definitions!B$2:B$1839,1,FALSE)),"Not listed","")</f>
        <v>Not listed</v>
      </c>
      <c r="B7" s="2"/>
    </row>
    <row r="8" spans="1:4" x14ac:dyDescent="0.2">
      <c r="A8" t="str">
        <f>IF(ISNA(VLOOKUP(B8,Definitions!B$2:B$1839,1,FALSE)),"Not listed","")</f>
        <v>Not listed</v>
      </c>
      <c r="B8" s="2"/>
    </row>
    <row r="9" spans="1:4" x14ac:dyDescent="0.2">
      <c r="A9" t="str">
        <f>IF(ISNA(VLOOKUP(B9,Definitions!B$2:B$1839,1,FALSE)),"Not listed","")</f>
        <v>Not listed</v>
      </c>
      <c r="B9" s="2"/>
    </row>
    <row r="10" spans="1:4" x14ac:dyDescent="0.2">
      <c r="A10" t="str">
        <f>IF(ISNA(VLOOKUP(B10,Definitions!B$2:B$1839,1,FALSE)),"Not listed","")</f>
        <v>Not listed</v>
      </c>
      <c r="B10" s="20"/>
    </row>
    <row r="11" spans="1:4" x14ac:dyDescent="0.2">
      <c r="A11" t="str">
        <f>IF(ISNA(VLOOKUP(B11,Definitions!B$2:B$1839,1,FALSE)),"Not listed","")</f>
        <v>Not listed</v>
      </c>
      <c r="B11" s="20"/>
    </row>
    <row r="12" spans="1:4" x14ac:dyDescent="0.2">
      <c r="A12" t="str">
        <f>IF(ISNA(VLOOKUP(B12,Definitions!B$2:B$1839,1,FALSE)),"Not listed","")</f>
        <v>Not listed</v>
      </c>
      <c r="B12" s="20"/>
    </row>
    <row r="13" spans="1:4" x14ac:dyDescent="0.2">
      <c r="A13" t="str">
        <f>IF(ISNA(VLOOKUP(B13,Definitions!B$2:B$1839,1,FALSE)),"Not listed","")</f>
        <v>Not listed</v>
      </c>
      <c r="B13" s="20"/>
    </row>
    <row r="14" spans="1:4" x14ac:dyDescent="0.2">
      <c r="A14" t="str">
        <f>IF(ISNA(VLOOKUP(B14,Definitions!B$2:B$1839,1,FALSE)),"Not listed","")</f>
        <v>Not listed</v>
      </c>
      <c r="B14" s="20"/>
    </row>
    <row r="15" spans="1:4" x14ac:dyDescent="0.2">
      <c r="A15" t="str">
        <f>IF(ISNA(VLOOKUP(B15,Definitions!B$2:B$1839,1,FALSE)),"Not listed","")</f>
        <v>Not listed</v>
      </c>
      <c r="B15" s="2"/>
    </row>
    <row r="16" spans="1:4" x14ac:dyDescent="0.2">
      <c r="A16" t="str">
        <f>IF(ISNA(VLOOKUP(B16,Definitions!B$2:B$1839,1,FALSE)),"Not listed","")</f>
        <v>Not listed</v>
      </c>
      <c r="B16" s="2"/>
    </row>
    <row r="17" spans="1:2" x14ac:dyDescent="0.2">
      <c r="A17" t="str">
        <f>IF(ISNA(VLOOKUP(B17,Definitions!B$2:B$1839,1,FALSE)),"Not listed","")</f>
        <v>Not listed</v>
      </c>
      <c r="B17" s="2"/>
    </row>
    <row r="18" spans="1:2" x14ac:dyDescent="0.2">
      <c r="A18" t="str">
        <f>IF(ISNA(VLOOKUP(B18,Definitions!B$2:B$1839,1,FALSE)),"Not listed","")</f>
        <v>Not listed</v>
      </c>
      <c r="B18" s="2"/>
    </row>
    <row r="19" spans="1:2" x14ac:dyDescent="0.2">
      <c r="A19" t="str">
        <f>IF(ISNA(VLOOKUP(B19,Definitions!B$2:B$1839,1,FALSE)),"Not listed","")</f>
        <v>Not listed</v>
      </c>
      <c r="B19" s="20"/>
    </row>
    <row r="20" spans="1:2" x14ac:dyDescent="0.2">
      <c r="A20" t="str">
        <f>IF(ISNA(VLOOKUP(B20,Definitions!B$2:B$1839,1,FALSE)),"Not listed","")</f>
        <v>Not listed</v>
      </c>
      <c r="B20" s="20"/>
    </row>
    <row r="21" spans="1:2" x14ac:dyDescent="0.2">
      <c r="A21" t="str">
        <f>IF(ISNA(VLOOKUP(B21,Definitions!B$2:B$1839,1,FALSE)),"Not listed","")</f>
        <v>Not listed</v>
      </c>
      <c r="B21" s="20"/>
    </row>
    <row r="22" spans="1:2" x14ac:dyDescent="0.2">
      <c r="A22" t="str">
        <f>IF(ISNA(VLOOKUP(B22,Definitions!B$2:B$1839,1,FALSE)),"Not listed","")</f>
        <v>Not listed</v>
      </c>
      <c r="B22" s="20"/>
    </row>
    <row r="23" spans="1:2" x14ac:dyDescent="0.2">
      <c r="A23" t="str">
        <f>IF(ISNA(VLOOKUP(B23,Definitions!B$2:B$1839,1,FALSE)),"Not listed","")</f>
        <v>Not listed</v>
      </c>
      <c r="B23" s="20"/>
    </row>
    <row r="24" spans="1:2" x14ac:dyDescent="0.2">
      <c r="A24" t="str">
        <f>IF(ISNA(VLOOKUP(B24,Definitions!B$2:B$1839,1,FALSE)),"Not listed","")</f>
        <v>Not listed</v>
      </c>
      <c r="B24" s="2"/>
    </row>
    <row r="25" spans="1:2" x14ac:dyDescent="0.2">
      <c r="A25" t="str">
        <f>IF(ISNA(VLOOKUP(B25,Definitions!B$2:B$1839,1,FALSE)),"Not listed","")</f>
        <v>Not listed</v>
      </c>
      <c r="B25" s="2"/>
    </row>
    <row r="26" spans="1:2" x14ac:dyDescent="0.2">
      <c r="A26" t="str">
        <f>IF(ISNA(VLOOKUP(B26,Definitions!B$2:B$1839,1,FALSE)),"Not listed","")</f>
        <v>Not listed</v>
      </c>
      <c r="B26" s="2"/>
    </row>
    <row r="27" spans="1:2" x14ac:dyDescent="0.2">
      <c r="A27" t="str">
        <f>IF(ISNA(VLOOKUP(B27,Definitions!B$2:B$1839,1,FALSE)),"Not listed","")</f>
        <v>Not listed</v>
      </c>
      <c r="B27" s="13"/>
    </row>
    <row r="28" spans="1:2" x14ac:dyDescent="0.2">
      <c r="A28" t="str">
        <f>IF(ISNA(VLOOKUP(B28,Definitions!B$2:B$1839,1,FALSE)),"Not listed","")</f>
        <v>Not listed</v>
      </c>
      <c r="B28" s="13"/>
    </row>
    <row r="29" spans="1:2" x14ac:dyDescent="0.2">
      <c r="A29" t="str">
        <f>IF(ISNA(VLOOKUP(B29,Definitions!B$2:B$1839,1,FALSE)),"Not listed","")</f>
        <v>Not listed</v>
      </c>
      <c r="B29" s="13"/>
    </row>
    <row r="30" spans="1:2" x14ac:dyDescent="0.2">
      <c r="A30" t="str">
        <f>IF(ISNA(VLOOKUP(B30,Definitions!B$2:B$1839,1,FALSE)),"Not listed","")</f>
        <v>Not listed</v>
      </c>
      <c r="B30" s="13"/>
    </row>
    <row r="31" spans="1:2" x14ac:dyDescent="0.2">
      <c r="A31" t="str">
        <f>IF(ISNA(VLOOKUP(B31,Definitions!B$2:B$1839,1,FALSE)),"Not listed","")</f>
        <v>Not listed</v>
      </c>
      <c r="B31" s="13"/>
    </row>
    <row r="32" spans="1:2" x14ac:dyDescent="0.2">
      <c r="A32" t="str">
        <f>IF(ISNA(VLOOKUP(B32,Definitions!B$2:B$1839,1,FALSE)),"Not listed","")</f>
        <v>Not listed</v>
      </c>
      <c r="B32" s="13"/>
    </row>
    <row r="33" spans="1:2" x14ac:dyDescent="0.2">
      <c r="A33" t="str">
        <f>IF(ISNA(VLOOKUP(B33,Definitions!B$2:B$1839,1,FALSE)),"Not listed","")</f>
        <v>Not listed</v>
      </c>
      <c r="B33" s="13"/>
    </row>
    <row r="34" spans="1:2" x14ac:dyDescent="0.2">
      <c r="A34" t="str">
        <f>IF(ISNA(VLOOKUP(B34,Definitions!B$2:B$1839,1,FALSE)),"Not listed","")</f>
        <v>Not listed</v>
      </c>
      <c r="B34" s="13"/>
    </row>
    <row r="35" spans="1:2" x14ac:dyDescent="0.2">
      <c r="A35" t="str">
        <f>IF(ISNA(VLOOKUP(B35,Definitions!B$2:B$1839,1,FALSE)),"Not listed","")</f>
        <v>Not listed</v>
      </c>
      <c r="B35" s="13"/>
    </row>
    <row r="36" spans="1:2" x14ac:dyDescent="0.2">
      <c r="A36" t="str">
        <f>IF(ISNA(VLOOKUP(B36,Definitions!B$2:B$1839,1,FALSE)),"Not listed","")</f>
        <v>Not listed</v>
      </c>
      <c r="B36" s="13"/>
    </row>
    <row r="37" spans="1:2" x14ac:dyDescent="0.2">
      <c r="A37" t="str">
        <f>IF(ISNA(VLOOKUP(B37,Definitions!B$2:B$1839,1,FALSE)),"Not listed","")</f>
        <v>Not listed</v>
      </c>
      <c r="B37" s="2"/>
    </row>
  </sheetData>
  <sortState xmlns:xlrd2="http://schemas.microsoft.com/office/spreadsheetml/2017/richdata2" ref="A2:C2">
    <sortCondition ref="C2"/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95E2-AB35-E24B-99C3-70BA9A932410}"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205</v>
      </c>
      <c r="C1" s="5" t="s">
        <v>8</v>
      </c>
      <c r="D1" s="6" t="s">
        <v>212</v>
      </c>
    </row>
    <row r="2" spans="1:4" x14ac:dyDescent="0.2">
      <c r="A2" t="str">
        <f>IF(ISNA(VLOOKUP(B2,Definitions!B$2:B$1839,1,FALSE)),"Not listed","")</f>
        <v>Not listed</v>
      </c>
      <c r="B2" t="s">
        <v>211</v>
      </c>
      <c r="C2" s="3" t="s">
        <v>213</v>
      </c>
      <c r="D2" t="s">
        <v>214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88"/>
  <sheetViews>
    <sheetView tabSelected="1" topLeftCell="A164" zoomScale="130" zoomScaleNormal="130" workbookViewId="0">
      <selection activeCell="E174" sqref="E174"/>
    </sheetView>
  </sheetViews>
  <sheetFormatPr baseColWidth="10" defaultColWidth="11" defaultRowHeight="16" x14ac:dyDescent="0.2"/>
  <cols>
    <col min="2" max="2" width="21.1640625" customWidth="1"/>
    <col min="3" max="3" width="54.1640625" customWidth="1"/>
    <col min="4" max="4" width="39" customWidth="1"/>
  </cols>
  <sheetData>
    <row r="1" spans="1:4" x14ac:dyDescent="0.2">
      <c r="A1" t="s">
        <v>165</v>
      </c>
      <c r="B1" t="s">
        <v>207</v>
      </c>
      <c r="C1" t="s">
        <v>206</v>
      </c>
      <c r="D1" t="s">
        <v>227</v>
      </c>
    </row>
    <row r="2" spans="1:4" x14ac:dyDescent="0.2">
      <c r="B2" t="s">
        <v>179</v>
      </c>
      <c r="C2" t="s">
        <v>26</v>
      </c>
    </row>
    <row r="3" spans="1:4" x14ac:dyDescent="0.2">
      <c r="B3" t="s">
        <v>175</v>
      </c>
      <c r="C3" t="s">
        <v>228</v>
      </c>
    </row>
    <row r="4" spans="1:4" x14ac:dyDescent="0.2">
      <c r="B4" s="7" t="s">
        <v>174</v>
      </c>
      <c r="C4" t="s">
        <v>27</v>
      </c>
    </row>
    <row r="5" spans="1:4" x14ac:dyDescent="0.2">
      <c r="B5" s="7" t="s">
        <v>189</v>
      </c>
      <c r="C5" t="s">
        <v>28</v>
      </c>
    </row>
    <row r="6" spans="1:4" x14ac:dyDescent="0.2">
      <c r="B6" t="s">
        <v>168</v>
      </c>
      <c r="C6" t="s">
        <v>29</v>
      </c>
    </row>
    <row r="7" spans="1:4" x14ac:dyDescent="0.2">
      <c r="B7" t="s">
        <v>167</v>
      </c>
      <c r="C7" t="s">
        <v>220</v>
      </c>
      <c r="D7" t="s">
        <v>221</v>
      </c>
    </row>
    <row r="8" spans="1:4" x14ac:dyDescent="0.2">
      <c r="B8" t="s">
        <v>178</v>
      </c>
      <c r="C8" t="s">
        <v>30</v>
      </c>
    </row>
    <row r="9" spans="1:4" x14ac:dyDescent="0.2">
      <c r="B9" s="7" t="s">
        <v>1</v>
      </c>
      <c r="C9" t="s">
        <v>229</v>
      </c>
    </row>
    <row r="10" spans="1:4" x14ac:dyDescent="0.2">
      <c r="B10" t="s">
        <v>166</v>
      </c>
      <c r="C10" t="s">
        <v>31</v>
      </c>
    </row>
    <row r="11" spans="1:4" x14ac:dyDescent="0.2">
      <c r="B11" s="7" t="s">
        <v>177</v>
      </c>
      <c r="C11" t="s">
        <v>32</v>
      </c>
    </row>
    <row r="12" spans="1:4" x14ac:dyDescent="0.2">
      <c r="B12" t="s">
        <v>172</v>
      </c>
      <c r="C12" t="s">
        <v>33</v>
      </c>
    </row>
    <row r="13" spans="1:4" x14ac:dyDescent="0.2">
      <c r="B13" t="s">
        <v>173</v>
      </c>
      <c r="C13" t="s">
        <v>34</v>
      </c>
    </row>
    <row r="14" spans="1:4" x14ac:dyDescent="0.2">
      <c r="B14" t="s">
        <v>171</v>
      </c>
      <c r="C14" t="s">
        <v>35</v>
      </c>
    </row>
    <row r="15" spans="1:4" x14ac:dyDescent="0.2">
      <c r="B15" t="s">
        <v>170</v>
      </c>
      <c r="C15" t="s">
        <v>194</v>
      </c>
    </row>
    <row r="16" spans="1:4" x14ac:dyDescent="0.2">
      <c r="B16" t="s">
        <v>169</v>
      </c>
      <c r="C16" t="s">
        <v>195</v>
      </c>
    </row>
    <row r="17" spans="2:4" x14ac:dyDescent="0.2">
      <c r="B17" t="s">
        <v>176</v>
      </c>
      <c r="C17" t="s">
        <v>196</v>
      </c>
    </row>
    <row r="18" spans="2:4" x14ac:dyDescent="0.2">
      <c r="B18" t="s">
        <v>180</v>
      </c>
      <c r="C18" t="s">
        <v>36</v>
      </c>
    </row>
    <row r="19" spans="2:4" x14ac:dyDescent="0.2">
      <c r="B19" t="s">
        <v>210</v>
      </c>
      <c r="C19" t="s">
        <v>37</v>
      </c>
    </row>
    <row r="20" spans="2:4" x14ac:dyDescent="0.2">
      <c r="B20" s="7" t="s">
        <v>182</v>
      </c>
      <c r="C20" t="s">
        <v>38</v>
      </c>
    </row>
    <row r="21" spans="2:4" x14ac:dyDescent="0.2">
      <c r="B21" t="s">
        <v>184</v>
      </c>
      <c r="C21" t="s">
        <v>198</v>
      </c>
      <c r="D21" t="s">
        <v>230</v>
      </c>
    </row>
    <row r="22" spans="2:4" x14ac:dyDescent="0.2">
      <c r="B22" t="s">
        <v>183</v>
      </c>
      <c r="C22" t="s">
        <v>39</v>
      </c>
    </row>
    <row r="23" spans="2:4" x14ac:dyDescent="0.2">
      <c r="B23" t="s">
        <v>181</v>
      </c>
      <c r="C23" t="s">
        <v>15</v>
      </c>
    </row>
    <row r="24" spans="2:4" x14ac:dyDescent="0.2">
      <c r="B24" t="s">
        <v>192</v>
      </c>
      <c r="C24" t="s">
        <v>40</v>
      </c>
    </row>
    <row r="25" spans="2:4" x14ac:dyDescent="0.2">
      <c r="B25" t="s">
        <v>186</v>
      </c>
      <c r="C25" t="s">
        <v>41</v>
      </c>
    </row>
    <row r="26" spans="2:4" x14ac:dyDescent="0.2">
      <c r="B26" t="s">
        <v>187</v>
      </c>
      <c r="C26" t="s">
        <v>42</v>
      </c>
    </row>
    <row r="27" spans="2:4" x14ac:dyDescent="0.2">
      <c r="B27" s="7" t="s">
        <v>4</v>
      </c>
      <c r="C27" t="s">
        <v>43</v>
      </c>
    </row>
    <row r="28" spans="2:4" x14ac:dyDescent="0.2">
      <c r="B28" s="7" t="s">
        <v>4</v>
      </c>
      <c r="C28" t="s">
        <v>44</v>
      </c>
    </row>
    <row r="29" spans="2:4" x14ac:dyDescent="0.2">
      <c r="B29" t="s">
        <v>25</v>
      </c>
      <c r="C29" t="s">
        <v>199</v>
      </c>
      <c r="D29" t="s">
        <v>230</v>
      </c>
    </row>
    <row r="30" spans="2:4" x14ac:dyDescent="0.2">
      <c r="B30" t="s">
        <v>193</v>
      </c>
      <c r="C30" t="s">
        <v>45</v>
      </c>
    </row>
    <row r="31" spans="2:4" x14ac:dyDescent="0.2">
      <c r="B31" t="s">
        <v>191</v>
      </c>
      <c r="C31" t="s">
        <v>10</v>
      </c>
    </row>
    <row r="32" spans="2:4" x14ac:dyDescent="0.2">
      <c r="B32" t="s">
        <v>188</v>
      </c>
      <c r="C32" t="s">
        <v>46</v>
      </c>
    </row>
    <row r="33" spans="2:3" x14ac:dyDescent="0.2">
      <c r="B33" t="s">
        <v>185</v>
      </c>
      <c r="C33" t="s">
        <v>47</v>
      </c>
    </row>
    <row r="34" spans="2:3" x14ac:dyDescent="0.2">
      <c r="B34" t="s">
        <v>190</v>
      </c>
      <c r="C34" t="s">
        <v>48</v>
      </c>
    </row>
    <row r="35" spans="2:3" x14ac:dyDescent="0.2">
      <c r="B35" s="7" t="s">
        <v>209</v>
      </c>
      <c r="C35" t="s">
        <v>49</v>
      </c>
    </row>
    <row r="36" spans="2:3" x14ac:dyDescent="0.2">
      <c r="C36" t="s">
        <v>50</v>
      </c>
    </row>
    <row r="37" spans="2:3" x14ac:dyDescent="0.2">
      <c r="C37" t="s">
        <v>51</v>
      </c>
    </row>
    <row r="38" spans="2:3" x14ac:dyDescent="0.2">
      <c r="C38" t="s">
        <v>52</v>
      </c>
    </row>
    <row r="39" spans="2:3" x14ac:dyDescent="0.2">
      <c r="C39" t="s">
        <v>53</v>
      </c>
    </row>
    <row r="40" spans="2:3" x14ac:dyDescent="0.2">
      <c r="C40" t="s">
        <v>16</v>
      </c>
    </row>
    <row r="41" spans="2:3" x14ac:dyDescent="0.2">
      <c r="C41" t="s">
        <v>54</v>
      </c>
    </row>
    <row r="42" spans="2:3" x14ac:dyDescent="0.2">
      <c r="C42" t="s">
        <v>55</v>
      </c>
    </row>
    <row r="43" spans="2:3" x14ac:dyDescent="0.2">
      <c r="C43" t="s">
        <v>56</v>
      </c>
    </row>
    <row r="44" spans="2:3" x14ac:dyDescent="0.2">
      <c r="C44" t="s">
        <v>24</v>
      </c>
    </row>
    <row r="45" spans="2:3" x14ac:dyDescent="0.2">
      <c r="C45" t="s">
        <v>57</v>
      </c>
    </row>
    <row r="46" spans="2:3" x14ac:dyDescent="0.2">
      <c r="C46" t="s">
        <v>58</v>
      </c>
    </row>
    <row r="47" spans="2:3" x14ac:dyDescent="0.2">
      <c r="C47" t="s">
        <v>20</v>
      </c>
    </row>
    <row r="48" spans="2:3" x14ac:dyDescent="0.2">
      <c r="C48" t="s">
        <v>59</v>
      </c>
    </row>
    <row r="49" spans="3:4" x14ac:dyDescent="0.2">
      <c r="C49" t="s">
        <v>60</v>
      </c>
    </row>
    <row r="50" spans="3:4" x14ac:dyDescent="0.2">
      <c r="C50" t="s">
        <v>61</v>
      </c>
    </row>
    <row r="51" spans="3:4" x14ac:dyDescent="0.2">
      <c r="C51" t="s">
        <v>62</v>
      </c>
    </row>
    <row r="52" spans="3:4" x14ac:dyDescent="0.2">
      <c r="C52" t="s">
        <v>63</v>
      </c>
    </row>
    <row r="53" spans="3:4" x14ac:dyDescent="0.2">
      <c r="C53" t="s">
        <v>64</v>
      </c>
    </row>
    <row r="54" spans="3:4" x14ac:dyDescent="0.2">
      <c r="C54" t="s">
        <v>65</v>
      </c>
    </row>
    <row r="55" spans="3:4" x14ac:dyDescent="0.2">
      <c r="C55" t="s">
        <v>231</v>
      </c>
    </row>
    <row r="56" spans="3:4" x14ac:dyDescent="0.2">
      <c r="C56" t="s">
        <v>66</v>
      </c>
    </row>
    <row r="57" spans="3:4" x14ac:dyDescent="0.2">
      <c r="C57" t="s">
        <v>5</v>
      </c>
    </row>
    <row r="58" spans="3:4" x14ac:dyDescent="0.2">
      <c r="C58" t="s">
        <v>67</v>
      </c>
    </row>
    <row r="59" spans="3:4" x14ac:dyDescent="0.2">
      <c r="C59" t="s">
        <v>68</v>
      </c>
    </row>
    <row r="60" spans="3:4" x14ac:dyDescent="0.2">
      <c r="C60" t="s">
        <v>222</v>
      </c>
      <c r="D60" t="s">
        <v>223</v>
      </c>
    </row>
    <row r="61" spans="3:4" x14ac:dyDescent="0.2">
      <c r="C61" t="s">
        <v>18</v>
      </c>
    </row>
    <row r="62" spans="3:4" x14ac:dyDescent="0.2">
      <c r="C62" t="s">
        <v>69</v>
      </c>
    </row>
    <row r="63" spans="3:4" x14ac:dyDescent="0.2">
      <c r="C63" t="s">
        <v>6</v>
      </c>
    </row>
    <row r="64" spans="3:4" x14ac:dyDescent="0.2">
      <c r="C64" t="s">
        <v>70</v>
      </c>
    </row>
    <row r="65" spans="3:4" x14ac:dyDescent="0.2">
      <c r="C65" t="s">
        <v>71</v>
      </c>
    </row>
    <row r="66" spans="3:4" x14ac:dyDescent="0.2">
      <c r="C66" t="s">
        <v>224</v>
      </c>
      <c r="D66" t="s">
        <v>232</v>
      </c>
    </row>
    <row r="67" spans="3:4" x14ac:dyDescent="0.2">
      <c r="C67" t="s">
        <v>72</v>
      </c>
    </row>
    <row r="68" spans="3:4" x14ac:dyDescent="0.2">
      <c r="C68" t="s">
        <v>73</v>
      </c>
    </row>
    <row r="69" spans="3:4" x14ac:dyDescent="0.2">
      <c r="C69" t="s">
        <v>74</v>
      </c>
    </row>
    <row r="70" spans="3:4" x14ac:dyDescent="0.2">
      <c r="C70" t="s">
        <v>75</v>
      </c>
    </row>
    <row r="71" spans="3:4" x14ac:dyDescent="0.2">
      <c r="C71" t="s">
        <v>76</v>
      </c>
    </row>
    <row r="72" spans="3:4" x14ac:dyDescent="0.2">
      <c r="C72" t="s">
        <v>77</v>
      </c>
    </row>
    <row r="73" spans="3:4" x14ac:dyDescent="0.2">
      <c r="C73" t="s">
        <v>78</v>
      </c>
    </row>
    <row r="74" spans="3:4" x14ac:dyDescent="0.2">
      <c r="C74" t="s">
        <v>2</v>
      </c>
    </row>
    <row r="75" spans="3:4" x14ac:dyDescent="0.2">
      <c r="C75" t="s">
        <v>19</v>
      </c>
    </row>
    <row r="76" spans="3:4" x14ac:dyDescent="0.2">
      <c r="C76" t="s">
        <v>79</v>
      </c>
    </row>
    <row r="77" spans="3:4" x14ac:dyDescent="0.2">
      <c r="C77" t="s">
        <v>80</v>
      </c>
    </row>
    <row r="78" spans="3:4" x14ac:dyDescent="0.2">
      <c r="C78" t="s">
        <v>81</v>
      </c>
    </row>
    <row r="79" spans="3:4" x14ac:dyDescent="0.2">
      <c r="C79" t="s">
        <v>23</v>
      </c>
    </row>
    <row r="80" spans="3:4" x14ac:dyDescent="0.2">
      <c r="C80" t="s">
        <v>82</v>
      </c>
    </row>
    <row r="81" spans="3:3" x14ac:dyDescent="0.2">
      <c r="C81" t="s">
        <v>83</v>
      </c>
    </row>
    <row r="82" spans="3:3" x14ac:dyDescent="0.2">
      <c r="C82" t="s">
        <v>84</v>
      </c>
    </row>
    <row r="83" spans="3:3" x14ac:dyDescent="0.2">
      <c r="C83" t="s">
        <v>85</v>
      </c>
    </row>
    <row r="84" spans="3:3" x14ac:dyDescent="0.2">
      <c r="C84" t="s">
        <v>86</v>
      </c>
    </row>
    <row r="85" spans="3:3" x14ac:dyDescent="0.2">
      <c r="C85" t="s">
        <v>87</v>
      </c>
    </row>
    <row r="86" spans="3:3" x14ac:dyDescent="0.2">
      <c r="C86" t="s">
        <v>88</v>
      </c>
    </row>
    <row r="87" spans="3:3" x14ac:dyDescent="0.2">
      <c r="C87" t="s">
        <v>89</v>
      </c>
    </row>
    <row r="88" spans="3:3" x14ac:dyDescent="0.2">
      <c r="C88" t="s">
        <v>90</v>
      </c>
    </row>
    <row r="89" spans="3:3" x14ac:dyDescent="0.2">
      <c r="C89" t="s">
        <v>91</v>
      </c>
    </row>
    <row r="90" spans="3:3" x14ac:dyDescent="0.2">
      <c r="C90" t="s">
        <v>92</v>
      </c>
    </row>
    <row r="91" spans="3:3" x14ac:dyDescent="0.2">
      <c r="C91" t="s">
        <v>93</v>
      </c>
    </row>
    <row r="92" spans="3:3" x14ac:dyDescent="0.2">
      <c r="C92" t="s">
        <v>94</v>
      </c>
    </row>
    <row r="93" spans="3:3" x14ac:dyDescent="0.2">
      <c r="C93" t="s">
        <v>95</v>
      </c>
    </row>
    <row r="94" spans="3:3" x14ac:dyDescent="0.2">
      <c r="C94" t="s">
        <v>96</v>
      </c>
    </row>
    <row r="95" spans="3:3" x14ac:dyDescent="0.2">
      <c r="C95" t="s">
        <v>97</v>
      </c>
    </row>
    <row r="96" spans="3:3" x14ac:dyDescent="0.2">
      <c r="C96" t="s">
        <v>98</v>
      </c>
    </row>
    <row r="97" spans="3:4" x14ac:dyDescent="0.2">
      <c r="C97" t="s">
        <v>99</v>
      </c>
    </row>
    <row r="98" spans="3:4" x14ac:dyDescent="0.2">
      <c r="C98" t="s">
        <v>100</v>
      </c>
    </row>
    <row r="99" spans="3:4" x14ac:dyDescent="0.2">
      <c r="C99" t="s">
        <v>101</v>
      </c>
    </row>
    <row r="100" spans="3:4" x14ac:dyDescent="0.2">
      <c r="C100" t="s">
        <v>102</v>
      </c>
    </row>
    <row r="101" spans="3:4" x14ac:dyDescent="0.2">
      <c r="C101" t="s">
        <v>103</v>
      </c>
    </row>
    <row r="102" spans="3:4" x14ac:dyDescent="0.2">
      <c r="C102" t="s">
        <v>104</v>
      </c>
    </row>
    <row r="103" spans="3:4" x14ac:dyDescent="0.2">
      <c r="C103" t="s">
        <v>105</v>
      </c>
    </row>
    <row r="104" spans="3:4" x14ac:dyDescent="0.2">
      <c r="C104" t="s">
        <v>233</v>
      </c>
    </row>
    <row r="105" spans="3:4" x14ac:dyDescent="0.2">
      <c r="C105" t="s">
        <v>234</v>
      </c>
    </row>
    <row r="106" spans="3:4" x14ac:dyDescent="0.2">
      <c r="C106" t="s">
        <v>17</v>
      </c>
    </row>
    <row r="107" spans="3:4" x14ac:dyDescent="0.2">
      <c r="C107" t="s">
        <v>235</v>
      </c>
    </row>
    <row r="108" spans="3:4" x14ac:dyDescent="0.2">
      <c r="C108" t="s">
        <v>236</v>
      </c>
      <c r="D108" t="s">
        <v>230</v>
      </c>
    </row>
    <row r="109" spans="3:4" x14ac:dyDescent="0.2">
      <c r="C109" t="s">
        <v>237</v>
      </c>
      <c r="D109" t="s">
        <v>230</v>
      </c>
    </row>
    <row r="110" spans="3:4" x14ac:dyDescent="0.2">
      <c r="C110" t="s">
        <v>106</v>
      </c>
    </row>
    <row r="111" spans="3:4" x14ac:dyDescent="0.2">
      <c r="C111" t="s">
        <v>107</v>
      </c>
    </row>
    <row r="112" spans="3:4" x14ac:dyDescent="0.2">
      <c r="C112" t="s">
        <v>108</v>
      </c>
    </row>
    <row r="113" spans="3:3" x14ac:dyDescent="0.2">
      <c r="C113" t="s">
        <v>109</v>
      </c>
    </row>
    <row r="114" spans="3:3" x14ac:dyDescent="0.2">
      <c r="C114" t="s">
        <v>110</v>
      </c>
    </row>
    <row r="115" spans="3:3" x14ac:dyDescent="0.2">
      <c r="C115" t="s">
        <v>111</v>
      </c>
    </row>
    <row r="116" spans="3:3" x14ac:dyDescent="0.2">
      <c r="C116" t="s">
        <v>112</v>
      </c>
    </row>
    <row r="117" spans="3:3" x14ac:dyDescent="0.2">
      <c r="C117" t="s">
        <v>113</v>
      </c>
    </row>
    <row r="118" spans="3:3" x14ac:dyDescent="0.2">
      <c r="C118" t="s">
        <v>114</v>
      </c>
    </row>
    <row r="119" spans="3:3" x14ac:dyDescent="0.2">
      <c r="C119" t="s">
        <v>115</v>
      </c>
    </row>
    <row r="120" spans="3:3" x14ac:dyDescent="0.2">
      <c r="C120" t="s">
        <v>116</v>
      </c>
    </row>
    <row r="121" spans="3:3" x14ac:dyDescent="0.2">
      <c r="C121" t="s">
        <v>117</v>
      </c>
    </row>
    <row r="122" spans="3:3" x14ac:dyDescent="0.2">
      <c r="C122" t="s">
        <v>11</v>
      </c>
    </row>
    <row r="123" spans="3:3" x14ac:dyDescent="0.2">
      <c r="C123" t="s">
        <v>118</v>
      </c>
    </row>
    <row r="124" spans="3:3" x14ac:dyDescent="0.2">
      <c r="C124" t="s">
        <v>119</v>
      </c>
    </row>
    <row r="125" spans="3:3" x14ac:dyDescent="0.2">
      <c r="C125" t="s">
        <v>120</v>
      </c>
    </row>
    <row r="126" spans="3:3" x14ac:dyDescent="0.2">
      <c r="C126" t="s">
        <v>121</v>
      </c>
    </row>
    <row r="127" spans="3:3" x14ac:dyDescent="0.2">
      <c r="C127" t="s">
        <v>122</v>
      </c>
    </row>
    <row r="128" spans="3:3" x14ac:dyDescent="0.2">
      <c r="C128" t="s">
        <v>3</v>
      </c>
    </row>
    <row r="129" spans="3:4" x14ac:dyDescent="0.2">
      <c r="C129" t="s">
        <v>197</v>
      </c>
      <c r="D129" t="s">
        <v>230</v>
      </c>
    </row>
    <row r="130" spans="3:4" x14ac:dyDescent="0.2">
      <c r="C130" t="s">
        <v>123</v>
      </c>
    </row>
    <row r="131" spans="3:4" x14ac:dyDescent="0.2">
      <c r="C131" t="s">
        <v>124</v>
      </c>
    </row>
    <row r="132" spans="3:4" x14ac:dyDescent="0.2">
      <c r="C132" t="s">
        <v>125</v>
      </c>
    </row>
    <row r="133" spans="3:4" x14ac:dyDescent="0.2">
      <c r="C133" t="s">
        <v>238</v>
      </c>
    </row>
    <row r="134" spans="3:4" x14ac:dyDescent="0.2">
      <c r="C134" t="s">
        <v>126</v>
      </c>
    </row>
    <row r="135" spans="3:4" x14ac:dyDescent="0.2">
      <c r="C135" t="s">
        <v>127</v>
      </c>
    </row>
    <row r="136" spans="3:4" x14ac:dyDescent="0.2">
      <c r="C136" t="s">
        <v>128</v>
      </c>
    </row>
    <row r="137" spans="3:4" x14ac:dyDescent="0.2">
      <c r="C137" t="s">
        <v>129</v>
      </c>
    </row>
    <row r="138" spans="3:4" x14ac:dyDescent="0.2">
      <c r="C138" t="s">
        <v>130</v>
      </c>
    </row>
    <row r="139" spans="3:4" x14ac:dyDescent="0.2">
      <c r="C139" t="s">
        <v>131</v>
      </c>
    </row>
    <row r="140" spans="3:4" x14ac:dyDescent="0.2">
      <c r="C140" t="s">
        <v>132</v>
      </c>
    </row>
    <row r="141" spans="3:4" x14ac:dyDescent="0.2">
      <c r="C141" t="s">
        <v>133</v>
      </c>
    </row>
    <row r="142" spans="3:4" x14ac:dyDescent="0.2">
      <c r="C142" t="s">
        <v>134</v>
      </c>
    </row>
    <row r="143" spans="3:4" x14ac:dyDescent="0.2">
      <c r="C143" t="s">
        <v>239</v>
      </c>
    </row>
    <row r="144" spans="3:4" x14ac:dyDescent="0.2">
      <c r="C144" t="s">
        <v>135</v>
      </c>
    </row>
    <row r="145" spans="3:4" x14ac:dyDescent="0.2">
      <c r="C145" t="s">
        <v>136</v>
      </c>
    </row>
    <row r="146" spans="3:4" x14ac:dyDescent="0.2">
      <c r="C146" t="s">
        <v>137</v>
      </c>
    </row>
    <row r="147" spans="3:4" x14ac:dyDescent="0.2">
      <c r="C147" t="s">
        <v>225</v>
      </c>
      <c r="D147" t="s">
        <v>226</v>
      </c>
    </row>
    <row r="148" spans="3:4" x14ac:dyDescent="0.2">
      <c r="C148" t="s">
        <v>138</v>
      </c>
    </row>
    <row r="149" spans="3:4" x14ac:dyDescent="0.2">
      <c r="C149" t="s">
        <v>139</v>
      </c>
    </row>
    <row r="150" spans="3:4" x14ac:dyDescent="0.2">
      <c r="C150" t="s">
        <v>140</v>
      </c>
    </row>
    <row r="151" spans="3:4" x14ac:dyDescent="0.2">
      <c r="C151" t="s">
        <v>141</v>
      </c>
    </row>
    <row r="152" spans="3:4" x14ac:dyDescent="0.2">
      <c r="C152" t="s">
        <v>142</v>
      </c>
    </row>
    <row r="153" spans="3:4" x14ac:dyDescent="0.2">
      <c r="C153" t="s">
        <v>143</v>
      </c>
    </row>
    <row r="154" spans="3:4" x14ac:dyDescent="0.2">
      <c r="C154" t="s">
        <v>144</v>
      </c>
    </row>
    <row r="155" spans="3:4" x14ac:dyDescent="0.2">
      <c r="C155" t="s">
        <v>145</v>
      </c>
    </row>
    <row r="156" spans="3:4" x14ac:dyDescent="0.2">
      <c r="C156" t="s">
        <v>146</v>
      </c>
    </row>
    <row r="157" spans="3:4" x14ac:dyDescent="0.2">
      <c r="C157" t="s">
        <v>147</v>
      </c>
    </row>
    <row r="158" spans="3:4" x14ac:dyDescent="0.2">
      <c r="C158" t="s">
        <v>148</v>
      </c>
    </row>
    <row r="159" spans="3:4" x14ac:dyDescent="0.2">
      <c r="C159" t="s">
        <v>149</v>
      </c>
    </row>
    <row r="160" spans="3:4" x14ac:dyDescent="0.2">
      <c r="C160" t="s">
        <v>150</v>
      </c>
    </row>
    <row r="161" spans="3:4" x14ac:dyDescent="0.2">
      <c r="C161" t="s">
        <v>151</v>
      </c>
    </row>
    <row r="162" spans="3:4" x14ac:dyDescent="0.2">
      <c r="C162" t="s">
        <v>22</v>
      </c>
    </row>
    <row r="163" spans="3:4" x14ac:dyDescent="0.2">
      <c r="C163" t="s">
        <v>200</v>
      </c>
      <c r="D163" t="s">
        <v>230</v>
      </c>
    </row>
    <row r="164" spans="3:4" x14ac:dyDescent="0.2">
      <c r="C164" t="s">
        <v>25</v>
      </c>
    </row>
    <row r="165" spans="3:4" x14ac:dyDescent="0.2">
      <c r="C165" t="s">
        <v>21</v>
      </c>
    </row>
    <row r="166" spans="3:4" x14ac:dyDescent="0.2">
      <c r="C166" t="s">
        <v>152</v>
      </c>
    </row>
    <row r="167" spans="3:4" x14ac:dyDescent="0.2">
      <c r="C167" t="s">
        <v>153</v>
      </c>
    </row>
    <row r="168" spans="3:4" x14ac:dyDescent="0.2">
      <c r="C168" t="s">
        <v>154</v>
      </c>
    </row>
    <row r="169" spans="3:4" x14ac:dyDescent="0.2">
      <c r="C169" t="s">
        <v>155</v>
      </c>
    </row>
    <row r="170" spans="3:4" x14ac:dyDescent="0.2">
      <c r="C170" t="s">
        <v>156</v>
      </c>
    </row>
    <row r="171" spans="3:4" x14ac:dyDescent="0.2">
      <c r="C171" t="s">
        <v>157</v>
      </c>
    </row>
    <row r="172" spans="3:4" x14ac:dyDescent="0.2">
      <c r="C172" t="s">
        <v>158</v>
      </c>
    </row>
    <row r="173" spans="3:4" x14ac:dyDescent="0.2">
      <c r="C173" t="s">
        <v>159</v>
      </c>
    </row>
    <row r="174" spans="3:4" x14ac:dyDescent="0.2">
      <c r="C174" t="s">
        <v>160</v>
      </c>
    </row>
    <row r="175" spans="3:4" x14ac:dyDescent="0.2">
      <c r="C175" t="s">
        <v>161</v>
      </c>
    </row>
    <row r="176" spans="3:4" x14ac:dyDescent="0.2">
      <c r="C176" t="s">
        <v>162</v>
      </c>
    </row>
    <row r="177" spans="3:4" x14ac:dyDescent="0.2">
      <c r="C177" t="s">
        <v>240</v>
      </c>
    </row>
    <row r="178" spans="3:4" x14ac:dyDescent="0.2">
      <c r="C178" t="s">
        <v>241</v>
      </c>
    </row>
    <row r="179" spans="3:4" x14ac:dyDescent="0.2">
      <c r="C179" t="s">
        <v>242</v>
      </c>
    </row>
    <row r="180" spans="3:4" x14ac:dyDescent="0.2">
      <c r="C180" t="s">
        <v>243</v>
      </c>
    </row>
    <row r="181" spans="3:4" x14ac:dyDescent="0.2">
      <c r="C181" t="s">
        <v>244</v>
      </c>
    </row>
    <row r="182" spans="3:4" x14ac:dyDescent="0.2">
      <c r="C182" t="s">
        <v>245</v>
      </c>
    </row>
    <row r="183" spans="3:4" x14ac:dyDescent="0.2">
      <c r="C183" t="s">
        <v>246</v>
      </c>
    </row>
    <row r="184" spans="3:4" x14ac:dyDescent="0.2">
      <c r="C184" t="s">
        <v>12</v>
      </c>
    </row>
    <row r="185" spans="3:4" x14ac:dyDescent="0.2">
      <c r="C185" t="s">
        <v>163</v>
      </c>
    </row>
    <row r="186" spans="3:4" x14ac:dyDescent="0.2">
      <c r="C186" t="s">
        <v>164</v>
      </c>
    </row>
    <row r="187" spans="3:4" x14ac:dyDescent="0.2">
      <c r="C187" t="s">
        <v>247</v>
      </c>
      <c r="D187" t="s">
        <v>248</v>
      </c>
    </row>
    <row r="188" spans="3:4" x14ac:dyDescent="0.2">
      <c r="C188" t="s">
        <v>249</v>
      </c>
      <c r="D188" t="s">
        <v>248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DictionaryName</vt:lpstr>
      <vt:lpstr>Definitions</vt:lpstr>
      <vt:lpstr>AssociatedElements</vt:lpstr>
      <vt:lpstr>AlternateNames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Ponti, Daniel J</cp:lastModifiedBy>
  <dcterms:created xsi:type="dcterms:W3CDTF">2018-10-28T20:07:54Z</dcterms:created>
  <dcterms:modified xsi:type="dcterms:W3CDTF">2025-12-29T09:09:55Z</dcterms:modified>
</cp:coreProperties>
</file>