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barSize</t>
        </is>
      </c>
      <c r="C3" s="12" t="inlineStr">
        <is>
          <t>barSize</t>
        </is>
      </c>
      <c r="D3" s="12" t="inlineStr">
        <is>
          <t>DIGGS Reinforcement Bar Size Codelist Definitions</t>
        </is>
      </c>
      <c r="E3" s="2" t="inlineStr">
        <is>
          <t>Codes for reinforcing bar designations - ASTM A615/A706 imperial sizes and CSA G30.18 metric sizes. A coded designation rather than a bare diameter, since bar-numbering conventions differ by standard and a diameter alone loses which convention produced it. Used for the value of diggs:ReinforcementType/diggs:barSize.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us_3</t>
        </is>
      </c>
      <c r="C2" s="13" t="inlineStr">
        <is>
          <t>US #3</t>
        </is>
      </c>
      <c r="D2" s="14" t="inlineStr">
        <is>
          <t>ASTM imperial rebar size #3 (nominal diameter 3/8 in, 9.5 mm).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us_4</t>
        </is>
      </c>
      <c r="C3" s="13" t="inlineStr">
        <is>
          <t>US #4</t>
        </is>
      </c>
      <c r="D3" s="14" t="inlineStr">
        <is>
          <t>ASTM imperial rebar size #4 (nominal diameter 1/2 in, 12.7 mm).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us_5</t>
        </is>
      </c>
      <c r="C4" t="inlineStr">
        <is>
          <t>US #5</t>
        </is>
      </c>
      <c r="D4" t="inlineStr">
        <is>
          <t>ASTM imperial rebar size #5 (nominal diameter 5/8 in, 15.9 mm).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us_6</t>
        </is>
      </c>
      <c r="C5" s="13" t="inlineStr">
        <is>
          <t>US #6</t>
        </is>
      </c>
      <c r="D5" s="14" t="inlineStr">
        <is>
          <t>ASTM imperial rebar size #6 (nominal diameter 3/4 in, 19.1 mm).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B6" t="inlineStr">
        <is>
          <t>us_7</t>
        </is>
      </c>
      <c r="C6" s="16" t="inlineStr">
        <is>
          <t>US #7</t>
        </is>
      </c>
      <c r="D6" s="16" t="inlineStr">
        <is>
          <t>ASTM imperial rebar size #7 (nominal diameter 7/8 in, 22.2 mm).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IF(ISNA(VLOOKUP(B7,AssociatedElements!B$2:B2945,1,FALSE)),"Not used","")</f>
        <v/>
      </c>
      <c r="B7" t="inlineStr">
        <is>
          <t>us_8</t>
        </is>
      </c>
      <c r="C7" t="inlineStr">
        <is>
          <t>US #8</t>
        </is>
      </c>
      <c r="D7" t="inlineStr">
        <is>
          <t>ASTM imperial rebar size #8 (nominal diameter 1 in, 25.4 mm).</t>
        </is>
      </c>
      <c r="E7" t="inlineStr">
        <is>
          <t>string</t>
        </is>
      </c>
      <c r="G7" s="9" t="inlineStr">
        <is>
          <t>DIGGS</t>
        </is>
      </c>
    </row>
    <row r="8">
      <c r="A8" s="2">
        <f>IF(ISNA(VLOOKUP(B8,AssociatedElements!B$2:B2946,1,FALSE)),"Not used","")</f>
        <v/>
      </c>
      <c r="B8" t="inlineStr">
        <is>
          <t>us_9</t>
        </is>
      </c>
      <c r="C8" t="inlineStr">
        <is>
          <t>US #9</t>
        </is>
      </c>
      <c r="D8" t="inlineStr">
        <is>
          <t>ASTM imperial rebar size #9 (nominal diameter 1-1/8 in, 28.7 mm).</t>
        </is>
      </c>
      <c r="E8" t="inlineStr">
        <is>
          <t>string</t>
        </is>
      </c>
      <c r="G8" s="9" t="inlineStr">
        <is>
          <t>DIGGS</t>
        </is>
      </c>
    </row>
    <row r="9">
      <c r="A9" s="2">
        <f>IF(ISNA(VLOOKUP(B9,AssociatedElements!B$2:B2947,1,FALSE)),"Not used","")</f>
        <v/>
      </c>
      <c r="B9" t="inlineStr">
        <is>
          <t>us_10</t>
        </is>
      </c>
      <c r="C9" s="16" t="inlineStr">
        <is>
          <t>US #10</t>
        </is>
      </c>
      <c r="D9" s="16" t="inlineStr">
        <is>
          <t>ASTM imperial rebar size #10 (nominal diameter 1-1/4 in, 32.3 mm).</t>
        </is>
      </c>
      <c r="E9" s="17" t="inlineStr">
        <is>
          <t>string</t>
        </is>
      </c>
      <c r="G9" s="9" t="inlineStr">
        <is>
          <t>DIGGS</t>
        </is>
      </c>
    </row>
    <row r="10">
      <c r="A10" s="2">
        <f>IF(ISNA(VLOOKUP(B10,AssociatedElements!B$2:B2948,1,FALSE)),"Not used","")</f>
        <v/>
      </c>
      <c r="B10" s="13" t="inlineStr">
        <is>
          <t>us_11</t>
        </is>
      </c>
      <c r="C10" s="13" t="inlineStr">
        <is>
          <t>US #11</t>
        </is>
      </c>
      <c r="D10" s="14" t="inlineStr">
        <is>
          <t>ASTM imperial rebar size #11 (nominal diameter 1-3/8 in, 35.8 mm).</t>
        </is>
      </c>
      <c r="E10" s="13" t="inlineStr">
        <is>
          <t>string</t>
        </is>
      </c>
      <c r="F10" s="13" t="n"/>
      <c r="G10" s="9" t="inlineStr">
        <is>
          <t>DIGGS</t>
        </is>
      </c>
    </row>
    <row r="11">
      <c r="A11" s="2">
        <f>IF(ISNA(VLOOKUP(B11,AssociatedElements!B$2:B2949,1,FALSE)),"Not used","")</f>
        <v/>
      </c>
      <c r="B11" s="13" t="inlineStr">
        <is>
          <t>us_14</t>
        </is>
      </c>
      <c r="C11" s="13" t="inlineStr">
        <is>
          <t>US #14</t>
        </is>
      </c>
      <c r="D11" s="14" t="inlineStr">
        <is>
          <t>ASTM imperial rebar size #14 (nominal diameter 1-3/4 in, 43.0 mm).</t>
        </is>
      </c>
      <c r="E11" s="13" t="inlineStr">
        <is>
          <t>string</t>
        </is>
      </c>
      <c r="F11" s="13" t="n"/>
      <c r="G11" s="9" t="inlineStr">
        <is>
          <t>DIGGS</t>
        </is>
      </c>
    </row>
    <row r="12">
      <c r="A12" s="2">
        <f>IF(ISNA(VLOOKUP(B12,AssociatedElements!B$2:B2950,1,FALSE)),"Not used","")</f>
        <v/>
      </c>
      <c r="B12" s="13" t="inlineStr">
        <is>
          <t>us_18</t>
        </is>
      </c>
      <c r="C12" s="13" t="inlineStr">
        <is>
          <t>US #18</t>
        </is>
      </c>
      <c r="D12" s="14" t="inlineStr">
        <is>
          <t>ASTM imperial rebar size #18 (nominal diameter 2-1/4 in, 57.3 mm).</t>
        </is>
      </c>
      <c r="E12" s="13" t="inlineStr">
        <is>
          <t>string</t>
        </is>
      </c>
      <c r="F12" s="13" t="n"/>
      <c r="G12" s="9" t="inlineStr">
        <is>
          <t>DIGGS</t>
        </is>
      </c>
    </row>
    <row r="13">
      <c r="A13" s="2">
        <f>IF(ISNA(VLOOKUP(B13,AssociatedElements!B$2:B2951,1,FALSE)),"Not used","")</f>
        <v/>
      </c>
      <c r="B13" s="13" t="inlineStr">
        <is>
          <t>metric_10m</t>
        </is>
      </c>
      <c r="C13" s="13" t="inlineStr">
        <is>
          <t>Metric 10M</t>
        </is>
      </c>
      <c r="D13" s="14" t="inlineStr">
        <is>
          <t>CSA G30.18 metric rebar size 10M (nominal diameter 11.3 mm).</t>
        </is>
      </c>
      <c r="E13" s="13" t="inlineStr">
        <is>
          <t>string</t>
        </is>
      </c>
      <c r="F13" s="13" t="n"/>
      <c r="G13" s="9" t="inlineStr">
        <is>
          <t>DIGGS</t>
        </is>
      </c>
    </row>
    <row r="14">
      <c r="A14" s="2">
        <f>IF(ISNA(VLOOKUP(B14,AssociatedElements!B$2:B2952,1,FALSE)),"Not used","")</f>
        <v/>
      </c>
      <c r="B14" s="13" t="inlineStr">
        <is>
          <t>metric_15m</t>
        </is>
      </c>
      <c r="C14" s="13" t="inlineStr">
        <is>
          <t>Metric 15M</t>
        </is>
      </c>
      <c r="D14" s="14" t="inlineStr">
        <is>
          <t>CSA G30.18 metric rebar size 15M (nominal diameter 16.0 mm).</t>
        </is>
      </c>
      <c r="E14" s="13" t="inlineStr">
        <is>
          <t>string</t>
        </is>
      </c>
      <c r="F14" s="13" t="n"/>
      <c r="G14" s="9" t="inlineStr">
        <is>
          <t>DIGGS</t>
        </is>
      </c>
    </row>
    <row r="15">
      <c r="A15" s="2">
        <f>IF(ISNA(VLOOKUP(B15,AssociatedElements!B$2:B2953,1,FALSE)),"Not used","")</f>
        <v/>
      </c>
      <c r="B15" s="13" t="inlineStr">
        <is>
          <t>metric_20m</t>
        </is>
      </c>
      <c r="C15" s="18" t="inlineStr">
        <is>
          <t>Metric 20M</t>
        </is>
      </c>
      <c r="D15" s="19" t="inlineStr">
        <is>
          <t>CSA G30.18 metric rebar size 20M (nominal diameter 19.5 mm).</t>
        </is>
      </c>
      <c r="E15" s="18" t="inlineStr">
        <is>
          <t>string</t>
        </is>
      </c>
      <c r="F15" s="18" t="n"/>
      <c r="G15" s="9" t="inlineStr">
        <is>
          <t>DIGGS</t>
        </is>
      </c>
    </row>
    <row r="16">
      <c r="A16" s="2">
        <f>IF(ISNA(VLOOKUP(B16,AssociatedElements!B$2:B2954,1,FALSE)),"Not used","")</f>
        <v/>
      </c>
      <c r="B16" s="13" t="inlineStr">
        <is>
          <t>metric_25m</t>
        </is>
      </c>
      <c r="C16" s="18" t="inlineStr">
        <is>
          <t>Metric 25M</t>
        </is>
      </c>
      <c r="D16" s="19" t="inlineStr">
        <is>
          <t>CSA G30.18 metric rebar size 25M (nominal diameter 25.2 mm).</t>
        </is>
      </c>
      <c r="E16" s="18" t="inlineStr">
        <is>
          <t>string</t>
        </is>
      </c>
      <c r="F16" s="18" t="n"/>
      <c r="G16" s="9" t="inlineStr">
        <is>
          <t>DIGGS</t>
        </is>
      </c>
    </row>
    <row r="17">
      <c r="A17" s="2">
        <f>IF(ISNA(VLOOKUP(B17,AssociatedElements!B$2:B2955,1,FALSE)),"Not used","")</f>
        <v/>
      </c>
      <c r="B17" s="13" t="inlineStr">
        <is>
          <t>metric_30m</t>
        </is>
      </c>
      <c r="C17" s="18" t="inlineStr">
        <is>
          <t>Metric 30M</t>
        </is>
      </c>
      <c r="D17" s="19" t="inlineStr">
        <is>
          <t>CSA G30.18 metric rebar size 30M (nominal diameter 29.9 mm).</t>
        </is>
      </c>
      <c r="E17" s="18" t="inlineStr">
        <is>
          <t>string</t>
        </is>
      </c>
      <c r="F17" s="18" t="n"/>
      <c r="G17" s="9" t="inlineStr">
        <is>
          <t>DIGGS</t>
        </is>
      </c>
    </row>
    <row r="18">
      <c r="A18" s="2">
        <f>IF(ISNA(VLOOKUP(B18,AssociatedElements!B$2:B2956,1,FALSE)),"Not used","")</f>
        <v/>
      </c>
      <c r="B18" s="13" t="inlineStr">
        <is>
          <t>metric_35m</t>
        </is>
      </c>
      <c r="C18" s="18" t="inlineStr">
        <is>
          <t>Metric 35M</t>
        </is>
      </c>
      <c r="D18" s="19" t="inlineStr">
        <is>
          <t>CSA G30.18 metric rebar size 35M (nominal diameter 35.7 mm).</t>
        </is>
      </c>
      <c r="E18" s="18" t="inlineStr">
        <is>
          <t>string</t>
        </is>
      </c>
      <c r="F18" s="18" t="n"/>
      <c r="G18" s="9" t="inlineStr">
        <is>
          <t>DIGGS</t>
        </is>
      </c>
    </row>
    <row r="19">
      <c r="A19" s="2">
        <f>IF(ISNA(VLOOKUP(B19,AssociatedElements!B$2:B2957,1,FALSE)),"Not used","")</f>
        <v/>
      </c>
      <c r="B19" s="13" t="inlineStr">
        <is>
          <t>metric_45m</t>
        </is>
      </c>
      <c r="C19" s="18" t="inlineStr">
        <is>
          <t>Metric 45M</t>
        </is>
      </c>
      <c r="D19" s="19" t="inlineStr">
        <is>
          <t>CSA G30.18 metric rebar size 45M (nominal diameter 43.7 mm).</t>
        </is>
      </c>
      <c r="E19" s="18" t="inlineStr">
        <is>
          <t>string</t>
        </is>
      </c>
      <c r="F19" s="18" t="n"/>
      <c r="G19" s="9" t="inlineStr">
        <is>
          <t>DIGGS</t>
        </is>
      </c>
    </row>
    <row r="20">
      <c r="A20" s="2">
        <f>IF(ISNA(VLOOKUP(B20,AssociatedElements!B$2:B2958,1,FALSE)),"Not used","")</f>
        <v/>
      </c>
      <c r="B20" s="13" t="inlineStr">
        <is>
          <t>metric_55m</t>
        </is>
      </c>
      <c r="C20" s="18" t="inlineStr">
        <is>
          <t>Metric 55M</t>
        </is>
      </c>
      <c r="D20" s="19" t="inlineStr">
        <is>
          <t>CSA G30.18 metric rebar size 55M (nominal diameter 56.4 mm).</t>
        </is>
      </c>
      <c r="E20" s="18" t="inlineStr">
        <is>
          <t>string</t>
        </is>
      </c>
      <c r="F20" s="18" t="n"/>
      <c r="G20" s="9" t="inlineStr">
        <is>
          <t>DIGGS</t>
        </is>
      </c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us_3</t>
        </is>
      </c>
      <c r="C2" t="inlineStr">
        <is>
          <t>//diggs:Reinforcement/diggs:barSize</t>
        </is>
      </c>
    </row>
    <row r="3">
      <c r="A3">
        <f>IF(ISNA(VLOOKUP(B3,Definitions!B$2:B$1839,1,FALSE)),"Not listed","")</f>
        <v/>
      </c>
      <c r="B3" s="20" t="inlineStr">
        <is>
          <t>us_4</t>
        </is>
      </c>
      <c r="C3" t="inlineStr">
        <is>
          <t>//diggs:Reinforcement/diggs:barSize</t>
        </is>
      </c>
    </row>
    <row r="4">
      <c r="A4">
        <f>IF(ISNA(VLOOKUP(B4,Definitions!B$2:B$1839,1,FALSE)),"Not listed","")</f>
        <v/>
      </c>
      <c r="B4" s="2" t="inlineStr">
        <is>
          <t>us_5</t>
        </is>
      </c>
      <c r="C4" t="inlineStr">
        <is>
          <t>//diggs:Reinforcement/diggs:barSize</t>
        </is>
      </c>
    </row>
    <row r="5">
      <c r="A5">
        <f>IF(ISNA(VLOOKUP(B5,Definitions!B$2:B$1839,1,FALSE)),"Not listed","")</f>
        <v/>
      </c>
      <c r="B5" s="2" t="inlineStr">
        <is>
          <t>us_6</t>
        </is>
      </c>
      <c r="C5" t="inlineStr">
        <is>
          <t>//diggs:Reinforcement/diggs:barSize</t>
        </is>
      </c>
    </row>
    <row r="6">
      <c r="A6">
        <f>IF(ISNA(VLOOKUP(B6,Definitions!B$2:B$1839,1,FALSE)),"Not listed","")</f>
        <v/>
      </c>
      <c r="B6" s="2" t="inlineStr">
        <is>
          <t>us_7</t>
        </is>
      </c>
      <c r="C6" t="inlineStr">
        <is>
          <t>//diggs:Reinforcement/diggs:barSize</t>
        </is>
      </c>
    </row>
    <row r="7">
      <c r="A7">
        <f>IF(ISNA(VLOOKUP(B7,Definitions!B$2:B$1839,1,FALSE)),"Not listed","")</f>
        <v/>
      </c>
      <c r="B7" s="2" t="inlineStr">
        <is>
          <t>us_8</t>
        </is>
      </c>
      <c r="C7" t="inlineStr">
        <is>
          <t>//diggs:Reinforcement/diggs:barSize</t>
        </is>
      </c>
    </row>
    <row r="8">
      <c r="A8">
        <f>IF(ISNA(VLOOKUP(B8,Definitions!B$2:B$1839,1,FALSE)),"Not listed","")</f>
        <v/>
      </c>
      <c r="B8" s="2" t="inlineStr">
        <is>
          <t>us_9</t>
        </is>
      </c>
      <c r="C8" t="inlineStr">
        <is>
          <t>//diggs:Reinforcement/diggs:barSize</t>
        </is>
      </c>
    </row>
    <row r="9">
      <c r="A9">
        <f>IF(ISNA(VLOOKUP(B9,Definitions!B$2:B$1839,1,FALSE)),"Not listed","")</f>
        <v/>
      </c>
      <c r="B9" s="2" t="inlineStr">
        <is>
          <t>us_10</t>
        </is>
      </c>
      <c r="C9" t="inlineStr">
        <is>
          <t>//diggs:Reinforcement/diggs:barSize</t>
        </is>
      </c>
    </row>
    <row r="10">
      <c r="A10">
        <f>IF(ISNA(VLOOKUP(B10,Definitions!B$2:B$1839,1,FALSE)),"Not listed","")</f>
        <v/>
      </c>
      <c r="B10" s="20" t="inlineStr">
        <is>
          <t>us_11</t>
        </is>
      </c>
      <c r="C10" t="inlineStr">
        <is>
          <t>//diggs:Reinforcement/diggs:barSize</t>
        </is>
      </c>
    </row>
    <row r="11">
      <c r="A11">
        <f>IF(ISNA(VLOOKUP(B11,Definitions!B$2:B$1839,1,FALSE)),"Not listed","")</f>
        <v/>
      </c>
      <c r="B11" s="20" t="inlineStr">
        <is>
          <t>us_14</t>
        </is>
      </c>
      <c r="C11" t="inlineStr">
        <is>
          <t>//diggs:Reinforcement/diggs:barSize</t>
        </is>
      </c>
    </row>
    <row r="12">
      <c r="A12">
        <f>IF(ISNA(VLOOKUP(B12,Definitions!B$2:B$1839,1,FALSE)),"Not listed","")</f>
        <v/>
      </c>
      <c r="B12" s="20" t="inlineStr">
        <is>
          <t>us_18</t>
        </is>
      </c>
      <c r="C12" t="inlineStr">
        <is>
          <t>//diggs:Reinforcement/diggs:barSize</t>
        </is>
      </c>
    </row>
    <row r="13">
      <c r="A13">
        <f>IF(ISNA(VLOOKUP(B13,Definitions!B$2:B$1839,1,FALSE)),"Not listed","")</f>
        <v/>
      </c>
      <c r="B13" s="20" t="inlineStr">
        <is>
          <t>metric_10m</t>
        </is>
      </c>
      <c r="C13" t="inlineStr">
        <is>
          <t>//diggs:Reinforcement/diggs:barSize</t>
        </is>
      </c>
    </row>
    <row r="14">
      <c r="A14">
        <f>IF(ISNA(VLOOKUP(B14,Definitions!B$2:B$1839,1,FALSE)),"Not listed","")</f>
        <v/>
      </c>
      <c r="B14" s="20" t="inlineStr">
        <is>
          <t>metric_15m</t>
        </is>
      </c>
      <c r="C14" t="inlineStr">
        <is>
          <t>//diggs:Reinforcement/diggs:barSize</t>
        </is>
      </c>
    </row>
    <row r="15">
      <c r="A15">
        <f>IF(ISNA(VLOOKUP(B15,Definitions!B$2:B$1839,1,FALSE)),"Not listed","")</f>
        <v/>
      </c>
      <c r="B15" s="2" t="inlineStr">
        <is>
          <t>metric_20m</t>
        </is>
      </c>
      <c r="C15" t="inlineStr">
        <is>
          <t>//diggs:Reinforcement/diggs:barSize</t>
        </is>
      </c>
    </row>
    <row r="16">
      <c r="A16">
        <f>IF(ISNA(VLOOKUP(B16,Definitions!B$2:B$1839,1,FALSE)),"Not listed","")</f>
        <v/>
      </c>
      <c r="B16" s="2" t="inlineStr">
        <is>
          <t>metric_25m</t>
        </is>
      </c>
      <c r="C16" t="inlineStr">
        <is>
          <t>//diggs:Reinforcement/diggs:barSize</t>
        </is>
      </c>
    </row>
    <row r="17">
      <c r="A17">
        <f>IF(ISNA(VLOOKUP(B17,Definitions!B$2:B$1839,1,FALSE)),"Not listed","")</f>
        <v/>
      </c>
      <c r="B17" s="2" t="inlineStr">
        <is>
          <t>metric_30m</t>
        </is>
      </c>
      <c r="C17" t="inlineStr">
        <is>
          <t>//diggs:Reinforcement/diggs:barSize</t>
        </is>
      </c>
    </row>
    <row r="18">
      <c r="A18">
        <f>IF(ISNA(VLOOKUP(B18,Definitions!B$2:B$1839,1,FALSE)),"Not listed","")</f>
        <v/>
      </c>
      <c r="B18" s="2" t="inlineStr">
        <is>
          <t>metric_35m</t>
        </is>
      </c>
      <c r="C18" t="inlineStr">
        <is>
          <t>//diggs:Reinforcement/diggs:barSize</t>
        </is>
      </c>
    </row>
    <row r="19">
      <c r="A19">
        <f>IF(ISNA(VLOOKUP(B19,Definitions!B$2:B$1839,1,FALSE)),"Not listed","")</f>
        <v/>
      </c>
      <c r="B19" s="20" t="inlineStr">
        <is>
          <t>metric_45m</t>
        </is>
      </c>
      <c r="C19" t="inlineStr">
        <is>
          <t>//diggs:Reinforcement/diggs:barSize</t>
        </is>
      </c>
    </row>
    <row r="20">
      <c r="A20">
        <f>IF(ISNA(VLOOKUP(B20,Definitions!B$2:B$1839,1,FALSE)),"Not listed","")</f>
        <v/>
      </c>
      <c r="B20" s="20" t="inlineStr">
        <is>
          <t>metric_55m</t>
        </is>
      </c>
      <c r="C20" t="inlineStr">
        <is>
          <t>//diggs:Reinforcement/diggs:barSize</t>
        </is>
      </c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2026-08-17T10:21:35Z</dcterms:modified>
  <cp:lastModifiedBy>Ponti, Daniel J</cp:lastModifiedBy>
</cp:coreProperties>
</file>