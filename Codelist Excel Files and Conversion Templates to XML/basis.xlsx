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basis</t>
        </is>
      </c>
      <c r="C3" s="12" t="inlineStr">
        <is>
          <t>basis</t>
        </is>
      </c>
      <c r="D3" s="12" t="inlineStr">
        <is>
          <t>DIGGS Acceptance Criterion Basis Codelist Definitions</t>
        </is>
      </c>
      <c r="E3" s="2" t="inlineStr">
        <is>
          <t>Codes naming the unit of work an acceptance criterion is assessed over - distinct from scope, which says which features are governed. Used for the value of the basis property of diggs:AbstractAcceptanceCriterionType, inherited by both diggs:PerformanceCriterion and diggs:DesignConformanceCriterion. Where basis expresses a per-unit-length quantum, the reference length is given by the sibling baseLength element. Extended (S14-S20 dictionary sweep) to also cover diggs:DesignRITreatedAreaType/diggs:differentialSettlementBasis, which the schema's own documentation says shares this vocabulary with AbstractAcceptanceCriterionType/basis, plus a new angular_distortion entry named in that element's documentation but previously absent from this list.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per_element</t>
        </is>
      </c>
      <c r="C2" s="13" t="inlineStr">
        <is>
          <t>Per element</t>
        </is>
      </c>
      <c r="D2" s="14" t="inlineStr">
        <is>
          <t>The criterion is evaluated separately for each individual rigid inclusion or other element in scope.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per_unit_cell</t>
        </is>
      </c>
      <c r="C3" s="13" t="inlineStr">
        <is>
          <t>Per unit cell</t>
        </is>
      </c>
      <c r="D3" s="14" t="inlineStr">
        <is>
          <t>The criterion is evaluated once per repeating unit cell of the design grid.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per_unit_length</t>
        </is>
      </c>
      <c r="C4" t="inlineStr">
        <is>
          <t>Per unit length</t>
        </is>
      </c>
      <c r="D4" t="inlineStr">
        <is>
          <t>The criterion is evaluated per unit length, for example per 100 ft, with the reference length stated in the sibling baseLength element.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per_diameter</t>
        </is>
      </c>
      <c r="C5" s="13" t="inlineStr">
        <is>
          <t>As a multiple of element diameter</t>
        </is>
      </c>
      <c r="D5" s="14" t="inlineStr">
        <is>
          <t>The criterion is evaluated as a multiple of the element's diameter.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angular_distortion</t>
        </is>
      </c>
      <c r="C6" s="16" t="inlineStr">
        <is>
          <t>Angular distortion</t>
        </is>
      </c>
      <c r="D6" s="16" t="inlineStr">
        <is>
          <t>The criterion or predicted value is expressed as an angular distortion (differential settlement divided by span), rather than a magnitude or a per-unit-length gradient.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per_element</t>
        </is>
      </c>
      <c r="C2" t="inlineStr">
        <is>
          <t>//diggs:PerformanceCriterion/diggs:basis</t>
        </is>
      </c>
    </row>
    <row r="3">
      <c r="A3">
        <f>IF(ISNA(VLOOKUP(B3,Definitions!B$2:B$1839,1,FALSE)),"Not listed","")</f>
        <v/>
      </c>
      <c r="B3" s="20" t="inlineStr">
        <is>
          <t>per_element</t>
        </is>
      </c>
      <c r="C3" t="inlineStr">
        <is>
          <t>//diggs:DesignConformanceCriterion/diggs:basis</t>
        </is>
      </c>
    </row>
    <row r="4">
      <c r="A4">
        <f>IF(ISNA(VLOOKUP(B4,Definitions!B$2:B$1839,1,FALSE)),"Not listed","")</f>
        <v/>
      </c>
      <c r="B4" s="2" t="inlineStr">
        <is>
          <t>per_unit_cell</t>
        </is>
      </c>
      <c r="C4" t="inlineStr">
        <is>
          <t>//diggs:PerformanceCriterion/diggs:basis</t>
        </is>
      </c>
    </row>
    <row r="5">
      <c r="A5">
        <f>IF(ISNA(VLOOKUP(B5,Definitions!B$2:B$1839,1,FALSE)),"Not listed","")</f>
        <v/>
      </c>
      <c r="B5" s="2" t="inlineStr">
        <is>
          <t>per_unit_cell</t>
        </is>
      </c>
      <c r="C5" t="inlineStr">
        <is>
          <t>//diggs:DesignConformanceCriterion/diggs:basis</t>
        </is>
      </c>
    </row>
    <row r="6">
      <c r="A6">
        <f>IF(ISNA(VLOOKUP(B6,Definitions!B$2:B$1839,1,FALSE)),"Not listed","")</f>
        <v/>
      </c>
      <c r="B6" s="2" t="inlineStr">
        <is>
          <t>per_unit_length</t>
        </is>
      </c>
      <c r="C6" t="inlineStr">
        <is>
          <t>//diggs:PerformanceCriterion/diggs:basis</t>
        </is>
      </c>
    </row>
    <row r="7">
      <c r="A7">
        <f>IF(ISNA(VLOOKUP(B7,Definitions!B$2:B$1839,1,FALSE)),"Not listed","")</f>
        <v/>
      </c>
      <c r="B7" s="2" t="inlineStr">
        <is>
          <t>per_unit_length</t>
        </is>
      </c>
      <c r="C7" t="inlineStr">
        <is>
          <t>//diggs:DesignConformanceCriterion/diggs:basis</t>
        </is>
      </c>
    </row>
    <row r="8">
      <c r="A8">
        <f>IF(ISNA(VLOOKUP(B8,Definitions!B$2:B$1839,1,FALSE)),"Not listed","")</f>
        <v/>
      </c>
      <c r="B8" s="2" t="inlineStr">
        <is>
          <t>per_diameter</t>
        </is>
      </c>
      <c r="C8" t="inlineStr">
        <is>
          <t>//diggs:PerformanceCriterion/diggs:basis</t>
        </is>
      </c>
    </row>
    <row r="9">
      <c r="A9">
        <f>IF(ISNA(VLOOKUP(B9,Definitions!B$2:B$1839,1,FALSE)),"Not listed","")</f>
        <v/>
      </c>
      <c r="B9" s="2" t="inlineStr">
        <is>
          <t>per_diameter</t>
        </is>
      </c>
      <c r="C9" t="inlineStr">
        <is>
          <t>//diggs:DesignConformanceCriterion/diggs:basis</t>
        </is>
      </c>
    </row>
    <row r="10">
      <c r="A10">
        <f>IF(ISNA(VLOOKUP(B10,Definitions!B$2:B$1839,1,FALSE)),"Not listed","")</f>
        <v/>
      </c>
      <c r="B10" s="20" t="inlineStr">
        <is>
          <t>per_element</t>
        </is>
      </c>
      <c r="C10" t="inlineStr">
        <is>
          <t>//diggs:DesignRITreatedArea/diggs:differentialSettlementBasis</t>
        </is>
      </c>
    </row>
    <row r="11">
      <c r="A11">
        <f>IF(ISNA(VLOOKUP(B11,Definitions!B$2:B$1839,1,FALSE)),"Not listed","")</f>
        <v/>
      </c>
      <c r="B11" s="20" t="inlineStr">
        <is>
          <t>per_unit_cell</t>
        </is>
      </c>
      <c r="C11" t="inlineStr">
        <is>
          <t>//diggs:DesignRITreatedArea/diggs:differentialSettlementBasis</t>
        </is>
      </c>
    </row>
    <row r="12">
      <c r="A12">
        <f>IF(ISNA(VLOOKUP(B12,Definitions!B$2:B$1839,1,FALSE)),"Not listed","")</f>
        <v/>
      </c>
      <c r="B12" s="20" t="inlineStr">
        <is>
          <t>per_unit_length</t>
        </is>
      </c>
      <c r="C12" t="inlineStr">
        <is>
          <t>//diggs:DesignRITreatedArea/diggs:differentialSettlementBasis</t>
        </is>
      </c>
    </row>
    <row r="13">
      <c r="A13">
        <f>IF(ISNA(VLOOKUP(B13,Definitions!B$2:B$1839,1,FALSE)),"Not listed","")</f>
        <v/>
      </c>
      <c r="B13" s="20" t="inlineStr">
        <is>
          <t>per_diameter</t>
        </is>
      </c>
      <c r="C13" t="inlineStr">
        <is>
          <t>//diggs:DesignRITreatedArea/diggs:differentialSettlementBasis</t>
        </is>
      </c>
    </row>
    <row r="14">
      <c r="A14">
        <f>IF(ISNA(VLOOKUP(B14,Definitions!B$2:B$1839,1,FALSE)),"Not listed","")</f>
        <v/>
      </c>
      <c r="B14" s="20" t="inlineStr">
        <is>
          <t>angular_distortion</t>
        </is>
      </c>
      <c r="C14" t="inlineStr">
        <is>
          <t>//diggs:PerformanceCriterion/diggs:basis</t>
        </is>
      </c>
    </row>
    <row r="15">
      <c r="A15">
        <f>IF(ISNA(VLOOKUP(B15,Definitions!B$2:B$1839,1,FALSE)),"Not listed","")</f>
        <v/>
      </c>
      <c r="B15" s="2" t="inlineStr">
        <is>
          <t>angular_distortion</t>
        </is>
      </c>
      <c r="C15" t="inlineStr">
        <is>
          <t>//diggs:DesignConformanceCriterion/diggs:basis</t>
        </is>
      </c>
    </row>
    <row r="16">
      <c r="A16">
        <f>IF(ISNA(VLOOKUP(B16,Definitions!B$2:B$1839,1,FALSE)),"Not listed","")</f>
        <v/>
      </c>
      <c r="B16" s="2" t="inlineStr">
        <is>
          <t>angular_distortion</t>
        </is>
      </c>
      <c r="C16" t="inlineStr">
        <is>
          <t>//diggs:DesignRITreatedArea/diggs:differentialSettlementBasis</t>
        </is>
      </c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