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columnType</t>
        </is>
      </c>
      <c r="C3" s="12" t="inlineStr">
        <is>
          <t>columnType</t>
        </is>
      </c>
      <c r="D3" s="12" t="inlineStr">
        <is>
          <t>DIGGS Rigid Inclusion Column Type Codelist Definitions</t>
        </is>
      </c>
      <c r="E3" s="2" t="inlineStr">
        <is>
          <t>Codes naming the rigid inclusion installation technique family, shared by the design/specification intent (diggs:RIColumnSpecification/columnType) and the as-built record (diggs:RIColumn/columnType) so that design and as-built do not drift into different vocabularies for the same concept. Derived from the eleven-value installationType list carried by the retired CMCArrayType sketch (diggs-schema commit 0254e97, RigidInclusions.xsd, pre-C4 retirement). The list is open: technique families proliferate under proprietary trade names and cannot be closed.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simple_bored</t>
        </is>
      </c>
      <c r="C2" s="13" t="inlineStr">
        <is>
          <t>Simple bored</t>
        </is>
      </c>
      <c r="D2" s="14" t="inlineStr">
        <is>
          <t>A column installed by simple rotary boring/drilling with no casing or slurry support.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bored_with_casing</t>
        </is>
      </c>
      <c r="C3" s="13" t="inlineStr">
        <is>
          <t>Bored with casing</t>
        </is>
      </c>
      <c r="D3" s="14" t="inlineStr">
        <is>
          <t>A column installed by rotary boring with temporary or permanent casing supporting the borehole.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bored_with_slurry</t>
        </is>
      </c>
      <c r="C4" t="inlineStr">
        <is>
          <t>Bored with slurry</t>
        </is>
      </c>
      <c r="D4" t="inlineStr">
        <is>
          <t>A column installed by rotary boring with slurry (e.g. bentonite or polymer) supporting the borehole.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continuous_flight_hollow_auger</t>
        </is>
      </c>
      <c r="C5" s="13" t="inlineStr">
        <is>
          <t>Continuous flight hollow auger (CFA)</t>
        </is>
      </c>
      <c r="D5" s="14" t="inlineStr">
        <is>
          <t>A column installed with a continuous-flight hollow-stem auger, concrete or grout placed through the auger stem as it is withdrawn.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micropile</t>
        </is>
      </c>
      <c r="C6" s="16" t="inlineStr">
        <is>
          <t>Micropile</t>
        </is>
      </c>
      <c r="D6" s="16" t="inlineStr">
        <is>
          <t>A small-diameter, typically drilled and grouted, high-capacity column.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cip_vibro_driven</t>
        </is>
      </c>
      <c r="C7" t="inlineStr">
        <is>
          <t>Cast-in-place, vibro-driven</t>
        </is>
      </c>
      <c r="D7" t="inlineStr">
        <is>
          <t>A column formed by driving a closed-end casing or mandrel with a vibratory hammer and casting concrete in place.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IF(ISNA(VLOOKUP(B8,AssociatedElements!B$2:B2946,1,FALSE)),"Not used","")</f>
        <v/>
      </c>
      <c r="B8" t="inlineStr">
        <is>
          <t>cip_driven</t>
        </is>
      </c>
      <c r="C8" t="inlineStr">
        <is>
          <t>Cast-in-place, driven</t>
        </is>
      </c>
      <c r="D8" t="inlineStr">
        <is>
          <t>A column formed by driving a closed-end casing or mandrel with an impact hammer and casting concrete in place.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IF(ISNA(VLOOKUP(B9,AssociatedElements!B$2:B2947,1,FALSE)),"Not used","")</f>
        <v/>
      </c>
      <c r="B9" t="inlineStr">
        <is>
          <t>prefab_vibro_driven</t>
        </is>
      </c>
      <c r="C9" s="16" t="inlineStr">
        <is>
          <t>Prefabricated, vibro-driven</t>
        </is>
      </c>
      <c r="D9" s="16" t="inlineStr">
        <is>
          <t>A prefabricated (precast or steel) column installed by vibratory driving.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inlineStr">
        <is>
          <t>prefab_driven</t>
        </is>
      </c>
      <c r="C10" s="13" t="inlineStr">
        <is>
          <t>Prefabricated, driven</t>
        </is>
      </c>
      <c r="D10" s="14" t="inlineStr">
        <is>
          <t>A prefabricated (precast or steel) column installed by impact driving.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IF(ISNA(VLOOKUP(B11,AssociatedElements!B$2:B2949,1,FALSE)),"Not used","")</f>
        <v/>
      </c>
      <c r="B11" s="13" t="inlineStr">
        <is>
          <t>soil_mixing</t>
        </is>
      </c>
      <c r="C11" s="13" t="inlineStr">
        <is>
          <t>Soil mixing</t>
        </is>
      </c>
      <c r="D11" s="14" t="inlineStr">
        <is>
          <t>A column formed by in-situ mechanical or auger mixing of the native soil with a cementitious binder.</t>
        </is>
      </c>
      <c r="E11" s="13" t="inlineStr">
        <is>
          <t>string</t>
        </is>
      </c>
      <c r="F11" s="13" t="n"/>
      <c r="G11" s="9" t="inlineStr">
        <is>
          <t>DIGGS</t>
        </is>
      </c>
    </row>
    <row r="12">
      <c r="A12" s="2">
        <f>IF(ISNA(VLOOKUP(B12,AssociatedElements!B$2:B2950,1,FALSE)),"Not used","")</f>
        <v/>
      </c>
      <c r="B12" s="13" t="inlineStr">
        <is>
          <t>jet_grouting</t>
        </is>
      </c>
      <c r="C12" s="13" t="inlineStr">
        <is>
          <t>Jet grouting</t>
        </is>
      </c>
      <c r="D12" s="14" t="inlineStr">
        <is>
          <t>A column formed by high-pressure erosion and mixing of the native soil with cementitious grout injected through a jetting tool.</t>
        </is>
      </c>
      <c r="E12" s="13" t="inlineStr">
        <is>
          <t>string</t>
        </is>
      </c>
      <c r="F12" s="13" t="n"/>
      <c r="G12" s="9" t="inlineStr">
        <is>
          <t>DIGGS</t>
        </is>
      </c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simple_bored</t>
        </is>
      </c>
      <c r="C2" t="inlineStr">
        <is>
          <t>//diggs:RIColumn/diggs:columnType</t>
        </is>
      </c>
    </row>
    <row r="3">
      <c r="A3">
        <f>IF(ISNA(VLOOKUP(B3,Definitions!B$2:B$1839,1,FALSE)),"Not listed","")</f>
        <v/>
      </c>
      <c r="B3" s="20" t="inlineStr">
        <is>
          <t>simple_bored</t>
        </is>
      </c>
      <c r="C3" t="inlineStr">
        <is>
          <t>//diggs:RIColumnSpecification/diggs:columnType</t>
        </is>
      </c>
    </row>
    <row r="4">
      <c r="A4">
        <f>IF(ISNA(VLOOKUP(B4,Definitions!B$2:B$1839,1,FALSE)),"Not listed","")</f>
        <v/>
      </c>
      <c r="B4" s="2" t="inlineStr">
        <is>
          <t>bored_with_casing</t>
        </is>
      </c>
      <c r="C4" t="inlineStr">
        <is>
          <t>//diggs:RIColumn/diggs:columnType</t>
        </is>
      </c>
    </row>
    <row r="5">
      <c r="A5">
        <f>IF(ISNA(VLOOKUP(B5,Definitions!B$2:B$1839,1,FALSE)),"Not listed","")</f>
        <v/>
      </c>
      <c r="B5" s="2" t="inlineStr">
        <is>
          <t>bored_with_casing</t>
        </is>
      </c>
      <c r="C5" t="inlineStr">
        <is>
          <t>//diggs:RIColumnSpecification/diggs:columnType</t>
        </is>
      </c>
    </row>
    <row r="6">
      <c r="A6">
        <f>IF(ISNA(VLOOKUP(B6,Definitions!B$2:B$1839,1,FALSE)),"Not listed","")</f>
        <v/>
      </c>
      <c r="B6" s="2" t="inlineStr">
        <is>
          <t>bored_with_slurry</t>
        </is>
      </c>
      <c r="C6" t="inlineStr">
        <is>
          <t>//diggs:RIColumn/diggs:columnType</t>
        </is>
      </c>
    </row>
    <row r="7">
      <c r="A7">
        <f>IF(ISNA(VLOOKUP(B7,Definitions!B$2:B$1839,1,FALSE)),"Not listed","")</f>
        <v/>
      </c>
      <c r="B7" s="2" t="inlineStr">
        <is>
          <t>bored_with_slurry</t>
        </is>
      </c>
      <c r="C7" t="inlineStr">
        <is>
          <t>//diggs:RIColumnSpecification/diggs:columnType</t>
        </is>
      </c>
    </row>
    <row r="8">
      <c r="A8">
        <f>IF(ISNA(VLOOKUP(B8,Definitions!B$2:B$1839,1,FALSE)),"Not listed","")</f>
        <v/>
      </c>
      <c r="B8" s="2" t="inlineStr">
        <is>
          <t>continuous_flight_hollow_auger</t>
        </is>
      </c>
      <c r="C8" t="inlineStr">
        <is>
          <t>//diggs:RIColumn/diggs:columnType</t>
        </is>
      </c>
    </row>
    <row r="9">
      <c r="A9">
        <f>IF(ISNA(VLOOKUP(B9,Definitions!B$2:B$1839,1,FALSE)),"Not listed","")</f>
        <v/>
      </c>
      <c r="B9" s="2" t="inlineStr">
        <is>
          <t>continuous_flight_hollow_auger</t>
        </is>
      </c>
      <c r="C9" t="inlineStr">
        <is>
          <t>//diggs:RIColumnSpecification/diggs:columnType</t>
        </is>
      </c>
    </row>
    <row r="10">
      <c r="A10">
        <f>IF(ISNA(VLOOKUP(B10,Definitions!B$2:B$1839,1,FALSE)),"Not listed","")</f>
        <v/>
      </c>
      <c r="B10" s="20" t="inlineStr">
        <is>
          <t>micropile</t>
        </is>
      </c>
      <c r="C10" t="inlineStr">
        <is>
          <t>//diggs:RIColumn/diggs:columnType</t>
        </is>
      </c>
    </row>
    <row r="11">
      <c r="A11">
        <f>IF(ISNA(VLOOKUP(B11,Definitions!B$2:B$1839,1,FALSE)),"Not listed","")</f>
        <v/>
      </c>
      <c r="B11" s="20" t="inlineStr">
        <is>
          <t>micropile</t>
        </is>
      </c>
      <c r="C11" t="inlineStr">
        <is>
          <t>//diggs:RIColumnSpecification/diggs:columnType</t>
        </is>
      </c>
    </row>
    <row r="12">
      <c r="A12">
        <f>IF(ISNA(VLOOKUP(B12,Definitions!B$2:B$1839,1,FALSE)),"Not listed","")</f>
        <v/>
      </c>
      <c r="B12" s="20" t="inlineStr">
        <is>
          <t>cip_vibro_driven</t>
        </is>
      </c>
      <c r="C12" t="inlineStr">
        <is>
          <t>//diggs:RIColumn/diggs:columnType</t>
        </is>
      </c>
    </row>
    <row r="13">
      <c r="A13">
        <f>IF(ISNA(VLOOKUP(B13,Definitions!B$2:B$1839,1,FALSE)),"Not listed","")</f>
        <v/>
      </c>
      <c r="B13" s="20" t="inlineStr">
        <is>
          <t>cip_vibro_driven</t>
        </is>
      </c>
      <c r="C13" t="inlineStr">
        <is>
          <t>//diggs:RIColumnSpecification/diggs:columnType</t>
        </is>
      </c>
    </row>
    <row r="14">
      <c r="A14">
        <f>IF(ISNA(VLOOKUP(B14,Definitions!B$2:B$1839,1,FALSE)),"Not listed","")</f>
        <v/>
      </c>
      <c r="B14" s="20" t="inlineStr">
        <is>
          <t>cip_driven</t>
        </is>
      </c>
      <c r="C14" t="inlineStr">
        <is>
          <t>//diggs:RIColumn/diggs:columnType</t>
        </is>
      </c>
    </row>
    <row r="15">
      <c r="A15">
        <f>IF(ISNA(VLOOKUP(B15,Definitions!B$2:B$1839,1,FALSE)),"Not listed","")</f>
        <v/>
      </c>
      <c r="B15" s="2" t="inlineStr">
        <is>
          <t>cip_driven</t>
        </is>
      </c>
      <c r="C15" t="inlineStr">
        <is>
          <t>//diggs:RIColumnSpecification/diggs:columnType</t>
        </is>
      </c>
    </row>
    <row r="16">
      <c r="A16">
        <f>IF(ISNA(VLOOKUP(B16,Definitions!B$2:B$1839,1,FALSE)),"Not listed","")</f>
        <v/>
      </c>
      <c r="B16" s="2" t="inlineStr">
        <is>
          <t>prefab_vibro_driven</t>
        </is>
      </c>
      <c r="C16" t="inlineStr">
        <is>
          <t>//diggs:RIColumn/diggs:columnType</t>
        </is>
      </c>
    </row>
    <row r="17">
      <c r="A17">
        <f>IF(ISNA(VLOOKUP(B17,Definitions!B$2:B$1839,1,FALSE)),"Not listed","")</f>
        <v/>
      </c>
      <c r="B17" s="2" t="inlineStr">
        <is>
          <t>prefab_vibro_driven</t>
        </is>
      </c>
      <c r="C17" t="inlineStr">
        <is>
          <t>//diggs:RIColumnSpecification/diggs:columnType</t>
        </is>
      </c>
    </row>
    <row r="18">
      <c r="A18">
        <f>IF(ISNA(VLOOKUP(B18,Definitions!B$2:B$1839,1,FALSE)),"Not listed","")</f>
        <v/>
      </c>
      <c r="B18" s="2" t="inlineStr">
        <is>
          <t>prefab_driven</t>
        </is>
      </c>
      <c r="C18" t="inlineStr">
        <is>
          <t>//diggs:RIColumn/diggs:columnType</t>
        </is>
      </c>
    </row>
    <row r="19">
      <c r="A19">
        <f>IF(ISNA(VLOOKUP(B19,Definitions!B$2:B$1839,1,FALSE)),"Not listed","")</f>
        <v/>
      </c>
      <c r="B19" s="20" t="inlineStr">
        <is>
          <t>prefab_driven</t>
        </is>
      </c>
      <c r="C19" t="inlineStr">
        <is>
          <t>//diggs:RIColumnSpecification/diggs:columnType</t>
        </is>
      </c>
    </row>
    <row r="20">
      <c r="A20">
        <f>IF(ISNA(VLOOKUP(B20,Definitions!B$2:B$1839,1,FALSE)),"Not listed","")</f>
        <v/>
      </c>
      <c r="B20" s="20" t="inlineStr">
        <is>
          <t>soil_mixing</t>
        </is>
      </c>
      <c r="C20" t="inlineStr">
        <is>
          <t>//diggs:RIColumn/diggs:columnType</t>
        </is>
      </c>
    </row>
    <row r="21">
      <c r="A21">
        <f>IF(ISNA(VLOOKUP(B21,Definitions!B$2:B$1839,1,FALSE)),"Not listed","")</f>
        <v/>
      </c>
      <c r="B21" s="20" t="inlineStr">
        <is>
          <t>soil_mixing</t>
        </is>
      </c>
      <c r="C21" t="inlineStr">
        <is>
          <t>//diggs:RIColumnSpecification/diggs:columnType</t>
        </is>
      </c>
    </row>
    <row r="22">
      <c r="A22">
        <f>IF(ISNA(VLOOKUP(B22,Definitions!B$2:B$1839,1,FALSE)),"Not listed","")</f>
        <v/>
      </c>
      <c r="B22" s="20" t="inlineStr">
        <is>
          <t>jet_grouting</t>
        </is>
      </c>
      <c r="C22" t="inlineStr">
        <is>
          <t>//diggs:RIColumn/diggs:columnType</t>
        </is>
      </c>
    </row>
    <row r="23">
      <c r="A23">
        <f>IF(ISNA(VLOOKUP(B23,Definitions!B$2:B$1839,1,FALSE)),"Not listed","")</f>
        <v/>
      </c>
      <c r="B23" s="20" t="inlineStr">
        <is>
          <t>jet_grouting</t>
        </is>
      </c>
      <c r="C23" t="inlineStr">
        <is>
          <t>//diggs:RIColumnSpecification/diggs:columnType</t>
        </is>
      </c>
    </row>
    <row r="24">
      <c r="A24">
        <f>IF(ISNA(VLOOKUP(B24,Definitions!B$2:B$1839,1,FALSE)),"Not listed","")</f>
        <v/>
      </c>
      <c r="B24" s="2" t="inlineStr">
        <is>
          <t>simple_bored</t>
        </is>
      </c>
      <c r="C24" t="inlineStr">
        <is>
          <t>//diggs:RISystemBasis/diggs:riTechniqueType</t>
        </is>
      </c>
    </row>
    <row r="25">
      <c r="A25">
        <f>IF(ISNA(VLOOKUP(B25,Definitions!B$2:B$1839,1,FALSE)),"Not listed","")</f>
        <v/>
      </c>
      <c r="B25" s="2" t="inlineStr">
        <is>
          <t>bored_with_casing</t>
        </is>
      </c>
      <c r="C25" t="inlineStr">
        <is>
          <t>//diggs:RISystemBasis/diggs:riTechniqueType</t>
        </is>
      </c>
    </row>
    <row r="26">
      <c r="A26">
        <f>IF(ISNA(VLOOKUP(B26,Definitions!B$2:B$1839,1,FALSE)),"Not listed","")</f>
        <v/>
      </c>
      <c r="B26" s="2" t="inlineStr">
        <is>
          <t>bored_with_slurry</t>
        </is>
      </c>
      <c r="C26" t="inlineStr">
        <is>
          <t>//diggs:RISystemBasis/diggs:riTechniqueType</t>
        </is>
      </c>
    </row>
    <row r="27">
      <c r="A27">
        <f>IF(ISNA(VLOOKUP(B27,Definitions!B$2:B$1839,1,FALSE)),"Not listed","")</f>
        <v/>
      </c>
      <c r="B27" s="13" t="inlineStr">
        <is>
          <t>continuous_flight_hollow_auger</t>
        </is>
      </c>
      <c r="C27" t="inlineStr">
        <is>
          <t>//diggs:RISystemBasis/diggs:riTechniqueType</t>
        </is>
      </c>
    </row>
    <row r="28">
      <c r="A28">
        <f>IF(ISNA(VLOOKUP(B28,Definitions!B$2:B$1839,1,FALSE)),"Not listed","")</f>
        <v/>
      </c>
      <c r="B28" s="13" t="inlineStr">
        <is>
          <t>micropile</t>
        </is>
      </c>
      <c r="C28" t="inlineStr">
        <is>
          <t>//diggs:RISystemBasis/diggs:riTechniqueType</t>
        </is>
      </c>
    </row>
    <row r="29">
      <c r="A29">
        <f>IF(ISNA(VLOOKUP(B29,Definitions!B$2:B$1839,1,FALSE)),"Not listed","")</f>
        <v/>
      </c>
      <c r="B29" s="13" t="inlineStr">
        <is>
          <t>cip_vibro_driven</t>
        </is>
      </c>
      <c r="C29" t="inlineStr">
        <is>
          <t>//diggs:RISystemBasis/diggs:riTechniqueType</t>
        </is>
      </c>
    </row>
    <row r="30">
      <c r="A30">
        <f>IF(ISNA(VLOOKUP(B30,Definitions!B$2:B$1839,1,FALSE)),"Not listed","")</f>
        <v/>
      </c>
      <c r="B30" s="13" t="inlineStr">
        <is>
          <t>cip_driven</t>
        </is>
      </c>
      <c r="C30" t="inlineStr">
        <is>
          <t>//diggs:RISystemBasis/diggs:riTechniqueType</t>
        </is>
      </c>
    </row>
    <row r="31">
      <c r="A31">
        <f>IF(ISNA(VLOOKUP(B31,Definitions!B$2:B$1839,1,FALSE)),"Not listed","")</f>
        <v/>
      </c>
      <c r="B31" s="13" t="inlineStr">
        <is>
          <t>prefab_vibro_driven</t>
        </is>
      </c>
      <c r="C31" t="inlineStr">
        <is>
          <t>//diggs:RISystemBasis/diggs:riTechniqueType</t>
        </is>
      </c>
    </row>
    <row r="32">
      <c r="A32">
        <f>IF(ISNA(VLOOKUP(B32,Definitions!B$2:B$1839,1,FALSE)),"Not listed","")</f>
        <v/>
      </c>
      <c r="B32" s="13" t="inlineStr">
        <is>
          <t>prefab_driven</t>
        </is>
      </c>
      <c r="C32" t="inlineStr">
        <is>
          <t>//diggs:RISystemBasis/diggs:riTechniqueType</t>
        </is>
      </c>
    </row>
    <row r="33">
      <c r="A33">
        <f>IF(ISNA(VLOOKUP(B33,Definitions!B$2:B$1839,1,FALSE)),"Not listed","")</f>
        <v/>
      </c>
      <c r="B33" s="13" t="inlineStr">
        <is>
          <t>soil_mixing</t>
        </is>
      </c>
      <c r="C33" t="inlineStr">
        <is>
          <t>//diggs:RISystemBasis/diggs:riTechniqueType</t>
        </is>
      </c>
    </row>
    <row r="34">
      <c r="A34">
        <f>IF(ISNA(VLOOKUP(B34,Definitions!B$2:B$1839,1,FALSE)),"Not listed","")</f>
        <v/>
      </c>
      <c r="B34" s="13" t="inlineStr">
        <is>
          <t>jet_grouting</t>
        </is>
      </c>
      <c r="C34" t="inlineStr">
        <is>
          <t>//diggs:RISystemBasis/diggs:riTechniqueType</t>
        </is>
      </c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2026-08-18T22:49:31Z</dcterms:modified>
  <cp:lastModifiedBy>Ponti, Daniel J</cp:lastModifiedBy>
</cp:coreProperties>
</file>