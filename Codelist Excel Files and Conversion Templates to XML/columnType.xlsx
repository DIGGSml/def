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xmlns:r="http://schemas.openxmlformats.org/officeDocument/2006/relationships" name="DictionaryName" sheetId="1" state="visible" r:id="rId1"/>
    <sheet xmlns:r="http://schemas.openxmlformats.org/officeDocument/2006/relationships" name="Definitions" sheetId="2" state="visible" r:id="rId2"/>
    <sheet xmlns:r="http://schemas.openxmlformats.org/officeDocument/2006/relationships" name="AssociatedElements" sheetId="3" state="visible" r:id="rId3"/>
    <sheet xmlns:r="http://schemas.openxmlformats.org/officeDocument/2006/relationships" name="AlternateNames" sheetId="4" state="visible" r:id="rId4"/>
    <sheet xmlns:r="http://schemas.openxmlformats.org/officeDocument/2006/relationships"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columnType</t>
        </is>
      </c>
      <c r="C3" s="12" t="inlineStr">
        <is>
          <t>columnType</t>
        </is>
      </c>
      <c r="D3" s="12" t="inlineStr">
        <is>
          <t>DIGGS Rigid Inclusion Column Type Codelist Definitions</t>
        </is>
      </c>
      <c r="E3" s="2" t="inlineStr">
        <is>
          <t>Codes naming the rigid inclusion installation technique family, shared by the design/specification intent (diggs:RIColumnSpecification/columnType) and the as-built record (diggs:RIColumn/columnType) so that design and as-built do not drift into different vocabularies for the same concept. Derived from the eleven-value installationType list carried by the retired CMCArrayType sketch (diggs-schema commit 0254e97, RigidInclusions.xsd, pre-C4 retirement). The list is open: technique families proliferate under proprietary trade names and cannot be closed.</t>
        </is>
      </c>
    </row>
    <row r="4" ht="17" customHeight="1">
      <c r="A4" s="2" t="n"/>
      <c r="B4" s="2" t="n"/>
      <c r="D4" s="2" t="n"/>
      <c r="E4" s="2" t="inlineStr">
        <is>
          <t xml:space="preserve">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5"/>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simple_bored</t>
        </is>
      </c>
      <c r="C2" s="13" t="inlineStr">
        <is>
          <t>Simple bored</t>
        </is>
      </c>
      <c r="D2" s="14" t="inlineStr">
        <is>
          <t>A column installed by simple rotary boring/drilling with no casing or slurry support.</t>
        </is>
      </c>
      <c r="E2" s="13" t="inlineStr">
        <is>
          <t>string</t>
        </is>
      </c>
      <c r="F2" s="13" t="n"/>
      <c r="G2" s="9" t="inlineStr">
        <is>
          <t>DIGGS</t>
        </is>
      </c>
    </row>
    <row r="3">
      <c r="A3" s="2">
        <f>IF(ISNA(VLOOKUP(B3,AssociatedElements!B$2:B2941,1,FALSE)),"Not used","")</f>
        <v/>
      </c>
      <c r="B3" s="13" t="inlineStr">
        <is>
          <t>bored_with_casing</t>
        </is>
      </c>
      <c r="C3" s="13" t="inlineStr">
        <is>
          <t>Bored with casing</t>
        </is>
      </c>
      <c r="D3" s="14" t="inlineStr">
        <is>
          <t>A column installed by rotary boring with temporary or permanent casing supporting the borehole.</t>
        </is>
      </c>
      <c r="E3" s="13" t="inlineStr">
        <is>
          <t>string</t>
        </is>
      </c>
      <c r="F3" s="13" t="n"/>
      <c r="G3" s="9" t="inlineStr">
        <is>
          <t>DIGGS</t>
        </is>
      </c>
    </row>
    <row r="4">
      <c r="A4" s="2">
        <f>IF(ISNA(VLOOKUP(B4,AssociatedElements!B$2:B2942,1,FALSE)),"Not used","")</f>
        <v/>
      </c>
      <c r="B4" t="inlineStr">
        <is>
          <t>bored_with_slurry</t>
        </is>
      </c>
      <c r="C4" t="inlineStr">
        <is>
          <t>Bored with slurry</t>
        </is>
      </c>
      <c r="D4" t="inlineStr">
        <is>
          <t>A column installed by rotary boring with slurry (e.g. bentonite or polymer) supporting the borehole.</t>
        </is>
      </c>
      <c r="E4" t="inlineStr">
        <is>
          <t>string</t>
        </is>
      </c>
      <c r="G4" s="9" t="inlineStr">
        <is>
          <t>DIGGS</t>
        </is>
      </c>
    </row>
    <row r="5">
      <c r="A5" s="2">
        <f>IF(ISNA(VLOOKUP(B5,AssociatedElements!B$2:B2943,1,FALSE)),"Not used","")</f>
        <v/>
      </c>
      <c r="B5" s="13" t="inlineStr">
        <is>
          <t>continuous_flight_hollow_auger</t>
        </is>
      </c>
      <c r="C5" s="13" t="inlineStr">
        <is>
          <t>Continuous flight hollow auger (CFA)</t>
        </is>
      </c>
      <c r="D5" s="14" t="inlineStr">
        <is>
          <t>A column installed with a continuous-flight hollow-stem auger, concrete or grout placed through the auger stem as it is withdrawn. Commonly abbreviated CFA; auger cast-in-place (ACIP) is a closely related replacement technique.</t>
        </is>
      </c>
      <c r="E5" s="13" t="inlineStr">
        <is>
          <t>string</t>
        </is>
      </c>
      <c r="F5" s="13" t="n"/>
      <c r="G5" s="9" t="inlineStr">
        <is>
          <t>DIGGS</t>
        </is>
      </c>
    </row>
    <row r="6">
      <c r="A6" s="2">
        <f>IF(ISNA(VLOOKUP(B6,AssociatedElements!B$2:B2944,1,FALSE)),"Not used","")</f>
        <v/>
      </c>
      <c r="B6" t="inlineStr">
        <is>
          <t>micropile</t>
        </is>
      </c>
      <c r="C6" s="16" t="inlineStr">
        <is>
          <t>Micropile</t>
        </is>
      </c>
      <c r="D6" s="16" t="inlineStr">
        <is>
          <t>A small-diameter, typically drilled and grouted, high-capacity column.</t>
        </is>
      </c>
      <c r="E6" s="17" t="inlineStr">
        <is>
          <t>string</t>
        </is>
      </c>
      <c r="G6" s="9" t="inlineStr">
        <is>
          <t>DIGGS</t>
        </is>
      </c>
    </row>
    <row r="7">
      <c r="A7" s="2">
        <f>IF(ISNA(VLOOKUP(B7,AssociatedElements!B$2:B2945,1,FALSE)),"Not used","")</f>
        <v/>
      </c>
      <c r="B7" t="inlineStr">
        <is>
          <t>cip_vibro_driven</t>
        </is>
      </c>
      <c r="C7" t="inlineStr">
        <is>
          <t>Cast-in-place, vibro-driven</t>
        </is>
      </c>
      <c r="D7" t="inlineStr">
        <is>
          <t>A column formed by driving a closed-end casing or mandrel with a vibratory hammer and casting concrete in place.</t>
        </is>
      </c>
      <c r="E7" t="inlineStr">
        <is>
          <t>string</t>
        </is>
      </c>
      <c r="G7" s="9" t="inlineStr">
        <is>
          <t>DIGGS</t>
        </is>
      </c>
    </row>
    <row r="8">
      <c r="A8" s="2">
        <f>IF(ISNA(VLOOKUP(B8,AssociatedElements!B$2:B2946,1,FALSE)),"Not used","")</f>
        <v/>
      </c>
      <c r="B8" t="inlineStr">
        <is>
          <t>cip_driven</t>
        </is>
      </c>
      <c r="C8" t="inlineStr">
        <is>
          <t>Cast-in-place, driven</t>
        </is>
      </c>
      <c r="D8" t="inlineStr">
        <is>
          <t>A column formed by driving a closed-end casing or mandrel with an impact hammer and casting concrete in place.</t>
        </is>
      </c>
      <c r="E8" t="inlineStr">
        <is>
          <t>string</t>
        </is>
      </c>
      <c r="G8" s="9" t="inlineStr">
        <is>
          <t>DIGGS</t>
        </is>
      </c>
    </row>
    <row r="9">
      <c r="A9" s="2">
        <f>IF(ISNA(VLOOKUP(B9,AssociatedElements!B$2:B2947,1,FALSE)),"Not used","")</f>
        <v/>
      </c>
      <c r="B9" t="inlineStr">
        <is>
          <t>prefab_vibro_driven</t>
        </is>
      </c>
      <c r="C9" s="16" t="inlineStr">
        <is>
          <t>Prefabricated, vibro-driven</t>
        </is>
      </c>
      <c r="D9" s="16" t="inlineStr">
        <is>
          <t>A prefabricated (precast or steel) column installed by vibratory driving.</t>
        </is>
      </c>
      <c r="E9" s="17" t="inlineStr">
        <is>
          <t>string</t>
        </is>
      </c>
      <c r="G9" s="9" t="inlineStr">
        <is>
          <t>DIGGS</t>
        </is>
      </c>
    </row>
    <row r="10">
      <c r="A10" s="2">
        <f>IF(ISNA(VLOOKUP(B10,AssociatedElements!B$2:B2948,1,FALSE)),"Not used","")</f>
        <v/>
      </c>
      <c r="B10" s="13" t="inlineStr">
        <is>
          <t>prefab_driven</t>
        </is>
      </c>
      <c r="C10" s="13" t="inlineStr">
        <is>
          <t>Prefabricated, driven</t>
        </is>
      </c>
      <c r="D10" s="14" t="inlineStr">
        <is>
          <t>A prefabricated (precast or steel) column installed by impact driving.</t>
        </is>
      </c>
      <c r="E10" s="13" t="inlineStr">
        <is>
          <t>string</t>
        </is>
      </c>
      <c r="F10" s="13" t="n"/>
      <c r="G10" s="9" t="inlineStr">
        <is>
          <t>DIGGS</t>
        </is>
      </c>
    </row>
    <row r="11">
      <c r="A11" s="2">
        <f>IF(ISNA(VLOOKUP(B13,AssociatedElements!B$2:B2951,1,FALSE)),"Not used","")</f>
        <v/>
      </c>
      <c r="B11" s="13" t="inlineStr">
        <is>
          <t>grouted_stone_column</t>
        </is>
      </c>
      <c r="C11" s="13" t="inlineStr">
        <is>
          <t>Grouted stone/gravel column</t>
        </is>
      </c>
      <c r="D11" s="14" t="inlineStr">
        <is>
          <t>A column formed from stone or gravel that is grouted to give it rigidity, intermediate between an unbound aggregate pier and a fully cemented inclusion.</t>
        </is>
      </c>
      <c r="E11" s="13" t="inlineStr">
        <is>
          <t>string</t>
        </is>
      </c>
      <c r="F11" s="13" t="n"/>
      <c r="G11" s="9" t="inlineStr">
        <is>
          <t>DIGGS</t>
        </is>
      </c>
    </row>
    <row r="12">
      <c r="A12" s="2">
        <f>IF(ISNA(VLOOKUP(B14,AssociatedElements!B$2:B2952,1,FALSE)),"Not used","")</f>
        <v/>
      </c>
      <c r="B12" s="13" t="inlineStr">
        <is>
          <t>vibro_concrete_column</t>
        </is>
      </c>
      <c r="C12" s="13" t="inlineStr">
        <is>
          <t>Vibro concrete column (VCC)</t>
        </is>
      </c>
      <c r="D12" s="14" t="inlineStr">
        <is>
          <t>A column formed by advancing a vibratory probe and placing concrete through it.</t>
        </is>
      </c>
      <c r="E12" s="13" t="inlineStr">
        <is>
          <t>string</t>
        </is>
      </c>
      <c r="F12" s="13" t="n"/>
      <c r="G12" s="9" t="inlineStr">
        <is>
          <t>DIGGS</t>
        </is>
      </c>
    </row>
    <row r="13">
      <c r="A13" s="2">
        <f>IF(ISNA(VLOOKUP(B15,AssociatedElements!B$2:B2953,1,FALSE)),"Not used","")</f>
        <v/>
      </c>
      <c r="B13" s="13" t="inlineStr">
        <is>
          <t>drilled_displacement_column</t>
        </is>
      </c>
      <c r="C13" s="18" t="inlineStr">
        <is>
          <t>Drilled displacement column</t>
        </is>
      </c>
      <c r="D13" s="19" t="inlineStr">
        <is>
          <t>A column formed by a shaped displacement tool advanced with a rotary action, which pushes soil radially outward instead of removing it, and through which concrete or grout is placed as the tool is withdrawn. The most widely used rigid inclusion technique. Trade names in common use: Controlled Modulus Column (CMC, Menard); and Rigid Inclusion (RI), also marketed as GI, GeoConcrete Column (GCC), Controlled Stiffness Column (CSC) and Augered Pressure Grout Column (APGC) by Keller / Hayward Baker. Distinct from continuous_flight_hollow_auger, which removes spoil and is therefore a replacement technique.</t>
        </is>
      </c>
      <c r="E13" s="18" t="inlineStr">
        <is>
          <t>string</t>
        </is>
      </c>
      <c r="F13" s="18" t="n"/>
      <c r="G13" s="9" t="inlineStr">
        <is>
          <t>DIGGS</t>
        </is>
      </c>
    </row>
    <row r="14">
      <c r="A14" s="2">
        <f>IF(ISNA(VLOOKUP(B16,AssociatedElements!B$2:B2954,1,FALSE)),"Not used","")</f>
        <v/>
      </c>
      <c r="B14" s="13" t="n"/>
      <c r="C14" s="18" t="n"/>
      <c r="D14" s="19" t="n"/>
      <c r="E14" s="18" t="n"/>
      <c r="F14" s="18" t="n"/>
      <c r="G14" s="9" t="n"/>
    </row>
    <row r="15">
      <c r="A15" s="2">
        <f>IF(ISNA(VLOOKUP(B17,AssociatedElements!B$2:B2955,1,FALSE)),"Not used","")</f>
        <v/>
      </c>
      <c r="B15" s="13" t="n"/>
      <c r="C15" s="18" t="n"/>
      <c r="D15" s="19" t="n"/>
      <c r="E15" s="18" t="n"/>
      <c r="F15" s="18" t="n"/>
      <c r="G15" s="9" t="n"/>
    </row>
    <row r="16">
      <c r="A16" s="2">
        <f>IF(ISNA(VLOOKUP(B18,AssociatedElements!B$2:B2956,1,FALSE)),"Not used","")</f>
        <v/>
      </c>
      <c r="B16" s="13" t="n"/>
      <c r="C16" s="18" t="n"/>
      <c r="D16" s="19" t="n"/>
      <c r="E16" s="18" t="n"/>
      <c r="F16" s="18" t="n"/>
      <c r="G16" s="9" t="n"/>
    </row>
    <row r="17">
      <c r="A17" s="2">
        <f>IF(ISNA(VLOOKUP(B19,AssociatedElements!B$2:B2957,1,FALSE)),"Not used","")</f>
        <v/>
      </c>
      <c r="B17" s="13" t="n"/>
      <c r="C17" s="18" t="n"/>
      <c r="D17" s="19" t="n"/>
      <c r="E17" s="18" t="n"/>
      <c r="F17" s="18" t="n"/>
      <c r="G17" s="9" t="n"/>
    </row>
    <row r="18">
      <c r="A18" s="2">
        <f>IF(ISNA(VLOOKUP(B20,AssociatedElements!B$2:B2958,1,FALSE)),"Not used","")</f>
        <v/>
      </c>
      <c r="B18" s="13" t="n"/>
      <c r="C18" s="18" t="n"/>
      <c r="D18" s="19" t="n"/>
      <c r="E18" s="18" t="n"/>
      <c r="F18" s="18" t="n"/>
      <c r="G18" s="9" t="n"/>
    </row>
    <row r="19">
      <c r="A19" s="2">
        <f>IF(ISNA(VLOOKUP(B21,AssociatedElements!B$2:B2959,1,FALSE)),"Not used","")</f>
        <v/>
      </c>
      <c r="B19" s="13" t="n"/>
      <c r="C19" s="18" t="n"/>
      <c r="D19" s="19" t="n"/>
      <c r="E19" s="18" t="n"/>
      <c r="F19" s="18" t="n"/>
      <c r="G19" s="9" t="n"/>
    </row>
    <row r="20">
      <c r="A20" s="2">
        <f>IF(ISNA(VLOOKUP(B22,AssociatedElements!B$2:B2960,1,FALSE)),"Not used","")</f>
        <v/>
      </c>
      <c r="B20" s="13" t="n"/>
      <c r="C20" s="18" t="n"/>
      <c r="D20" s="19" t="n"/>
      <c r="E20" s="18" t="n"/>
      <c r="F20" s="18" t="n"/>
      <c r="G20" s="9" t="n"/>
    </row>
    <row r="21">
      <c r="A21" s="2">
        <f>IF(ISNA(VLOOKUP(B23,AssociatedElements!B$2:B2961,1,FALSE)),"Not used","")</f>
        <v/>
      </c>
      <c r="B21" s="13" t="n"/>
      <c r="C21" s="18" t="n"/>
      <c r="D21" s="19" t="n"/>
      <c r="E21" s="18" t="n"/>
      <c r="F21" s="18" t="n"/>
      <c r="G21" s="9" t="n"/>
    </row>
    <row r="22">
      <c r="A22" s="2">
        <f>IF(ISNA(VLOOKUP(B24,AssociatedElements!B$2:B2962,1,FALSE)),"Not used","")</f>
        <v/>
      </c>
      <c r="D22" s="16" t="n"/>
      <c r="G22" s="9" t="n"/>
    </row>
    <row r="23">
      <c r="A23" s="2">
        <f>IF(ISNA(VLOOKUP(B25,AssociatedElements!B$2:B2963,1,FALSE)),"Not used","")</f>
        <v/>
      </c>
      <c r="B23" s="13" t="n"/>
      <c r="C23" s="13" t="n"/>
      <c r="E23" s="13" t="n"/>
      <c r="F23" s="13" t="n"/>
      <c r="G23" s="9" t="n"/>
    </row>
    <row r="24">
      <c r="A24" s="2">
        <f>IF(ISNA(VLOOKUP(B26,AssociatedElements!B$2:B2964,1,FALSE)),"Not used","")</f>
        <v/>
      </c>
      <c r="B24" s="13" t="n"/>
      <c r="C24" s="13" t="n"/>
      <c r="E24" s="13" t="n"/>
      <c r="F24" s="13" t="n"/>
      <c r="G24" s="9" t="n"/>
    </row>
    <row r="25">
      <c r="A25" s="2">
        <f>IF(ISNA(VLOOKUP(B27,AssociatedElements!B$2:B2965,1,FALSE)),"Not used","")</f>
        <v/>
      </c>
      <c r="B25" s="13" t="n"/>
      <c r="C25" s="13" t="n"/>
      <c r="D25" s="15" t="n"/>
      <c r="E25" s="13" t="n"/>
      <c r="F25" s="13" t="n"/>
      <c r="G25" s="9" t="n"/>
    </row>
    <row r="26">
      <c r="A26" s="2">
        <f>IF(ISNA(VLOOKUP(B28,AssociatedElements!B$2:B2966,1,FALSE)),"Not used","")</f>
        <v/>
      </c>
      <c r="B26" s="13" t="n"/>
      <c r="C26" s="13" t="n"/>
      <c r="D26" s="14" t="n"/>
      <c r="E26" s="13" t="n"/>
      <c r="F26" s="13" t="n"/>
      <c r="G26" s="9" t="n"/>
    </row>
    <row r="27">
      <c r="A27" s="2">
        <f>IF(ISNA(VLOOKUP(B29,AssociatedElements!B$2:B2967,1,FALSE)),"Not used","")</f>
        <v/>
      </c>
      <c r="B27" s="13" t="n"/>
      <c r="C27" s="13" t="n"/>
      <c r="D27" s="14" t="n"/>
      <c r="E27" s="13" t="n"/>
      <c r="F27" s="13" t="n"/>
      <c r="G27" s="9" t="n"/>
    </row>
    <row r="28">
      <c r="A28" s="2">
        <f>IF(ISNA(VLOOKUP(B30,AssociatedElements!B$2:B2968,1,FALSE)),"Not used","")</f>
        <v/>
      </c>
      <c r="B28" s="13" t="n"/>
      <c r="C28" s="13" t="n"/>
      <c r="D28" s="14" t="n"/>
      <c r="E28" s="13" t="n"/>
      <c r="F28" s="13" t="n"/>
      <c r="G28" s="9" t="n"/>
    </row>
    <row r="29">
      <c r="A29" s="2">
        <f>IF(ISNA(VLOOKUP(B31,AssociatedElements!B$2:B2969,1,FALSE)),"Not used","")</f>
        <v/>
      </c>
      <c r="B29" s="13" t="n"/>
      <c r="C29" s="18" t="n"/>
      <c r="D29" s="19" t="n"/>
      <c r="E29" s="18" t="n"/>
      <c r="F29" s="18" t="n"/>
      <c r="G29" s="9" t="n"/>
    </row>
    <row r="30">
      <c r="A30" s="2">
        <f>IF(ISNA(VLOOKUP(B32,AssociatedElements!B$2:B2970,1,FALSE)),"Not used","")</f>
        <v/>
      </c>
      <c r="B30" s="13" t="n"/>
      <c r="C30" s="18" t="n"/>
      <c r="D30" s="19" t="n"/>
      <c r="E30" s="18" t="n"/>
      <c r="F30" s="18" t="n"/>
      <c r="G30" s="9" t="n"/>
    </row>
    <row r="31">
      <c r="A31" s="2">
        <f>IF(ISNA(VLOOKUP(B33,AssociatedElements!B$2:B2971,1,FALSE)),"Not used","")</f>
        <v/>
      </c>
      <c r="B31" s="13" t="n"/>
      <c r="C31" s="18" t="n"/>
      <c r="D31" s="19" t="n"/>
      <c r="E31" s="18" t="n"/>
      <c r="F31" s="18" t="n"/>
      <c r="G31" s="9" t="n"/>
    </row>
    <row r="32">
      <c r="A32" s="2">
        <f>IF(ISNA(VLOOKUP(B34,AssociatedElements!B$2:B2972,1,FALSE)),"Not used","")</f>
        <v/>
      </c>
      <c r="B32" s="13" t="n"/>
      <c r="C32" s="18" t="n"/>
      <c r="D32" s="19" t="n"/>
      <c r="E32" s="18" t="n"/>
      <c r="F32" s="18" t="n"/>
      <c r="G32" s="9" t="n"/>
    </row>
    <row r="33">
      <c r="A33" s="2">
        <f>IF(ISNA(VLOOKUP(B35,AssociatedElements!B$2:B2973,1,FALSE)),"Not used","")</f>
        <v/>
      </c>
      <c r="B33" s="13" t="n"/>
      <c r="C33" s="18" t="n"/>
      <c r="D33" s="19" t="n"/>
      <c r="E33" s="18" t="n"/>
      <c r="F33" s="18" t="n"/>
      <c r="G33" s="9" t="n"/>
    </row>
    <row r="34">
      <c r="A34" s="2">
        <f>IF(ISNA(VLOOKUP(B36,AssociatedElements!B$2:B2974,1,FALSE)),"Not used","")</f>
        <v/>
      </c>
      <c r="B34" s="13" t="n"/>
      <c r="C34" s="18" t="n"/>
      <c r="D34" s="19" t="n"/>
      <c r="E34" s="18" t="n"/>
      <c r="F34" s="18" t="n"/>
      <c r="G34" s="9" t="n"/>
    </row>
    <row r="35">
      <c r="A35" s="2">
        <f>IF(ISNA(VLOOKUP(B37,AssociatedElements!B$2:B2975,1,FALSE)),"Not used","")</f>
        <v/>
      </c>
      <c r="G35"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25"/>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B2" t="inlineStr">
        <is>
          <t>simple_bored</t>
        </is>
      </c>
      <c r="C2" t="inlineStr">
        <is>
          <t>//diggs:RIColumn/diggs:columnType</t>
        </is>
      </c>
      <c r="D2" t="inlineStr">
        <is>
          <t>ancestor::diggs:RIColumn/diggs:riInstallationMethod[.='replacement']</t>
        </is>
      </c>
    </row>
    <row r="3">
      <c r="B3" t="inlineStr">
        <is>
          <t>simple_bored</t>
        </is>
      </c>
      <c r="C3" t="inlineStr">
        <is>
          <t>//diggs:RIColumnSpecification/diggs:columnType</t>
        </is>
      </c>
      <c r="D3" t="inlineStr">
        <is>
          <t>ancestor::diggs:RIColumnSpecification/diggs:riInstallationMethod[.='replacement']</t>
        </is>
      </c>
    </row>
    <row r="4">
      <c r="B4" t="inlineStr">
        <is>
          <t>bored_with_casing</t>
        </is>
      </c>
      <c r="C4" t="inlineStr">
        <is>
          <t>//diggs:RIColumn/diggs:columnType</t>
        </is>
      </c>
      <c r="D4" t="inlineStr">
        <is>
          <t>ancestor::diggs:RIColumn/diggs:riInstallationMethod[.='replacement']</t>
        </is>
      </c>
    </row>
    <row r="5">
      <c r="B5" t="inlineStr">
        <is>
          <t>bored_with_casing</t>
        </is>
      </c>
      <c r="C5" t="inlineStr">
        <is>
          <t>//diggs:RIColumnSpecification/diggs:columnType</t>
        </is>
      </c>
      <c r="D5" t="inlineStr">
        <is>
          <t>ancestor::diggs:RIColumnSpecification/diggs:riInstallationMethod[.='replacement']</t>
        </is>
      </c>
    </row>
    <row r="6">
      <c r="B6" t="inlineStr">
        <is>
          <t>bored_with_slurry</t>
        </is>
      </c>
      <c r="C6" t="inlineStr">
        <is>
          <t>//diggs:RIColumn/diggs:columnType</t>
        </is>
      </c>
      <c r="D6" t="inlineStr">
        <is>
          <t>ancestor::diggs:RIColumn/diggs:riInstallationMethod[.='replacement']</t>
        </is>
      </c>
    </row>
    <row r="7">
      <c r="B7" t="inlineStr">
        <is>
          <t>bored_with_slurry</t>
        </is>
      </c>
      <c r="C7" t="inlineStr">
        <is>
          <t>//diggs:RIColumnSpecification/diggs:columnType</t>
        </is>
      </c>
      <c r="D7" t="inlineStr">
        <is>
          <t>ancestor::diggs:RIColumnSpecification/diggs:riInstallationMethod[.='replacement']</t>
        </is>
      </c>
    </row>
    <row r="8">
      <c r="B8" t="inlineStr">
        <is>
          <t>continuous_flight_hollow_auger</t>
        </is>
      </c>
      <c r="C8" t="inlineStr">
        <is>
          <t>//diggs:RIColumn/diggs:columnType</t>
        </is>
      </c>
      <c r="D8" t="inlineStr">
        <is>
          <t>ancestor::diggs:RIColumn/diggs:riInstallationMethod[.='replacement']</t>
        </is>
      </c>
    </row>
    <row r="9">
      <c r="B9" t="inlineStr">
        <is>
          <t>continuous_flight_hollow_auger</t>
        </is>
      </c>
      <c r="C9" t="inlineStr">
        <is>
          <t>//diggs:RIColumnSpecification/diggs:columnType</t>
        </is>
      </c>
      <c r="D9" t="inlineStr">
        <is>
          <t>ancestor::diggs:RIColumnSpecification/diggs:riInstallationMethod[.='replacement']</t>
        </is>
      </c>
    </row>
    <row r="10">
      <c r="B10" t="inlineStr">
        <is>
          <t>cip_vibro_driven</t>
        </is>
      </c>
      <c r="C10" t="inlineStr">
        <is>
          <t>//diggs:RIColumn/diggs:columnType</t>
        </is>
      </c>
      <c r="D10" t="inlineStr">
        <is>
          <t>ancestor::diggs:RIColumn/diggs:riInstallationMethod[.='full displacement']</t>
        </is>
      </c>
    </row>
    <row r="11">
      <c r="B11" t="inlineStr">
        <is>
          <t>cip_vibro_driven</t>
        </is>
      </c>
      <c r="C11" t="inlineStr">
        <is>
          <t>//diggs:RIColumnSpecification/diggs:columnType</t>
        </is>
      </c>
      <c r="D11" t="inlineStr">
        <is>
          <t>ancestor::diggs:RIColumnSpecification/diggs:riInstallationMethod[.='full displacement']</t>
        </is>
      </c>
    </row>
    <row r="12">
      <c r="B12" t="inlineStr">
        <is>
          <t>cip_driven</t>
        </is>
      </c>
      <c r="C12" t="inlineStr">
        <is>
          <t>//diggs:RIColumn/diggs:columnType</t>
        </is>
      </c>
      <c r="D12" t="inlineStr">
        <is>
          <t>ancestor::diggs:RIColumn/diggs:riInstallationMethod[.='full displacement']</t>
        </is>
      </c>
    </row>
    <row r="13">
      <c r="B13" t="inlineStr">
        <is>
          <t>cip_driven</t>
        </is>
      </c>
      <c r="C13" t="inlineStr">
        <is>
          <t>//diggs:RIColumnSpecification/diggs:columnType</t>
        </is>
      </c>
      <c r="D13" t="inlineStr">
        <is>
          <t>ancestor::diggs:RIColumnSpecification/diggs:riInstallationMethod[.='full displacement']</t>
        </is>
      </c>
    </row>
    <row r="14">
      <c r="B14" t="inlineStr">
        <is>
          <t>prefab_vibro_driven</t>
        </is>
      </c>
      <c r="C14" t="inlineStr">
        <is>
          <t>//diggs:RIColumn/diggs:columnType</t>
        </is>
      </c>
      <c r="D14" t="inlineStr">
        <is>
          <t>ancestor::diggs:RIColumn/diggs:riInstallationMethod[.='full displacement']</t>
        </is>
      </c>
    </row>
    <row r="15">
      <c r="B15" t="inlineStr">
        <is>
          <t>prefab_vibro_driven</t>
        </is>
      </c>
      <c r="C15" t="inlineStr">
        <is>
          <t>//diggs:RIColumnSpecification/diggs:columnType</t>
        </is>
      </c>
      <c r="D15" t="inlineStr">
        <is>
          <t>ancestor::diggs:RIColumnSpecification/diggs:riInstallationMethod[.='full displacement']</t>
        </is>
      </c>
    </row>
    <row r="16">
      <c r="B16" t="inlineStr">
        <is>
          <t>prefab_driven</t>
        </is>
      </c>
      <c r="C16" t="inlineStr">
        <is>
          <t>//diggs:RIColumn/diggs:columnType</t>
        </is>
      </c>
      <c r="D16" t="inlineStr">
        <is>
          <t>ancestor::diggs:RIColumn/diggs:riInstallationMethod[.='full displacement']</t>
        </is>
      </c>
    </row>
    <row r="17">
      <c r="B17" t="inlineStr">
        <is>
          <t>prefab_driven</t>
        </is>
      </c>
      <c r="C17" t="inlineStr">
        <is>
          <t>//diggs:RIColumnSpecification/diggs:columnType</t>
        </is>
      </c>
      <c r="D17" t="inlineStr">
        <is>
          <t>ancestor::diggs:RIColumnSpecification/diggs:riInstallationMethod[.='full displacement']</t>
        </is>
      </c>
    </row>
    <row r="18">
      <c r="B18" t="inlineStr">
        <is>
          <t>vibro_concrete_column</t>
        </is>
      </c>
      <c r="C18" t="inlineStr">
        <is>
          <t>//diggs:RIColumn/diggs:columnType</t>
        </is>
      </c>
      <c r="D18" t="inlineStr">
        <is>
          <t>ancestor::diggs:RIColumn/diggs:riInstallationMethod[.='full displacement']</t>
        </is>
      </c>
    </row>
    <row r="19">
      <c r="B19" t="inlineStr">
        <is>
          <t>vibro_concrete_column</t>
        </is>
      </c>
      <c r="C19" t="inlineStr">
        <is>
          <t>//diggs:RIColumnSpecification/diggs:columnType</t>
        </is>
      </c>
      <c r="D19" t="inlineStr">
        <is>
          <t>ancestor::diggs:RIColumnSpecification/diggs:riInstallationMethod[.='full displacement']</t>
        </is>
      </c>
    </row>
    <row r="20">
      <c r="B20" t="inlineStr">
        <is>
          <t>drilled_displacement_column</t>
        </is>
      </c>
      <c r="C20" t="inlineStr">
        <is>
          <t>//diggs:RIColumn/diggs:columnType</t>
        </is>
      </c>
      <c r="D20" t="inlineStr">
        <is>
          <t>ancestor::diggs:RIColumn/diggs:riInstallationMethod[.='full displacement' or .='partial displacement']</t>
        </is>
      </c>
    </row>
    <row r="21">
      <c r="B21" t="inlineStr">
        <is>
          <t>drilled_displacement_column</t>
        </is>
      </c>
      <c r="C21" t="inlineStr">
        <is>
          <t>//diggs:RIColumnSpecification/diggs:columnType</t>
        </is>
      </c>
      <c r="D21" t="inlineStr">
        <is>
          <t>ancestor::diggs:RIColumnSpecification/diggs:riInstallationMethod[.='full displacement' or .='partial displacement']</t>
        </is>
      </c>
    </row>
    <row r="22">
      <c r="B22" t="inlineStr">
        <is>
          <t>micropile</t>
        </is>
      </c>
      <c r="C22" t="inlineStr">
        <is>
          <t>//diggs:RIColumn/diggs:columnType</t>
        </is>
      </c>
      <c r="D22" t="inlineStr">
        <is>
          <t>ancestor::diggs:RIColumn/diggs:riInstallationMethod[.='full displacement' or .='replacement']</t>
        </is>
      </c>
    </row>
    <row r="23">
      <c r="B23" t="inlineStr">
        <is>
          <t>micropile</t>
        </is>
      </c>
      <c r="C23" t="inlineStr">
        <is>
          <t>//diggs:RIColumnSpecification/diggs:columnType</t>
        </is>
      </c>
      <c r="D23" t="inlineStr">
        <is>
          <t>ancestor::diggs:RIColumnSpecification/diggs:riInstallationMethod[.='full displacement' or .='replacement']</t>
        </is>
      </c>
    </row>
    <row r="24">
      <c r="B24" t="inlineStr">
        <is>
          <t>grouted_stone_column</t>
        </is>
      </c>
      <c r="C24" t="inlineStr">
        <is>
          <t>//diggs:RIColumn/diggs:columnType</t>
        </is>
      </c>
      <c r="D24" t="inlineStr">
        <is>
          <t>ancestor::diggs:RIColumn/diggs:riInstallationMethod[.='full displacement' or .='replacement']</t>
        </is>
      </c>
    </row>
    <row r="25">
      <c r="B25" t="inlineStr">
        <is>
          <t>grouted_stone_column</t>
        </is>
      </c>
      <c r="C25" t="inlineStr">
        <is>
          <t>//diggs:RIColumnSpecification/diggs:columnType</t>
        </is>
      </c>
      <c r="D25" t="inlineStr">
        <is>
          <t>ancestor::diggs:RIColumnSpecification/diggs:riInstallationMethod[.='full displacement' or .='replacement']</t>
        </is>
      </c>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2018-10-28T20:07:54Z</dcterms:created>
  <dcterms:modified xmlns:dcterms="http://purl.org/dc/terms/" xmlns:xsi="http://www.w3.org/2001/XMLSchema-instance" xsi:type="dcterms:W3CDTF">2026-10-07T05:29:37Z</dcterms:modified>
  <cp:lastModifiedBy>Ponti, Daniel J</cp:lastModifiedBy>
</cp:coreProperties>
</file>