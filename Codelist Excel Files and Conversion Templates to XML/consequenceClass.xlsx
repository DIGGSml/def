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200" yWindow="3280" windowWidth="39400" windowHeight="24940" tabRatio="500" firstSheet="0" activeTab="4" autoFilterDateGrouping="1"/>
  </bookViews>
  <sheets>
    <sheet name="DictionaryName" sheetId="1" state="visible" r:id="rId1"/>
    <sheet name="Definitions" sheetId="2" state="visible" r:id="rId2"/>
    <sheet name="AssociatedElements" sheetId="3" state="visible" r:id="rId3"/>
    <sheet name="AlternateNames" sheetId="4" state="visible" r:id="rId4"/>
    <sheet name="Lists" sheetId="5" state="visible" r:id="rId5"/>
  </sheets>
  <definedNames/>
  <calcPr calcId="191029"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Calibri"/>
      <family val="2"/>
      <color theme="1"/>
      <sz val="12"/>
      <scheme val="minor"/>
    </font>
    <font>
      <name val="Calibri"/>
      <family val="2"/>
      <color rgb="FF000000"/>
      <sz val="12"/>
      <scheme val="minor"/>
    </font>
    <font>
      <name val="Aptos Narrow"/>
      <family val="2"/>
      <color rgb="FF000000"/>
      <sz val="12"/>
    </font>
    <font>
      <name val="Calibri"/>
      <family val="2"/>
      <color theme="3"/>
      <sz val="12"/>
      <scheme val="minor"/>
    </font>
    <font>
      <name val="Calibri"/>
      <family val="2"/>
      <sz val="8"/>
      <scheme val="minor"/>
    </font>
  </fonts>
  <fills count="4">
    <fill>
      <patternFill/>
    </fill>
    <fill>
      <patternFill patternType="gray125"/>
    </fill>
    <fill>
      <patternFill patternType="solid">
        <fgColor rgb="FF4472C4"/>
        <bgColor rgb="FF4472C4"/>
      </patternFill>
    </fill>
    <fill>
      <patternFill patternType="solid">
        <fgColor rgb="FFDBE5F1"/>
        <bgColor indexed="64"/>
      </patternFill>
    </fill>
  </fills>
  <borders count="3">
    <border>
      <left/>
      <right/>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3">
    <xf numFmtId="0" fontId="10" fillId="0" borderId="0"/>
    <xf numFmtId="0" fontId="2" fillId="0" borderId="0"/>
    <xf numFmtId="0" fontId="3" fillId="0" borderId="0"/>
  </cellStyleXfs>
  <cellXfs count="21">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8" fillId="2" borderId="1" applyAlignment="1" pivotButton="0" quotePrefix="0" xfId="0">
      <alignment wrapText="1"/>
    </xf>
    <xf numFmtId="0" fontId="0" fillId="0" borderId="0" applyAlignment="1" pivotButton="0" quotePrefix="0" xfId="0">
      <alignment vertical="center"/>
    </xf>
    <xf numFmtId="0" fontId="12" fillId="0" borderId="0" applyAlignment="1" pivotButton="0" quotePrefix="0" xfId="0">
      <alignment vertical="center" wrapText="1"/>
    </xf>
    <xf numFmtId="0" fontId="11" fillId="0" borderId="0" applyAlignment="1" pivotButton="0" quotePrefix="0" xfId="0">
      <alignment vertical="center" wrapText="1"/>
    </xf>
    <xf numFmtId="0" fontId="11" fillId="0" borderId="2"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center" wrapText="1"/>
    </xf>
    <xf numFmtId="0" fontId="12" fillId="0" borderId="0"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vertical="center" wrapText="1"/>
    </xf>
  </cellXfs>
  <cellStyles count="3">
    <cellStyle name="Normal" xfId="0" builtinId="0"/>
    <cellStyle name="Hyperlink" xfId="1" builtinId="8" hidden="1"/>
    <cellStyle name="Followed Hyperlink" xfId="2" builtinId="9" hidden="1"/>
  </cellStyles>
  <dxfs count="25">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font>
        <color auto="1"/>
      </font>
      <alignment horizontal="left" vertical="center"/>
    </dxf>
    <dxf>
      <font>
        <name val="Aptos Narrow"/>
        <family val="2"/>
        <color rgb="FF000000"/>
      </font>
      <alignment horizontal="general" vertical="center"/>
    </dxf>
    <dxf>
      <font>
        <name val="Aptos Narrow"/>
        <family val="2"/>
        <color rgb="FF000000"/>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general" vertical="bottom" wrapText="1"/>
      <border outline="0">
        <left/>
        <right style="thin">
          <color rgb="FFFFFFFF"/>
        </right>
        <top/>
        <bottom style="thin">
          <color rgb="FFFFFFFF"/>
        </bottom>
      </border>
    </dxf>
    <dxf>
      <font>
        <color auto="1"/>
      </font>
      <fill>
        <patternFill patternType="solid">
          <fgColor indexed="64"/>
          <bgColor rgb="FFDBE5F1"/>
        </patternFill>
      </fill>
      <alignment horizontal="general" vertical="center"/>
      <border outline="0">
        <left/>
        <right style="thin">
          <color rgb="FFFFFFFF"/>
        </right>
        <top/>
        <bottom style="thin">
          <color rgb="FFFFFFFF"/>
        </bottom>
      </border>
    </dxf>
    <dxf>
      <font>
        <name val="Aptos Narrow"/>
        <family val="2"/>
        <color rgb="FF000000"/>
      </font>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DictionaryName" displayName="DictionaryName" ref="A1:E4" headerRowCount="1" totalsRowShown="0" headerRowDxfId="24" dataDxfId="23">
  <autoFilter ref="A1:E4"/>
  <tableColumns count="5">
    <tableColumn id="1" name="Start" dataDxfId="22"/>
    <tableColumn id="4" name="Dictionary ID" dataDxfId="21"/>
    <tableColumn id="5" name="DictionaryFile" dataDxfId="20"/>
    <tableColumn id="2" name="DictionaryName" dataDxfId="19"/>
    <tableColumn id="3" name="Description" dataDxfId="18"/>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17" dataDxfId="16">
  <autoFilter ref="A1:H37"/>
  <sortState ref="A2:H37">
    <sortCondition ref="A1:A37"/>
  </sortState>
  <tableColumns count="8">
    <tableColumn id="1" name="Start" dataDxfId="15">
      <calculatedColumnFormula>IF(ISNA(VLOOKUP(B2,AssociatedElements!B$2:B2940,1,FALSE)),"Not used","")</calculatedColumnFormula>
    </tableColumn>
    <tableColumn id="10" name="ID" dataDxfId="14"/>
    <tableColumn id="7" name="Name" dataDxfId="13"/>
    <tableColumn id="3" name="Description" dataDxfId="12"/>
    <tableColumn id="4" name="DataType" dataDxfId="11"/>
    <tableColumn id="5" name="QuantityClass" dataDxfId="10"/>
    <tableColumn id="6" name="Authority" dataDxfId="9"/>
    <tableColumn id="9" name="Reference" dataDxfId="8"/>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7" headerRowCount="1" totalsRowShown="0" headerRowDxfId="7">
  <autoFilter ref="A1:D37"/>
  <sortState ref="A2:C2">
    <sortCondition ref="C1:C2"/>
  </sortState>
  <tableColumns count="4">
    <tableColumn id="1" name="Start" dataDxfId="6">
      <calculatedColumnFormula>IF(ISNA(VLOOKUP(B2,Definitions!B$2:B$1839,1,FALSE)),"Not listed","")</calculatedColumnFormula>
    </tableColumn>
    <tableColumn id="4" name="ID" dataDxfId="5"/>
    <tableColumn id="2" name="SourceElement" dataDxfId="4"/>
    <tableColumn id="3" name="ConditionalElement"/>
  </tableColumns>
  <tableStyleInfo name="TableStyleMedium9" showFirstColumn="0" showLastColumn="0" showRowStripes="1" showColumnStripes="0"/>
</table>
</file>

<file path=xl/tables/table4.xml><?xml version="1.0" encoding="utf-8"?>
<table xmlns="http://schemas.openxmlformats.org/spreadsheetml/2006/main" id="4" name="AssociatedElements5" displayName="AssociatedElements5" ref="A1:D2" headerRowCount="1" totalsRowShown="0" headerRowDxfId="3">
  <autoFilter ref="A1:D2"/>
  <sortState ref="A2:C2">
    <sortCondition ref="C1:C2"/>
  </sortState>
  <tableColumns count="4">
    <tableColumn id="1" name="Start" dataDxfId="2">
      <calculatedColumnFormula>IF(ISNA(VLOOKUP(B2,Definitions!B$2:B$1839,1,FALSE)),"Not listed","")</calculatedColumnFormula>
    </tableColumn>
    <tableColumn id="4" name="ID" dataDxfId="1"/>
    <tableColumn id="2" name="Name" dataDxfId="0"/>
    <tableColumn id="3" name="codeSpace"/>
  </tableColumns>
  <tableStyleInfo name="TableStyleMedium9" showFirstColumn="0" showLastColumn="0" showRowStripes="1" showColumnStripes="0"/>
</table>
</file>

<file path=xl/tables/table5.xml><?xml version="1.0" encoding="utf-8"?>
<table xmlns="http://schemas.openxmlformats.org/spreadsheetml/2006/main" id="5" name="Table6" displayName="Table6" ref="A1:E188" headerRowCount="1" totalsRowShown="0">
  <autoFilter ref="A1:E188"/>
  <sortState ref="A2:C187">
    <sortCondition ref="C1:C187"/>
  </sortState>
  <tableColumns count="5">
    <tableColumn id="1" name="DataType"/>
    <tableColumn id="2" name="DataType2"/>
    <tableColumn id="3" name="QuantityClass"/>
    <tableColumn id="5" name="Column2"/>
    <tableColumn id="4" name="Column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codeName="Sheet1">
    <outlinePr summaryBelow="1" summaryRight="1"/>
    <pageSetUpPr/>
  </sheetPr>
  <dimension ref="A1:E4"/>
  <sheetViews>
    <sheetView workbookViewId="0">
      <selection activeCell="E3" sqref="E3"/>
    </sheetView>
  </sheetViews>
  <sheetFormatPr baseColWidth="10" defaultColWidth="11" defaultRowHeight="16"/>
  <cols>
    <col width="7.5" customWidth="1" style="8" min="1" max="1"/>
    <col width="41.33203125" customWidth="1" style="8" min="2" max="2"/>
    <col width="26.33203125" customWidth="1" style="8" min="3" max="3"/>
    <col width="35.6640625" customWidth="1" style="8" min="4" max="4"/>
    <col width="76" customWidth="1" style="8" min="5" max="5"/>
    <col width="11" customWidth="1" style="8" min="6" max="16384"/>
  </cols>
  <sheetData>
    <row r="1" ht="18" customFormat="1" customHeight="1" s="10" thickBot="1">
      <c r="A1" s="10" t="inlineStr">
        <is>
          <t>Start</t>
        </is>
      </c>
      <c r="B1" s="10" t="inlineStr">
        <is>
          <t>Dictionary ID</t>
        </is>
      </c>
      <c r="C1" s="11" t="inlineStr">
        <is>
          <t>DictionaryFile</t>
        </is>
      </c>
      <c r="D1" s="10" t="inlineStr">
        <is>
          <t>DictionaryName</t>
        </is>
      </c>
      <c r="E1" s="10" t="inlineStr">
        <is>
          <t>Description</t>
        </is>
      </c>
    </row>
    <row r="2" ht="18" customFormat="1" customHeight="1" s="10" thickTop="1">
      <c r="A2" s="1" t="n"/>
      <c r="B2" s="1" t="n"/>
      <c r="C2" s="1" t="n"/>
      <c r="D2" s="1" t="n"/>
      <c r="E2" s="1" t="inlineStr">
        <is>
          <t>Leave this line blank</t>
        </is>
      </c>
    </row>
    <row r="3" ht="154" customFormat="1" customHeight="1" s="2">
      <c r="B3" s="2" t="inlineStr">
        <is>
          <t>consequenceClass</t>
        </is>
      </c>
      <c r="C3" s="12" t="inlineStr">
        <is>
          <t>consequenceClass</t>
        </is>
      </c>
      <c r="D3" s="12" t="inlineStr">
        <is>
          <t>DIGGS Rigid Inclusion Consequence Class Codelist Definitions</t>
        </is>
      </c>
      <c r="E3" s="2" t="inlineStr">
        <is>
          <t>Codes naming the consequence or reliability class governing a rigid inclusion design. Used for the value of the consequenceClass property of diggs:RIProgramBasis. RI_Design_Parameter_Analysis.md Group A row 10 flags that several national schemes (ASIRI's domain classification, EBGEO's load case) occupy this same conceptual slot but are not directly interchangeable with the Eurocode classes or with each other, and that the exact ASIRI domain definitions could not be verified from open sources. This list is deliberately EC7/EN 1990-sourced only, pending SME confirmation of the other schemes - see docs/build/S9/NOTES.md.</t>
        </is>
      </c>
    </row>
    <row r="4" ht="17" customHeight="1">
      <c r="A4" s="2" t="n"/>
      <c r="B4" s="2" t="n"/>
      <c r="D4" s="2" t="n"/>
      <c r="E4" s="2" t="inlineStr">
        <is>
          <t> </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37"/>
  <sheetViews>
    <sheetView zoomScale="150" zoomScaleNormal="150" workbookViewId="0">
      <selection activeCell="B7" sqref="B7"/>
    </sheetView>
  </sheetViews>
  <sheetFormatPr baseColWidth="10" defaultColWidth="10.83203125" defaultRowHeight="16"/>
  <cols>
    <col width="7"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c r="A2" s="2">
        <f>IF(ISNA(VLOOKUP(B2,AssociatedElements!B$2:B2940,1,FALSE)),"Not used","")</f>
        <v/>
      </c>
      <c r="B2" s="13" t="inlineStr">
        <is>
          <t>cc1</t>
        </is>
      </c>
      <c r="C2" s="13" t="inlineStr">
        <is>
          <t>Consequence Class 1 (CC1)</t>
        </is>
      </c>
      <c r="D2" s="14" t="inlineStr">
        <is>
          <t>EN 1990 Consequence Class 1: low consequence for loss of human life, and economic, social or environmental consequences small or negligible.</t>
        </is>
      </c>
      <c r="E2" s="13" t="inlineStr">
        <is>
          <t>string</t>
        </is>
      </c>
      <c r="F2" s="13" t="n"/>
      <c r="G2" s="9" t="inlineStr">
        <is>
          <t>EN 1990</t>
        </is>
      </c>
    </row>
    <row r="3">
      <c r="A3" s="2">
        <f>IF(ISNA(VLOOKUP(B3,AssociatedElements!B$2:B2941,1,FALSE)),"Not used","")</f>
        <v/>
      </c>
      <c r="B3" s="13" t="inlineStr">
        <is>
          <t>cc2</t>
        </is>
      </c>
      <c r="C3" s="13" t="inlineStr">
        <is>
          <t>Consequence Class 2 (CC2)</t>
        </is>
      </c>
      <c r="D3" s="14" t="inlineStr">
        <is>
          <t>EN 1990 Consequence Class 2: medium consequence for loss of human life, and economic, social or environmental consequences considerable.</t>
        </is>
      </c>
      <c r="E3" s="13" t="inlineStr">
        <is>
          <t>string</t>
        </is>
      </c>
      <c r="F3" s="13" t="n"/>
      <c r="G3" s="9" t="inlineStr">
        <is>
          <t>EN 1990</t>
        </is>
      </c>
    </row>
    <row r="4">
      <c r="A4" s="2">
        <f>IF(ISNA(VLOOKUP(B4,AssociatedElements!B$2:B2942,1,FALSE)),"Not used","")</f>
        <v/>
      </c>
      <c r="B4" t="inlineStr">
        <is>
          <t>cc3</t>
        </is>
      </c>
      <c r="C4" t="inlineStr">
        <is>
          <t>Consequence Class 3 (CC3)</t>
        </is>
      </c>
      <c r="D4" t="inlineStr">
        <is>
          <t>EN 1990 Consequence Class 3: high consequence for loss of human life, or economic, social or environmental consequences very great.</t>
        </is>
      </c>
      <c r="E4" t="inlineStr">
        <is>
          <t>string</t>
        </is>
      </c>
      <c r="G4" s="9" t="inlineStr">
        <is>
          <t>EN 1990</t>
        </is>
      </c>
    </row>
    <row r="5">
      <c r="A5" s="2">
        <f>IF(ISNA(VLOOKUP(B5,AssociatedElements!B$2:B2943,1,FALSE)),"Not used","")</f>
        <v/>
      </c>
      <c r="B5" s="13" t="n"/>
      <c r="C5" s="13" t="n"/>
      <c r="D5" s="14" t="n"/>
      <c r="E5" s="13" t="n"/>
      <c r="F5" s="13" t="n"/>
      <c r="G5" s="9" t="n"/>
    </row>
    <row r="6">
      <c r="A6" s="2">
        <f>IF(ISNA(VLOOKUP(B6,AssociatedElements!B$2:B2944,1,FALSE)),"Not used","")</f>
        <v/>
      </c>
      <c r="C6" s="16" t="n"/>
      <c r="D6" s="16" t="n"/>
      <c r="E6" s="17" t="n"/>
      <c r="G6" s="9" t="n"/>
    </row>
    <row r="7">
      <c r="A7" s="2">
        <f>IF(ISNA(VLOOKUP(B7,AssociatedElements!B$2:B2945,1,FALSE)),"Not used","")</f>
        <v/>
      </c>
      <c r="G7" s="9" t="n"/>
    </row>
    <row r="8">
      <c r="A8" s="2">
        <f>IF(ISNA(VLOOKUP(B8,AssociatedElements!B$2:B2946,1,FALSE)),"Not used","")</f>
        <v/>
      </c>
      <c r="G8" s="9" t="n"/>
    </row>
    <row r="9">
      <c r="A9" s="2">
        <f>IF(ISNA(VLOOKUP(B9,AssociatedElements!B$2:B2947,1,FALSE)),"Not used","")</f>
        <v/>
      </c>
      <c r="C9" s="16" t="n"/>
      <c r="D9" s="16" t="n"/>
      <c r="E9" s="17" t="n"/>
      <c r="G9" s="9" t="n"/>
    </row>
    <row r="10">
      <c r="A10" s="2">
        <f>IF(ISNA(VLOOKUP(B10,AssociatedElements!B$2:B2948,1,FALSE)),"Not used","")</f>
        <v/>
      </c>
      <c r="B10" s="13" t="n"/>
      <c r="C10" s="13" t="n"/>
      <c r="D10" s="14" t="n"/>
      <c r="E10" s="13" t="n"/>
      <c r="F10" s="13" t="n"/>
      <c r="G10" s="9" t="n"/>
    </row>
    <row r="11">
      <c r="A11" s="2">
        <f>IF(ISNA(VLOOKUP(B11,AssociatedElements!B$2:B2949,1,FALSE)),"Not used","")</f>
        <v/>
      </c>
      <c r="B11" s="13" t="n"/>
      <c r="C11" s="13" t="n"/>
      <c r="D11" s="14" t="n"/>
      <c r="E11" s="13" t="n"/>
      <c r="F11" s="13" t="n"/>
      <c r="G11" s="9" t="n"/>
    </row>
    <row r="12">
      <c r="A12" s="2">
        <f>IF(ISNA(VLOOKUP(B12,AssociatedElements!B$2:B2950,1,FALSE)),"Not used","")</f>
        <v/>
      </c>
      <c r="B12" s="13" t="n"/>
      <c r="C12" s="13" t="n"/>
      <c r="D12" s="14" t="n"/>
      <c r="E12" s="13" t="n"/>
      <c r="F12" s="13" t="n"/>
      <c r="G12" s="9" t="n"/>
    </row>
    <row r="13">
      <c r="A13" s="2">
        <f>IF(ISNA(VLOOKUP(B13,AssociatedElements!B$2:B2951,1,FALSE)),"Not used","")</f>
        <v/>
      </c>
      <c r="B13" s="13" t="n"/>
      <c r="C13" s="13" t="n"/>
      <c r="D13" s="14" t="n"/>
      <c r="E13" s="13" t="n"/>
      <c r="F13" s="13" t="n"/>
      <c r="G13" s="9" t="n"/>
    </row>
    <row r="14">
      <c r="A14" s="2">
        <f>IF(ISNA(VLOOKUP(B14,AssociatedElements!B$2:B2952,1,FALSE)),"Not used","")</f>
        <v/>
      </c>
      <c r="B14" s="13" t="n"/>
      <c r="C14" s="13" t="n"/>
      <c r="D14" s="14" t="n"/>
      <c r="E14" s="13" t="n"/>
      <c r="F14" s="13" t="n"/>
      <c r="G14" s="9" t="n"/>
    </row>
    <row r="15">
      <c r="A15" s="2">
        <f>IF(ISNA(VLOOKUP(B15,AssociatedElements!B$2:B2953,1,FALSE)),"Not used","")</f>
        <v/>
      </c>
      <c r="B15" s="13" t="n"/>
      <c r="C15" s="18" t="n"/>
      <c r="D15" s="19" t="n"/>
      <c r="E15" s="18" t="n"/>
      <c r="F15" s="18" t="n"/>
      <c r="G15" s="9" t="n"/>
    </row>
    <row r="16">
      <c r="A16" s="2">
        <f>IF(ISNA(VLOOKUP(B16,AssociatedElements!B$2:B2954,1,FALSE)),"Not used","")</f>
        <v/>
      </c>
      <c r="B16" s="13" t="n"/>
      <c r="C16" s="18" t="n"/>
      <c r="D16" s="19" t="n"/>
      <c r="E16" s="18" t="n"/>
      <c r="F16" s="18" t="n"/>
      <c r="G16" s="9" t="n"/>
    </row>
    <row r="17">
      <c r="A17" s="2">
        <f>IF(ISNA(VLOOKUP(B17,AssociatedElements!B$2:B2955,1,FALSE)),"Not used","")</f>
        <v/>
      </c>
      <c r="B17" s="13" t="n"/>
      <c r="C17" s="18" t="n"/>
      <c r="D17" s="19" t="n"/>
      <c r="E17" s="18" t="n"/>
      <c r="F17" s="18" t="n"/>
      <c r="G17" s="9" t="n"/>
    </row>
    <row r="18">
      <c r="A18" s="2">
        <f>IF(ISNA(VLOOKUP(B18,AssociatedElements!B$2:B2956,1,FALSE)),"Not used","")</f>
        <v/>
      </c>
      <c r="B18" s="13" t="n"/>
      <c r="C18" s="18" t="n"/>
      <c r="D18" s="19" t="n"/>
      <c r="E18" s="18" t="n"/>
      <c r="F18" s="18" t="n"/>
      <c r="G18" s="9" t="n"/>
    </row>
    <row r="19">
      <c r="A19" s="2">
        <f>IF(ISNA(VLOOKUP(B19,AssociatedElements!B$2:B2957,1,FALSE)),"Not used","")</f>
        <v/>
      </c>
      <c r="B19" s="13" t="n"/>
      <c r="C19" s="18" t="n"/>
      <c r="D19" s="19" t="n"/>
      <c r="E19" s="18" t="n"/>
      <c r="F19" s="18" t="n"/>
      <c r="G19" s="9" t="n"/>
    </row>
    <row r="20">
      <c r="A20" s="2">
        <f>IF(ISNA(VLOOKUP(B20,AssociatedElements!B$2:B2958,1,FALSE)),"Not used","")</f>
        <v/>
      </c>
      <c r="B20" s="13" t="n"/>
      <c r="C20" s="18" t="n"/>
      <c r="D20" s="19" t="n"/>
      <c r="E20" s="18" t="n"/>
      <c r="F20" s="18" t="n"/>
      <c r="G20" s="9" t="n"/>
    </row>
    <row r="21">
      <c r="A21" s="2">
        <f>IF(ISNA(VLOOKUP(B21,AssociatedElements!B$2:B2959,1,FALSE)),"Not used","")</f>
        <v/>
      </c>
      <c r="B21" s="13" t="n"/>
      <c r="C21" s="18" t="n"/>
      <c r="D21" s="19" t="n"/>
      <c r="E21" s="18" t="n"/>
      <c r="F21" s="18" t="n"/>
      <c r="G21" s="9" t="n"/>
    </row>
    <row r="22">
      <c r="A22" s="2">
        <f>IF(ISNA(VLOOKUP(B22,AssociatedElements!B$2:B2960,1,FALSE)),"Not used","")</f>
        <v/>
      </c>
      <c r="B22" s="13" t="n"/>
      <c r="C22" s="18" t="n"/>
      <c r="D22" s="19" t="n"/>
      <c r="E22" s="18" t="n"/>
      <c r="F22" s="18" t="n"/>
      <c r="G22" s="9" t="n"/>
    </row>
    <row r="23">
      <c r="A23" s="2">
        <f>IF(ISNA(VLOOKUP(B23,AssociatedElements!B$2:B2961,1,FALSE)),"Not used","")</f>
        <v/>
      </c>
      <c r="B23" s="13" t="n"/>
      <c r="C23" s="18" t="n"/>
      <c r="D23" s="19" t="n"/>
      <c r="E23" s="18" t="n"/>
      <c r="F23" s="18" t="n"/>
      <c r="G23" s="9" t="n"/>
    </row>
    <row r="24">
      <c r="A24" s="2">
        <f>IF(ISNA(VLOOKUP(B24,AssociatedElements!B$2:B2962,1,FALSE)),"Not used","")</f>
        <v/>
      </c>
      <c r="D24" s="16" t="n"/>
      <c r="G24" s="9" t="n"/>
    </row>
    <row r="25">
      <c r="A25" s="2">
        <f>IF(ISNA(VLOOKUP(B25,AssociatedElements!B$2:B2963,1,FALSE)),"Not used","")</f>
        <v/>
      </c>
      <c r="B25" s="13" t="n"/>
      <c r="C25" s="13" t="n"/>
      <c r="E25" s="13" t="n"/>
      <c r="F25" s="13" t="n"/>
      <c r="G25" s="9" t="n"/>
    </row>
    <row r="26">
      <c r="A26" s="2">
        <f>IF(ISNA(VLOOKUP(B26,AssociatedElements!B$2:B2964,1,FALSE)),"Not used","")</f>
        <v/>
      </c>
      <c r="B26" s="13" t="n"/>
      <c r="C26" s="13" t="n"/>
      <c r="E26" s="13" t="n"/>
      <c r="F26" s="13" t="n"/>
      <c r="G26" s="9" t="n"/>
    </row>
    <row r="27">
      <c r="A27" s="2">
        <f>IF(ISNA(VLOOKUP(B27,AssociatedElements!B$2:B2965,1,FALSE)),"Not used","")</f>
        <v/>
      </c>
      <c r="B27" s="13" t="n"/>
      <c r="C27" s="13" t="n"/>
      <c r="D27" s="15" t="n"/>
      <c r="E27" s="13" t="n"/>
      <c r="F27" s="13" t="n"/>
      <c r="G27" s="9" t="n"/>
    </row>
    <row r="28">
      <c r="A28" s="2">
        <f>IF(ISNA(VLOOKUP(B28,AssociatedElements!B$2:B2966,1,FALSE)),"Not used","")</f>
        <v/>
      </c>
      <c r="B28" s="13" t="n"/>
      <c r="C28" s="13" t="n"/>
      <c r="D28" s="14" t="n"/>
      <c r="E28" s="13" t="n"/>
      <c r="F28" s="13" t="n"/>
      <c r="G28" s="9" t="n"/>
    </row>
    <row r="29">
      <c r="A29" s="2">
        <f>IF(ISNA(VLOOKUP(B29,AssociatedElements!B$2:B2967,1,FALSE)),"Not used","")</f>
        <v/>
      </c>
      <c r="B29" s="13" t="n"/>
      <c r="C29" s="13" t="n"/>
      <c r="D29" s="14" t="n"/>
      <c r="E29" s="13" t="n"/>
      <c r="F29" s="13" t="n"/>
      <c r="G29" s="9" t="n"/>
    </row>
    <row r="30">
      <c r="A30" s="2">
        <f>IF(ISNA(VLOOKUP(B30,AssociatedElements!B$2:B2968,1,FALSE)),"Not used","")</f>
        <v/>
      </c>
      <c r="B30" s="13" t="n"/>
      <c r="C30" s="13" t="n"/>
      <c r="D30" s="14" t="n"/>
      <c r="E30" s="13" t="n"/>
      <c r="F30" s="13" t="n"/>
      <c r="G30" s="9" t="n"/>
    </row>
    <row r="31">
      <c r="A31" s="2">
        <f>IF(ISNA(VLOOKUP(B31,AssociatedElements!B$2:B2969,1,FALSE)),"Not used","")</f>
        <v/>
      </c>
      <c r="B31" s="13" t="n"/>
      <c r="C31" s="18" t="n"/>
      <c r="D31" s="19" t="n"/>
      <c r="E31" s="18" t="n"/>
      <c r="F31" s="18" t="n"/>
      <c r="G31" s="9" t="n"/>
    </row>
    <row r="32">
      <c r="A32" s="2">
        <f>IF(ISNA(VLOOKUP(B32,AssociatedElements!B$2:B2970,1,FALSE)),"Not used","")</f>
        <v/>
      </c>
      <c r="B32" s="13" t="n"/>
      <c r="C32" s="18" t="n"/>
      <c r="D32" s="19" t="n"/>
      <c r="E32" s="18" t="n"/>
      <c r="F32" s="18" t="n"/>
      <c r="G32" s="9" t="n"/>
    </row>
    <row r="33">
      <c r="A33" s="2">
        <f>IF(ISNA(VLOOKUP(B33,AssociatedElements!B$2:B2971,1,FALSE)),"Not used","")</f>
        <v/>
      </c>
      <c r="B33" s="13" t="n"/>
      <c r="C33" s="18" t="n"/>
      <c r="D33" s="19" t="n"/>
      <c r="E33" s="18" t="n"/>
      <c r="F33" s="18" t="n"/>
      <c r="G33" s="9" t="n"/>
    </row>
    <row r="34">
      <c r="A34" s="2">
        <f>IF(ISNA(VLOOKUP(B34,AssociatedElements!B$2:B2972,1,FALSE)),"Not used","")</f>
        <v/>
      </c>
      <c r="B34" s="13" t="n"/>
      <c r="C34" s="18" t="n"/>
      <c r="D34" s="19" t="n"/>
      <c r="E34" s="18" t="n"/>
      <c r="F34" s="18" t="n"/>
      <c r="G34" s="9" t="n"/>
    </row>
    <row r="35">
      <c r="A35" s="2">
        <f>IF(ISNA(VLOOKUP(B35,AssociatedElements!B$2:B2973,1,FALSE)),"Not used","")</f>
        <v/>
      </c>
      <c r="B35" s="13" t="n"/>
      <c r="C35" s="18" t="n"/>
      <c r="D35" s="19" t="n"/>
      <c r="E35" s="18" t="n"/>
      <c r="F35" s="18" t="n"/>
      <c r="G35" s="9" t="n"/>
    </row>
    <row r="36">
      <c r="A36" s="2">
        <f>IF(ISNA(VLOOKUP(B36,AssociatedElements!B$2:B2974,1,FALSE)),"Not used","")</f>
        <v/>
      </c>
      <c r="B36" s="13" t="n"/>
      <c r="C36" s="18" t="n"/>
      <c r="D36" s="19" t="n"/>
      <c r="E36" s="18" t="n"/>
      <c r="F36" s="18" t="n"/>
      <c r="G36" s="9" t="n"/>
    </row>
    <row r="37">
      <c r="A37" s="2">
        <f>IF(ISNA(VLOOKUP(B37,AssociatedElements!B$2:B2975,1,FALSE)),"Not used","")</f>
        <v/>
      </c>
      <c r="G37" s="9" t="n"/>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37"/>
  <sheetViews>
    <sheetView zoomScale="120" zoomScaleNormal="120" workbookViewId="0">
      <pane ySplit="1" topLeftCell="A2" activePane="bottomLeft" state="frozen"/>
      <selection pane="bottomLeft" activeCell="C19" sqref="C19"/>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c r="A2">
        <f>IF(ISNA(VLOOKUP(#REF!,Definitions!B$2:B$1839,1,FALSE)),"Not listed","")</f>
        <v/>
      </c>
      <c r="B2" s="2" t="inlineStr">
        <is>
          <t>cc1</t>
        </is>
      </c>
      <c r="C2" t="inlineStr">
        <is>
          <t>//diggs:RIProgramBasis/diggs:consequenceClass</t>
        </is>
      </c>
    </row>
    <row r="3">
      <c r="A3">
        <f>IF(ISNA(VLOOKUP(B3,Definitions!B$2:B$1839,1,FALSE)),"Not listed","")</f>
        <v/>
      </c>
      <c r="B3" s="20" t="inlineStr">
        <is>
          <t>cc2</t>
        </is>
      </c>
      <c r="C3" t="inlineStr">
        <is>
          <t>//diggs:RIProgramBasis/diggs:consequenceClass</t>
        </is>
      </c>
    </row>
    <row r="4">
      <c r="A4">
        <f>IF(ISNA(VLOOKUP(B4,Definitions!B$2:B$1839,1,FALSE)),"Not listed","")</f>
        <v/>
      </c>
      <c r="B4" s="2" t="inlineStr">
        <is>
          <t>cc3</t>
        </is>
      </c>
      <c r="C4" t="inlineStr">
        <is>
          <t>//diggs:RIProgramBasis/diggs:consequenceClass</t>
        </is>
      </c>
    </row>
    <row r="5">
      <c r="A5">
        <f>IF(ISNA(VLOOKUP(B5,Definitions!B$2:B$1839,1,FALSE)),"Not listed","")</f>
        <v/>
      </c>
      <c r="B5" s="2" t="n"/>
    </row>
    <row r="6">
      <c r="A6">
        <f>IF(ISNA(VLOOKUP(B6,Definitions!B$2:B$1839,1,FALSE)),"Not listed","")</f>
        <v/>
      </c>
      <c r="B6" s="2" t="n"/>
    </row>
    <row r="7">
      <c r="A7">
        <f>IF(ISNA(VLOOKUP(B7,Definitions!B$2:B$1839,1,FALSE)),"Not listed","")</f>
        <v/>
      </c>
      <c r="B7" s="2" t="n"/>
    </row>
    <row r="8">
      <c r="A8">
        <f>IF(ISNA(VLOOKUP(B8,Definitions!B$2:B$1839,1,FALSE)),"Not listed","")</f>
        <v/>
      </c>
      <c r="B8" s="2" t="n"/>
    </row>
    <row r="9">
      <c r="A9">
        <f>IF(ISNA(VLOOKUP(B9,Definitions!B$2:B$1839,1,FALSE)),"Not listed","")</f>
        <v/>
      </c>
      <c r="B9" s="2" t="n"/>
    </row>
    <row r="10">
      <c r="A10">
        <f>IF(ISNA(VLOOKUP(B10,Definitions!B$2:B$1839,1,FALSE)),"Not listed","")</f>
        <v/>
      </c>
      <c r="B10" s="20" t="n"/>
    </row>
    <row r="11">
      <c r="A11">
        <f>IF(ISNA(VLOOKUP(B11,Definitions!B$2:B$1839,1,FALSE)),"Not listed","")</f>
        <v/>
      </c>
      <c r="B11" s="20" t="n"/>
    </row>
    <row r="12">
      <c r="A12">
        <f>IF(ISNA(VLOOKUP(B12,Definitions!B$2:B$1839,1,FALSE)),"Not listed","")</f>
        <v/>
      </c>
      <c r="B12" s="20" t="n"/>
    </row>
    <row r="13">
      <c r="A13">
        <f>IF(ISNA(VLOOKUP(B13,Definitions!B$2:B$1839,1,FALSE)),"Not listed","")</f>
        <v/>
      </c>
      <c r="B13" s="20" t="n"/>
    </row>
    <row r="14">
      <c r="A14">
        <f>IF(ISNA(VLOOKUP(B14,Definitions!B$2:B$1839,1,FALSE)),"Not listed","")</f>
        <v/>
      </c>
      <c r="B14" s="20" t="n"/>
    </row>
    <row r="15">
      <c r="A15">
        <f>IF(ISNA(VLOOKUP(B15,Definitions!B$2:B$1839,1,FALSE)),"Not listed","")</f>
        <v/>
      </c>
      <c r="B15" s="2" t="n"/>
    </row>
    <row r="16">
      <c r="A16">
        <f>IF(ISNA(VLOOKUP(B16,Definitions!B$2:B$1839,1,FALSE)),"Not listed","")</f>
        <v/>
      </c>
      <c r="B16" s="2" t="n"/>
    </row>
    <row r="17">
      <c r="A17">
        <f>IF(ISNA(VLOOKUP(B17,Definitions!B$2:B$1839,1,FALSE)),"Not listed","")</f>
        <v/>
      </c>
      <c r="B17" s="2" t="n"/>
    </row>
    <row r="18">
      <c r="A18">
        <f>IF(ISNA(VLOOKUP(B18,Definitions!B$2:B$1839,1,FALSE)),"Not listed","")</f>
        <v/>
      </c>
      <c r="B18" s="2" t="n"/>
    </row>
    <row r="19">
      <c r="A19">
        <f>IF(ISNA(VLOOKUP(B19,Definitions!B$2:B$1839,1,FALSE)),"Not listed","")</f>
        <v/>
      </c>
      <c r="B19" s="20" t="n"/>
    </row>
    <row r="20">
      <c r="A20">
        <f>IF(ISNA(VLOOKUP(B20,Definitions!B$2:B$1839,1,FALSE)),"Not listed","")</f>
        <v/>
      </c>
      <c r="B20" s="20" t="n"/>
    </row>
    <row r="21">
      <c r="A21">
        <f>IF(ISNA(VLOOKUP(B21,Definitions!B$2:B$1839,1,FALSE)),"Not listed","")</f>
        <v/>
      </c>
      <c r="B21" s="20" t="n"/>
    </row>
    <row r="22">
      <c r="A22">
        <f>IF(ISNA(VLOOKUP(B22,Definitions!B$2:B$1839,1,FALSE)),"Not listed","")</f>
        <v/>
      </c>
      <c r="B22" s="20" t="n"/>
    </row>
    <row r="23">
      <c r="A23">
        <f>IF(ISNA(VLOOKUP(B23,Definitions!B$2:B$1839,1,FALSE)),"Not listed","")</f>
        <v/>
      </c>
      <c r="B23" s="20" t="n"/>
    </row>
    <row r="24">
      <c r="A24">
        <f>IF(ISNA(VLOOKUP(B24,Definitions!B$2:B$1839,1,FALSE)),"Not listed","")</f>
        <v/>
      </c>
      <c r="B24" s="2" t="n"/>
    </row>
    <row r="25">
      <c r="A25">
        <f>IF(ISNA(VLOOKUP(B25,Definitions!B$2:B$1839,1,FALSE)),"Not listed","")</f>
        <v/>
      </c>
      <c r="B25" s="2" t="n"/>
    </row>
    <row r="26">
      <c r="A26">
        <f>IF(ISNA(VLOOKUP(B26,Definitions!B$2:B$1839,1,FALSE)),"Not listed","")</f>
        <v/>
      </c>
      <c r="B26" s="2" t="n"/>
    </row>
    <row r="27">
      <c r="A27">
        <f>IF(ISNA(VLOOKUP(B27,Definitions!B$2:B$1839,1,FALSE)),"Not listed","")</f>
        <v/>
      </c>
      <c r="B27" s="13" t="n"/>
    </row>
    <row r="28">
      <c r="A28">
        <f>IF(ISNA(VLOOKUP(B28,Definitions!B$2:B$1839,1,FALSE)),"Not listed","")</f>
        <v/>
      </c>
      <c r="B28" s="13" t="n"/>
    </row>
    <row r="29">
      <c r="A29">
        <f>IF(ISNA(VLOOKUP(B29,Definitions!B$2:B$1839,1,FALSE)),"Not listed","")</f>
        <v/>
      </c>
      <c r="B29" s="13" t="n"/>
    </row>
    <row r="30">
      <c r="A30">
        <f>IF(ISNA(VLOOKUP(B30,Definitions!B$2:B$1839,1,FALSE)),"Not listed","")</f>
        <v/>
      </c>
      <c r="B30" s="13" t="n"/>
    </row>
    <row r="31">
      <c r="A31">
        <f>IF(ISNA(VLOOKUP(B31,Definitions!B$2:B$1839,1,FALSE)),"Not listed","")</f>
        <v/>
      </c>
      <c r="B31" s="13" t="n"/>
    </row>
    <row r="32">
      <c r="A32">
        <f>IF(ISNA(VLOOKUP(B32,Definitions!B$2:B$1839,1,FALSE)),"Not listed","")</f>
        <v/>
      </c>
      <c r="B32" s="13" t="n"/>
    </row>
    <row r="33">
      <c r="A33">
        <f>IF(ISNA(VLOOKUP(B33,Definitions!B$2:B$1839,1,FALSE)),"Not listed","")</f>
        <v/>
      </c>
      <c r="B33" s="13" t="n"/>
    </row>
    <row r="34">
      <c r="A34">
        <f>IF(ISNA(VLOOKUP(B34,Definitions!B$2:B$1839,1,FALSE)),"Not listed","")</f>
        <v/>
      </c>
      <c r="B34" s="13" t="n"/>
    </row>
    <row r="35">
      <c r="A35">
        <f>IF(ISNA(VLOOKUP(B35,Definitions!B$2:B$1839,1,FALSE)),"Not listed","")</f>
        <v/>
      </c>
      <c r="B35" s="13" t="n"/>
    </row>
    <row r="36">
      <c r="A36">
        <f>IF(ISNA(VLOOKUP(B36,Definitions!B$2:B$1839,1,FALSE)),"Not listed","")</f>
        <v/>
      </c>
      <c r="B36" s="13" t="n"/>
    </row>
    <row r="37">
      <c r="A37">
        <f>IF(ISNA(VLOOKUP(B37,Definitions!B$2:B$1839,1,FALSE)),"Not listed","")</f>
        <v/>
      </c>
      <c r="B37" s="2" t="n"/>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zoomScale="120" zoomScaleNormal="120" workbookViewId="0">
      <pane ySplit="1" topLeftCell="A2" activePane="bottomLeft" state="frozen"/>
      <selection pane="bottomLeft" activeCell="B8" sqref="B8"/>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Name</t>
        </is>
      </c>
      <c r="D1" s="6" t="inlineStr">
        <is>
          <t>codeSpace</t>
        </is>
      </c>
    </row>
    <row r="2">
      <c r="A2">
        <f>IF(ISNA(VLOOKUP(B2,Definitions!B$2:B$1839,1,FALSE)),"Not listed","")</f>
        <v/>
      </c>
      <c r="B2" t="inlineStr">
        <is>
          <t>LFS</t>
        </is>
      </c>
      <c r="C2" s="3" t="inlineStr">
        <is>
          <t>An alternate name for the definition code given in ID</t>
        </is>
      </c>
      <c r="D2" t="inlineStr">
        <is>
          <t>A URI to provide context for the name. Typically this might identify an authority, a language. a dictionary, or some other metadata value</t>
        </is>
      </c>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88"/>
  <sheetViews>
    <sheetView tabSelected="1" topLeftCell="A9" zoomScale="130" zoomScaleNormal="130" workbookViewId="0">
      <selection activeCell="E60" sqref="E60"/>
    </sheetView>
  </sheetViews>
  <sheetFormatPr baseColWidth="10" defaultColWidth="11" defaultRowHeight="16"/>
  <cols>
    <col width="21.1640625" customWidth="1" min="2" max="2"/>
    <col width="54.1640625" customWidth="1" min="3" max="3"/>
    <col width="39" customWidth="1" min="4" max="4"/>
    <col width="21.33203125" customWidth="1" min="5" max="5"/>
  </cols>
  <sheetData>
    <row r="1">
      <c r="A1" t="inlineStr">
        <is>
          <t>DataType</t>
        </is>
      </c>
      <c r="B1" t="inlineStr">
        <is>
          <t>DataType2</t>
        </is>
      </c>
      <c r="C1" t="inlineStr">
        <is>
          <t>QuantityClass</t>
        </is>
      </c>
      <c r="D1" t="inlineStr">
        <is>
          <t>Column2</t>
        </is>
      </c>
      <c r="E1" t="inlineStr">
        <is>
          <t>Column3</t>
        </is>
      </c>
    </row>
    <row r="2">
      <c r="B2" t="inlineStr">
        <is>
          <t>anyURI</t>
        </is>
      </c>
      <c r="C2" t="inlineStr">
        <is>
          <t>absorbed dose</t>
        </is>
      </c>
    </row>
    <row r="3">
      <c r="B3" t="inlineStr">
        <is>
          <t>base64binary</t>
        </is>
      </c>
      <c r="C3" t="inlineStr">
        <is>
          <t>activity [of radioactivity]</t>
        </is>
      </c>
    </row>
    <row r="4">
      <c r="B4" s="7" t="inlineStr">
        <is>
          <t>boolean</t>
        </is>
      </c>
      <c r="C4" t="inlineStr">
        <is>
          <t>amount of substance</t>
        </is>
      </c>
    </row>
    <row r="5">
      <c r="B5" s="7" t="inlineStr">
        <is>
          <t>byte</t>
        </is>
      </c>
      <c r="C5" t="inlineStr">
        <is>
          <t>amount of substance per amount of substance</t>
        </is>
      </c>
    </row>
    <row r="6">
      <c r="B6" t="inlineStr">
        <is>
          <t>date</t>
        </is>
      </c>
      <c r="C6" t="inlineStr">
        <is>
          <t>amount of substance per area</t>
        </is>
      </c>
    </row>
    <row r="7">
      <c r="B7" t="inlineStr">
        <is>
          <t>dateTime</t>
        </is>
      </c>
      <c r="C7" t="inlineStr">
        <is>
          <t>amount of substance per mass</t>
        </is>
      </c>
      <c r="D7" t="inlineStr">
        <is>
          <t>use for cation exchange capacity</t>
        </is>
      </c>
      <c r="E7" t="inlineStr">
        <is>
          <t>not yet used nor in EML Dictionary</t>
        </is>
      </c>
    </row>
    <row r="8">
      <c r="B8" t="inlineStr">
        <is>
          <t>decimal</t>
        </is>
      </c>
      <c r="C8" t="inlineStr">
        <is>
          <t>amount of substance per time</t>
        </is>
      </c>
    </row>
    <row r="9">
      <c r="B9" s="7" t="inlineStr">
        <is>
          <t>double</t>
        </is>
      </c>
      <c r="C9" t="inlineStr">
        <is>
          <t>(amount of substance per time) per area</t>
        </is>
      </c>
    </row>
    <row r="10">
      <c r="B10" t="inlineStr">
        <is>
          <t>duration</t>
        </is>
      </c>
      <c r="C10" t="inlineStr">
        <is>
          <t>amount of substance per volume</t>
        </is>
      </c>
    </row>
    <row r="11">
      <c r="B11" s="7" t="inlineStr">
        <is>
          <t>float</t>
        </is>
      </c>
      <c r="C11" t="inlineStr">
        <is>
          <t>angle per length</t>
        </is>
      </c>
    </row>
    <row r="12">
      <c r="B12" t="inlineStr">
        <is>
          <t>gDay</t>
        </is>
      </c>
      <c r="C12" t="inlineStr">
        <is>
          <t>angle per volume</t>
        </is>
      </c>
    </row>
    <row r="13">
      <c r="B13" t="inlineStr">
        <is>
          <t>gMonth</t>
        </is>
      </c>
      <c r="C13" t="inlineStr">
        <is>
          <t>angular acceleration</t>
        </is>
      </c>
    </row>
    <row r="14">
      <c r="B14" t="inlineStr">
        <is>
          <t>gMonthDay</t>
        </is>
      </c>
      <c r="C14" t="inlineStr">
        <is>
          <t>angular velocity</t>
        </is>
      </c>
    </row>
    <row r="15">
      <c r="B15" t="inlineStr">
        <is>
          <t>gYear</t>
        </is>
      </c>
      <c r="C15" t="inlineStr">
        <is>
          <t>api gamma ray</t>
        </is>
      </c>
    </row>
    <row r="16">
      <c r="B16" t="inlineStr">
        <is>
          <t>gYearMonth</t>
        </is>
      </c>
      <c r="C16" t="inlineStr">
        <is>
          <t>api gravity</t>
        </is>
      </c>
    </row>
    <row r="17">
      <c r="B17" t="inlineStr">
        <is>
          <t>hexBinary</t>
        </is>
      </c>
      <c r="C17" t="inlineStr">
        <is>
          <t>api neutron</t>
        </is>
      </c>
    </row>
    <row r="18">
      <c r="B18" t="inlineStr">
        <is>
          <t>integer</t>
        </is>
      </c>
      <c r="C18" t="inlineStr">
        <is>
          <t>area</t>
        </is>
      </c>
    </row>
    <row r="19">
      <c r="B19" t="inlineStr">
        <is>
          <t>language</t>
        </is>
      </c>
      <c r="C19" t="inlineStr">
        <is>
          <t>area per amount of substance</t>
        </is>
      </c>
    </row>
    <row r="20">
      <c r="B20" s="7" t="inlineStr">
        <is>
          <t>long</t>
        </is>
      </c>
      <c r="C20" t="inlineStr">
        <is>
          <t>area per area</t>
        </is>
      </c>
    </row>
    <row r="21">
      <c r="B21" t="inlineStr">
        <is>
          <t>negativeInteger</t>
        </is>
      </c>
      <c r="C21" t="inlineStr">
        <is>
          <t>area per count</t>
        </is>
      </c>
      <c r="D21" t="inlineStr">
        <is>
          <t>In EML schema but not in EML dictionary</t>
        </is>
      </c>
    </row>
    <row r="22">
      <c r="B22" t="inlineStr">
        <is>
          <t>nonNegativeInteger</t>
        </is>
      </c>
      <c r="C22" t="inlineStr">
        <is>
          <t>area per mass</t>
        </is>
      </c>
    </row>
    <row r="23">
      <c r="B23" t="inlineStr">
        <is>
          <t>nonPositiveInteger</t>
        </is>
      </c>
      <c r="C23" t="inlineStr">
        <is>
          <t>area per time</t>
        </is>
      </c>
    </row>
    <row r="24">
      <c r="B24" t="inlineStr">
        <is>
          <t>normalizedString</t>
        </is>
      </c>
      <c r="C24" t="inlineStr">
        <is>
          <t>area per volume</t>
        </is>
      </c>
    </row>
    <row r="25">
      <c r="B25" t="inlineStr">
        <is>
          <t>positiveInteger</t>
        </is>
      </c>
      <c r="C25" t="inlineStr">
        <is>
          <t>attenuation per frequency interval</t>
        </is>
      </c>
    </row>
    <row r="26">
      <c r="B26" t="inlineStr">
        <is>
          <t>short</t>
        </is>
      </c>
      <c r="C26" t="inlineStr">
        <is>
          <t>capacitance</t>
        </is>
      </c>
    </row>
    <row r="27">
      <c r="B27" s="7" t="inlineStr">
        <is>
          <t>string</t>
        </is>
      </c>
      <c r="C27" t="inlineStr">
        <is>
          <t>data transfer speed</t>
        </is>
      </c>
    </row>
    <row r="28">
      <c r="B28" s="7" t="inlineStr">
        <is>
          <t>string</t>
        </is>
      </c>
      <c r="C28" t="inlineStr">
        <is>
          <t>diffusion coefficient</t>
        </is>
      </c>
    </row>
    <row r="29">
      <c r="B29" t="inlineStr">
        <is>
          <t>time</t>
        </is>
      </c>
      <c r="C29" t="inlineStr">
        <is>
          <t>diffusive time of flight</t>
        </is>
      </c>
      <c r="D29" t="inlineStr">
        <is>
          <t>In EML schema but not in EML dictionary</t>
        </is>
      </c>
    </row>
    <row r="30">
      <c r="B30" t="inlineStr">
        <is>
          <t>token</t>
        </is>
      </c>
      <c r="C30" t="inlineStr">
        <is>
          <t>digital storage</t>
        </is>
      </c>
    </row>
    <row r="31">
      <c r="B31" t="inlineStr">
        <is>
          <t>unsignedByte</t>
        </is>
      </c>
      <c r="C31" t="inlineStr">
        <is>
          <t>dimensionless</t>
        </is>
      </c>
    </row>
    <row r="32">
      <c r="B32" t="inlineStr">
        <is>
          <t>unsignedInt</t>
        </is>
      </c>
      <c r="C32" t="inlineStr">
        <is>
          <t>dipole moment</t>
        </is>
      </c>
    </row>
    <row r="33">
      <c r="B33" t="inlineStr">
        <is>
          <t>unsignedLong</t>
        </is>
      </c>
      <c r="C33" t="inlineStr">
        <is>
          <t>dose equivalent</t>
        </is>
      </c>
    </row>
    <row r="34">
      <c r="B34" t="inlineStr">
        <is>
          <t>unsignedShort</t>
        </is>
      </c>
      <c r="C34" t="inlineStr">
        <is>
          <t>dynamic viscosity</t>
        </is>
      </c>
    </row>
    <row r="35">
      <c r="B35" s="7" t="inlineStr">
        <is>
          <t>vector</t>
        </is>
      </c>
      <c r="C35" t="inlineStr">
        <is>
          <t>electric charge</t>
        </is>
      </c>
    </row>
    <row r="36">
      <c r="C36" t="inlineStr">
        <is>
          <t>electric charge per area</t>
        </is>
      </c>
    </row>
    <row r="37">
      <c r="C37" t="inlineStr">
        <is>
          <t>electric charge per mass</t>
        </is>
      </c>
    </row>
    <row r="38">
      <c r="C38" t="inlineStr">
        <is>
          <t>electric charge per volume</t>
        </is>
      </c>
    </row>
    <row r="39">
      <c r="C39" t="inlineStr">
        <is>
          <t>electric conductance</t>
        </is>
      </c>
    </row>
    <row r="40">
      <c r="C40" t="inlineStr">
        <is>
          <t>electric conductivity</t>
        </is>
      </c>
    </row>
    <row r="41">
      <c r="C41" t="inlineStr">
        <is>
          <t>electric current</t>
        </is>
      </c>
    </row>
    <row r="42">
      <c r="C42" t="inlineStr">
        <is>
          <t>electric current density</t>
        </is>
      </c>
    </row>
    <row r="43">
      <c r="C43" t="inlineStr">
        <is>
          <t>electric field strength</t>
        </is>
      </c>
    </row>
    <row r="44">
      <c r="C44" t="inlineStr">
        <is>
          <t>electric potential difference</t>
        </is>
      </c>
    </row>
    <row r="45">
      <c r="C45" t="inlineStr">
        <is>
          <t>electric resistance</t>
        </is>
      </c>
    </row>
    <row r="46">
      <c r="C46" t="inlineStr">
        <is>
          <t>electric resistance per length</t>
        </is>
      </c>
    </row>
    <row r="47">
      <c r="C47" t="inlineStr">
        <is>
          <t>electrical resistivity</t>
        </is>
      </c>
    </row>
    <row r="48">
      <c r="C48" t="inlineStr">
        <is>
          <t>electromagnetic moment</t>
        </is>
      </c>
    </row>
    <row r="49">
      <c r="C49" t="inlineStr">
        <is>
          <t>energy</t>
        </is>
      </c>
    </row>
    <row r="50">
      <c r="C50" t="inlineStr">
        <is>
          <t>energy length per area</t>
        </is>
      </c>
    </row>
    <row r="51">
      <c r="C51" t="inlineStr">
        <is>
          <t>energy length per time area temperature</t>
        </is>
      </c>
    </row>
    <row r="52">
      <c r="C52" t="inlineStr">
        <is>
          <t>energy per area</t>
        </is>
      </c>
    </row>
    <row r="53">
      <c r="C53" t="inlineStr">
        <is>
          <t>energy per length</t>
        </is>
      </c>
    </row>
    <row r="54">
      <c r="C54" t="inlineStr">
        <is>
          <t>energy per mass</t>
        </is>
      </c>
    </row>
    <row r="55">
      <c r="C55" t="inlineStr">
        <is>
          <t>(energy per mass) per time</t>
        </is>
      </c>
    </row>
    <row r="56">
      <c r="C56" t="inlineStr">
        <is>
          <t>energy per volume</t>
        </is>
      </c>
    </row>
    <row r="57">
      <c r="C57" t="inlineStr">
        <is>
          <t>force</t>
        </is>
      </c>
    </row>
    <row r="58">
      <c r="C58" t="inlineStr">
        <is>
          <t>force area</t>
        </is>
      </c>
    </row>
    <row r="59">
      <c r="C59" t="inlineStr">
        <is>
          <t>force length per length</t>
        </is>
      </c>
    </row>
    <row r="60">
      <c r="C60" t="inlineStr">
        <is>
          <t>force or mass per volume</t>
        </is>
      </c>
      <c r="D60" t="inlineStr">
        <is>
          <t>use for geotechnical densities</t>
        </is>
      </c>
    </row>
    <row r="61">
      <c r="C61" t="inlineStr">
        <is>
          <t>force per force</t>
        </is>
      </c>
    </row>
    <row r="62">
      <c r="C62" t="inlineStr">
        <is>
          <t>force per length</t>
        </is>
      </c>
    </row>
    <row r="63">
      <c r="C63" t="inlineStr">
        <is>
          <t>force per volume</t>
        </is>
      </c>
    </row>
    <row r="64">
      <c r="C64" t="inlineStr">
        <is>
          <t>frequency</t>
        </is>
      </c>
    </row>
    <row r="65">
      <c r="C65" t="inlineStr">
        <is>
          <t>frequency interval</t>
        </is>
      </c>
    </row>
    <row r="66">
      <c r="C66" t="inlineStr">
        <is>
          <t>gravitational gradient</t>
        </is>
      </c>
      <c r="D66" t="inlineStr">
        <is>
          <t>use for gravity gradients</t>
        </is>
      </c>
      <c r="E66" t="inlineStr">
        <is>
          <t>Inow in EML dictionary</t>
        </is>
      </c>
    </row>
    <row r="67">
      <c r="C67" t="inlineStr">
        <is>
          <t>heat capacity</t>
        </is>
      </c>
    </row>
    <row r="68">
      <c r="C68" t="inlineStr">
        <is>
          <t>heat flow rate</t>
        </is>
      </c>
    </row>
    <row r="69">
      <c r="C69" t="inlineStr">
        <is>
          <t>heat transfer coefficient</t>
        </is>
      </c>
    </row>
    <row r="70">
      <c r="C70" t="inlineStr">
        <is>
          <t>illuminance</t>
        </is>
      </c>
    </row>
    <row r="71">
      <c r="C71" t="inlineStr">
        <is>
          <t>inductance</t>
        </is>
      </c>
    </row>
    <row r="72">
      <c r="C72" t="inlineStr">
        <is>
          <t>isothermal compressibility</t>
        </is>
      </c>
    </row>
    <row r="73">
      <c r="C73" t="inlineStr">
        <is>
          <t>kinematic viscosity</t>
        </is>
      </c>
    </row>
    <row r="74">
      <c r="C74" t="inlineStr">
        <is>
          <t>length</t>
        </is>
      </c>
    </row>
    <row r="75">
      <c r="C75" t="inlineStr">
        <is>
          <t>length per length</t>
        </is>
      </c>
    </row>
    <row r="76">
      <c r="C76" t="inlineStr">
        <is>
          <t>length per mass</t>
        </is>
      </c>
    </row>
    <row r="77">
      <c r="C77" t="inlineStr">
        <is>
          <t>length per pressure</t>
        </is>
      </c>
    </row>
    <row r="78">
      <c r="C78" t="inlineStr">
        <is>
          <t>length per temperature</t>
        </is>
      </c>
    </row>
    <row r="79">
      <c r="C79" t="inlineStr">
        <is>
          <t>length per time</t>
        </is>
      </c>
    </row>
    <row r="80">
      <c r="C80" t="inlineStr">
        <is>
          <t>length per volume</t>
        </is>
      </c>
    </row>
    <row r="81">
      <c r="C81" t="inlineStr">
        <is>
          <t>light exposure</t>
        </is>
      </c>
    </row>
    <row r="82">
      <c r="C82" t="inlineStr">
        <is>
          <t>linear acceleration</t>
        </is>
      </c>
    </row>
    <row r="83">
      <c r="C83" t="inlineStr">
        <is>
          <t>linear thermal expansion</t>
        </is>
      </c>
    </row>
    <row r="84">
      <c r="C84" t="inlineStr">
        <is>
          <t>logarithmic power ratio</t>
        </is>
      </c>
    </row>
    <row r="85">
      <c r="C85" t="inlineStr">
        <is>
          <t>logarithmic power ratio per length</t>
        </is>
      </c>
    </row>
    <row r="86">
      <c r="C86" t="inlineStr">
        <is>
          <t>luminance</t>
        </is>
      </c>
    </row>
    <row r="87">
      <c r="C87" t="inlineStr">
        <is>
          <t>luminous efficacy</t>
        </is>
      </c>
    </row>
    <row r="88">
      <c r="C88" t="inlineStr">
        <is>
          <t>luminous flux</t>
        </is>
      </c>
    </row>
    <row r="89">
      <c r="C89" t="inlineStr">
        <is>
          <t>luminous intensity</t>
        </is>
      </c>
    </row>
    <row r="90">
      <c r="C90" t="inlineStr">
        <is>
          <t>magnetic dipole moment</t>
        </is>
      </c>
    </row>
    <row r="91">
      <c r="C91" t="inlineStr">
        <is>
          <t>magnetic field strength</t>
        </is>
      </c>
    </row>
    <row r="92">
      <c r="C92" t="inlineStr">
        <is>
          <t>magnetic flux</t>
        </is>
      </c>
    </row>
    <row r="93">
      <c r="C93" t="inlineStr">
        <is>
          <t>magnetic flux density</t>
        </is>
      </c>
    </row>
    <row r="94">
      <c r="C94" t="inlineStr">
        <is>
          <t>magnetic flux density per length</t>
        </is>
      </c>
    </row>
    <row r="95">
      <c r="C95" t="inlineStr">
        <is>
          <t>magnetic permeability</t>
        </is>
      </c>
    </row>
    <row r="96">
      <c r="C96" t="inlineStr">
        <is>
          <t>magnetic vector potential</t>
        </is>
      </c>
    </row>
    <row r="97">
      <c r="C97" t="inlineStr">
        <is>
          <t>mass</t>
        </is>
      </c>
    </row>
    <row r="98">
      <c r="C98" t="inlineStr">
        <is>
          <t>mass length</t>
        </is>
      </c>
    </row>
    <row r="99">
      <c r="C99" t="inlineStr">
        <is>
          <t>mass per area</t>
        </is>
      </c>
    </row>
    <row r="100">
      <c r="C100" t="inlineStr">
        <is>
          <t>mass per energy</t>
        </is>
      </c>
    </row>
    <row r="101">
      <c r="C101" t="inlineStr">
        <is>
          <t>mass per length</t>
        </is>
      </c>
    </row>
    <row r="102">
      <c r="C102" t="inlineStr">
        <is>
          <t>mass per mass</t>
        </is>
      </c>
    </row>
    <row r="103">
      <c r="C103" t="inlineStr">
        <is>
          <t>mass per time</t>
        </is>
      </c>
    </row>
    <row r="104">
      <c r="C104" t="inlineStr">
        <is>
          <t>(mass per time) per area</t>
        </is>
      </c>
    </row>
    <row r="105">
      <c r="C105" t="inlineStr">
        <is>
          <t>(mass per time) per length</t>
        </is>
      </c>
    </row>
    <row r="106">
      <c r="C106" t="inlineStr">
        <is>
          <t>mass per volume</t>
        </is>
      </c>
    </row>
    <row r="107">
      <c r="C107" t="inlineStr">
        <is>
          <t>(mass per volume) per length</t>
        </is>
      </c>
    </row>
    <row r="108">
      <c r="C108" t="inlineStr">
        <is>
          <t>(mass per volume) per pressure</t>
        </is>
      </c>
      <c r="D108" t="inlineStr">
        <is>
          <t>In EML schema but not in EML dictionary</t>
        </is>
      </c>
    </row>
    <row r="109">
      <c r="C109" t="inlineStr">
        <is>
          <t>(mass per volume) per temperature</t>
        </is>
      </c>
      <c r="D109" t="inlineStr">
        <is>
          <t>In EML schema but not in EML dictionary</t>
        </is>
      </c>
    </row>
    <row r="110">
      <c r="C110" t="inlineStr">
        <is>
          <t>mobility</t>
        </is>
      </c>
    </row>
    <row r="111">
      <c r="C111" t="inlineStr">
        <is>
          <t>molar energy</t>
        </is>
      </c>
    </row>
    <row r="112">
      <c r="C112" t="inlineStr">
        <is>
          <t>molar heat capacity</t>
        </is>
      </c>
    </row>
    <row r="113">
      <c r="C113" t="inlineStr">
        <is>
          <t>molar volume</t>
        </is>
      </c>
    </row>
    <row r="114">
      <c r="C114" t="inlineStr">
        <is>
          <t>molecular weight</t>
        </is>
      </c>
    </row>
    <row r="115">
      <c r="C115" t="inlineStr">
        <is>
          <t>moment of force</t>
        </is>
      </c>
    </row>
    <row r="116">
      <c r="C116" t="inlineStr">
        <is>
          <t>moment of inertia</t>
        </is>
      </c>
    </row>
    <row r="117">
      <c r="C117" t="inlineStr">
        <is>
          <t>momentum</t>
        </is>
      </c>
    </row>
    <row r="118">
      <c r="C118" t="inlineStr">
        <is>
          <t>normalized power</t>
        </is>
      </c>
    </row>
    <row r="119">
      <c r="C119" t="inlineStr">
        <is>
          <t>permeability length</t>
        </is>
      </c>
    </row>
    <row r="120">
      <c r="C120" t="inlineStr">
        <is>
          <t>permeability rock</t>
        </is>
      </c>
    </row>
    <row r="121">
      <c r="C121" t="inlineStr">
        <is>
          <t>permittivity</t>
        </is>
      </c>
    </row>
    <row r="122">
      <c r="C122" t="inlineStr">
        <is>
          <t>plane angle</t>
        </is>
      </c>
    </row>
    <row r="123">
      <c r="C123" t="inlineStr">
        <is>
          <t>potential difference per power drop</t>
        </is>
      </c>
    </row>
    <row r="124">
      <c r="C124" t="inlineStr">
        <is>
          <t>power</t>
        </is>
      </c>
    </row>
    <row r="125">
      <c r="C125" t="inlineStr">
        <is>
          <t>power per area</t>
        </is>
      </c>
    </row>
    <row r="126">
      <c r="C126" t="inlineStr">
        <is>
          <t>power per power</t>
        </is>
      </c>
    </row>
    <row r="127">
      <c r="C127" t="inlineStr">
        <is>
          <t>power per volume</t>
        </is>
      </c>
    </row>
    <row r="128">
      <c r="C128" t="inlineStr">
        <is>
          <t>pressure</t>
        </is>
      </c>
    </row>
    <row r="129">
      <c r="C129" t="inlineStr">
        <is>
          <t>pressure per pressure</t>
        </is>
      </c>
      <c r="E129" t="inlineStr">
        <is>
          <t>Now in dictonary</t>
        </is>
      </c>
    </row>
    <row r="130">
      <c r="C130" t="inlineStr">
        <is>
          <t>pressure per time</t>
        </is>
      </c>
    </row>
    <row r="131">
      <c r="C131" t="inlineStr">
        <is>
          <t>pressure per volume</t>
        </is>
      </c>
    </row>
    <row r="132">
      <c r="C132" t="inlineStr">
        <is>
          <t>pressure squared</t>
        </is>
      </c>
    </row>
    <row r="133">
      <c r="C133" t="inlineStr">
        <is>
          <t>pressure squared per (force time per area)</t>
        </is>
      </c>
    </row>
    <row r="134">
      <c r="C134" t="inlineStr">
        <is>
          <t>pressure time per volume</t>
        </is>
      </c>
    </row>
    <row r="135">
      <c r="C135" t="inlineStr">
        <is>
          <t>quantity of light</t>
        </is>
      </c>
    </row>
    <row r="136">
      <c r="C136" t="inlineStr">
        <is>
          <t>radiance</t>
        </is>
      </c>
    </row>
    <row r="137">
      <c r="C137" t="inlineStr">
        <is>
          <t>radiant intensity</t>
        </is>
      </c>
    </row>
    <row r="138">
      <c r="C138" t="inlineStr">
        <is>
          <t>reciprocal area</t>
        </is>
      </c>
    </row>
    <row r="139">
      <c r="C139" t="inlineStr">
        <is>
          <t>reciprocal electric potential difference</t>
        </is>
      </c>
    </row>
    <row r="140">
      <c r="C140" t="inlineStr">
        <is>
          <t>reciprocal force</t>
        </is>
      </c>
    </row>
    <row r="141">
      <c r="C141" t="inlineStr">
        <is>
          <t>reciprocal length</t>
        </is>
      </c>
    </row>
    <row r="142">
      <c r="C142" t="inlineStr">
        <is>
          <t>reciprocal mass</t>
        </is>
      </c>
    </row>
    <row r="143">
      <c r="C143" t="inlineStr">
        <is>
          <t>reciprocal (mass time)</t>
        </is>
      </c>
    </row>
    <row r="144">
      <c r="C144" t="inlineStr">
        <is>
          <t>reciprocal pressure</t>
        </is>
      </c>
    </row>
    <row r="145">
      <c r="C145" t="inlineStr">
        <is>
          <t>reciprocal time</t>
        </is>
      </c>
    </row>
    <row r="146">
      <c r="C146" t="inlineStr">
        <is>
          <t>reciprocal volume</t>
        </is>
      </c>
    </row>
    <row r="147">
      <c r="C147" t="inlineStr">
        <is>
          <t>relative rate</t>
        </is>
      </c>
      <c r="D147" t="inlineStr">
        <is>
          <t>use for strain rate</t>
        </is>
      </c>
    </row>
    <row r="148">
      <c r="C148" t="inlineStr">
        <is>
          <t>reluctance</t>
        </is>
      </c>
    </row>
    <row r="149">
      <c r="C149" t="inlineStr">
        <is>
          <t>second moment of area</t>
        </is>
      </c>
    </row>
    <row r="150">
      <c r="C150" t="inlineStr">
        <is>
          <t>signaling event per time</t>
        </is>
      </c>
    </row>
    <row r="151">
      <c r="C151" t="inlineStr">
        <is>
          <t>solid angle</t>
        </is>
      </c>
    </row>
    <row r="152">
      <c r="C152" t="inlineStr">
        <is>
          <t>specific heat capacity</t>
        </is>
      </c>
    </row>
    <row r="153">
      <c r="C153" t="inlineStr">
        <is>
          <t>temperature interval</t>
        </is>
      </c>
    </row>
    <row r="154">
      <c r="C154" t="inlineStr">
        <is>
          <t>temperature interval per length</t>
        </is>
      </c>
    </row>
    <row r="155">
      <c r="C155" t="inlineStr">
        <is>
          <t>temperature interval per pressure</t>
        </is>
      </c>
    </row>
    <row r="156">
      <c r="C156" t="inlineStr">
        <is>
          <t>temperature interval per time</t>
        </is>
      </c>
    </row>
    <row r="157">
      <c r="C157" t="inlineStr">
        <is>
          <t>thermal conductance</t>
        </is>
      </c>
    </row>
    <row r="158">
      <c r="C158" t="inlineStr">
        <is>
          <t>thermal conductivity</t>
        </is>
      </c>
    </row>
    <row r="159">
      <c r="C159" t="inlineStr">
        <is>
          <t>thermal diffusivity</t>
        </is>
      </c>
    </row>
    <row r="160">
      <c r="C160" t="inlineStr">
        <is>
          <t>thermal insulance</t>
        </is>
      </c>
    </row>
    <row r="161">
      <c r="C161" t="inlineStr">
        <is>
          <t>thermal resistance</t>
        </is>
      </c>
    </row>
    <row r="162">
      <c r="C162" t="inlineStr">
        <is>
          <t>thermodynamic temperature</t>
        </is>
      </c>
    </row>
    <row r="163">
      <c r="C163" t="inlineStr">
        <is>
          <t>thermodynamic temperature per thermodynamic temperature</t>
        </is>
      </c>
      <c r="D163" t="inlineStr">
        <is>
          <t>In EML schema but not in EML dictionary</t>
        </is>
      </c>
    </row>
    <row r="164">
      <c r="C164" t="inlineStr">
        <is>
          <t>time</t>
        </is>
      </c>
    </row>
    <row r="165">
      <c r="C165" t="inlineStr">
        <is>
          <t>time per length</t>
        </is>
      </c>
    </row>
    <row r="166">
      <c r="C166" t="inlineStr">
        <is>
          <t>time per mass</t>
        </is>
      </c>
    </row>
    <row r="167">
      <c r="C167" t="inlineStr">
        <is>
          <t>time per time</t>
        </is>
      </c>
    </row>
    <row r="168">
      <c r="C168" t="inlineStr">
        <is>
          <t>time per volume</t>
        </is>
      </c>
    </row>
    <row r="169">
      <c r="C169" t="inlineStr">
        <is>
          <t>volume</t>
        </is>
      </c>
    </row>
    <row r="170">
      <c r="C170" t="inlineStr">
        <is>
          <t>volume flow rate per volume flow rate</t>
        </is>
      </c>
    </row>
    <row r="171">
      <c r="C171" t="inlineStr">
        <is>
          <t>volume per area</t>
        </is>
      </c>
    </row>
    <row r="172">
      <c r="C172" t="inlineStr">
        <is>
          <t>volume per length</t>
        </is>
      </c>
    </row>
    <row r="173">
      <c r="C173" t="inlineStr">
        <is>
          <t>volume per mass</t>
        </is>
      </c>
    </row>
    <row r="174">
      <c r="C174" t="inlineStr">
        <is>
          <t>volume per pressure</t>
        </is>
      </c>
    </row>
    <row r="175">
      <c r="C175" t="inlineStr">
        <is>
          <t>volume per rotation</t>
        </is>
      </c>
    </row>
    <row r="176">
      <c r="C176" t="inlineStr">
        <is>
          <t>volume per time</t>
        </is>
      </c>
    </row>
    <row r="177">
      <c r="C177" t="inlineStr">
        <is>
          <t>(volume per time) length</t>
        </is>
      </c>
    </row>
    <row r="178">
      <c r="C178" t="inlineStr">
        <is>
          <t>(volume per time) per area</t>
        </is>
      </c>
    </row>
    <row r="179">
      <c r="C179" t="inlineStr">
        <is>
          <t>(volume per time) per length</t>
        </is>
      </c>
    </row>
    <row r="180">
      <c r="C180" t="inlineStr">
        <is>
          <t>(volume per time) per pressure</t>
        </is>
      </c>
    </row>
    <row r="181">
      <c r="C181" t="inlineStr">
        <is>
          <t>(volume per time) per (pressure length)</t>
        </is>
      </c>
    </row>
    <row r="182">
      <c r="C182" t="inlineStr">
        <is>
          <t>(volume per time) per time</t>
        </is>
      </c>
    </row>
    <row r="183">
      <c r="C183" t="inlineStr">
        <is>
          <t>(volume per time) per volume</t>
        </is>
      </c>
    </row>
    <row r="184">
      <c r="C184" t="inlineStr">
        <is>
          <t>volume per volume</t>
        </is>
      </c>
    </row>
    <row r="185">
      <c r="C185" t="inlineStr">
        <is>
          <t>volumetric heat transfer coefficient</t>
        </is>
      </c>
    </row>
    <row r="186">
      <c r="C186" t="inlineStr">
        <is>
          <t>volumetric thermal expansion</t>
        </is>
      </c>
    </row>
    <row r="187">
      <c r="C187" t="inlineStr">
        <is>
          <t>reciprocal time(0.5)</t>
        </is>
      </c>
      <c r="D187" t="inlineStr">
        <is>
          <t>used for pressure filtration</t>
        </is>
      </c>
    </row>
    <row r="188">
      <c r="C188" t="inlineStr">
        <is>
          <t>volume or mass loss</t>
        </is>
      </c>
      <c r="D188" t="inlineStr">
        <is>
          <t>used for pressure filtration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2018-10-28T20:07:54Z</dcterms:created>
  <dcterms:modified xsi:type="dcterms:W3CDTF">2026-08-26T07:48:50Z</dcterms:modified>
  <cp:lastModifiedBy>Ponti, Daniel J</cp:lastModifiedBy>
</cp:coreProperties>
</file>