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constraintRationale</t>
        </is>
      </c>
      <c r="C3" s="12" t="inlineStr">
        <is>
          <t>constraintRationale</t>
        </is>
      </c>
      <c r="D3" s="12" t="inlineStr">
        <is>
          <t>DIGGS Clearance Constraint Rationale Codelist Definitions</t>
        </is>
      </c>
      <c r="E3" s="2" t="inlineStr">
        <is>
          <t>Codes naming why a diggs:ClearanceConstraint exists, for the value of constraintRationale. Documentation of intent, not load-bearing for evaluating the constraint itself.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vibration_sensitivity</t>
        </is>
      </c>
      <c r="C2" s="13" t="inlineStr">
        <is>
          <t>Vibration sensitivity</t>
        </is>
      </c>
      <c r="D2" s="14" t="inlineStr">
        <is>
          <t>The constraint exists to protect a nearby feature, or the subject feature itself while curing or setting, from construction vibration.</t>
        </is>
      </c>
      <c r="E2" s="13" t="inlineStr">
        <is>
          <t>string</t>
        </is>
      </c>
      <c r="F2" s="13" t="n"/>
      <c r="G2" s="9" t="n"/>
    </row>
    <row r="3">
      <c r="A3" s="2">
        <f>IF(ISNA(VLOOKUP(B3,AssociatedElements!B$2:B2941,1,FALSE)),"Not used","")</f>
        <v/>
      </c>
      <c r="B3" s="13" t="inlineStr">
        <is>
          <t>fresh_material_curing</t>
        </is>
      </c>
      <c r="C3" s="13" t="inlineStr">
        <is>
          <t>Fresh material curing</t>
        </is>
      </c>
      <c r="D3" s="14" t="inlineStr">
        <is>
          <t>The constraint exists to allow a freshly placed material - concrete, grout, resin - to reach adequate strength or set before a nearby activity proceeds.</t>
        </is>
      </c>
      <c r="E3" s="13" t="inlineStr">
        <is>
          <t>string</t>
        </is>
      </c>
      <c r="F3" s="13" t="n"/>
      <c r="G3" s="9" t="n"/>
    </row>
    <row r="4">
      <c r="A4" s="2">
        <f>IF(ISNA(VLOOKUP(B4,AssociatedElements!B$2:B2942,1,FALSE)),"Not used","")</f>
        <v/>
      </c>
      <c r="B4" t="inlineStr">
        <is>
          <t>hydraulic_fracture_risk</t>
        </is>
      </c>
      <c r="C4" t="inlineStr">
        <is>
          <t>Hydraulic fracture risk</t>
        </is>
      </c>
      <c r="D4" t="inlineStr">
        <is>
          <t>The constraint exists to prevent pressurized injection at one location from fracturing or displacing material placed at a nearby location that has not yet set.</t>
        </is>
      </c>
      <c r="E4" t="inlineStr">
        <is>
          <t>string</t>
        </is>
      </c>
      <c r="G4" s="9" t="n"/>
    </row>
    <row r="5">
      <c r="A5" s="2">
        <f>IF(ISNA(VLOOKUP(B5,AssociatedElements!B$2:B2943,1,FALSE)),"Not used","")</f>
        <v/>
      </c>
      <c r="B5" s="13" t="inlineStr">
        <is>
          <t>ground_heave_or_settlement_risk</t>
        </is>
      </c>
      <c r="C5" s="13" t="inlineStr">
        <is>
          <t>Ground heave or settlement risk</t>
        </is>
      </c>
      <c r="D5" s="14" t="inlineStr">
        <is>
          <t>The constraint exists because a nearby activity risks causing heave or settlement of ground already treated or already supporting a completed installation.</t>
        </is>
      </c>
      <c r="E5" s="13" t="inlineStr">
        <is>
          <t>string</t>
        </is>
      </c>
      <c r="F5" s="13" t="n"/>
      <c r="G5" s="9" t="n"/>
    </row>
    <row r="6">
      <c r="A6" s="2">
        <f>IF(ISNA(VLOOKUP(B6,AssociatedElements!B$2:B2944,1,FALSE)),"Not used","")</f>
        <v/>
      </c>
      <c r="B6" t="inlineStr">
        <is>
          <t>utility_strike_risk</t>
        </is>
      </c>
      <c r="C6" s="16" t="inlineStr">
        <is>
          <t>Utility strike risk</t>
        </is>
      </c>
      <c r="D6" s="16" t="inlineStr">
        <is>
          <t>The constraint exists to maintain clearance from a buried utility or other existing service.</t>
        </is>
      </c>
      <c r="E6" s="17" t="inlineStr">
        <is>
          <t>string</t>
        </is>
      </c>
      <c r="G6" s="9" t="n"/>
    </row>
    <row r="7">
      <c r="A7" s="2">
        <f>IF(ISNA(VLOOKUP(B7,AssociatedElements!B$2:B2945,1,FALSE)),"Not used","")</f>
        <v/>
      </c>
      <c r="B7" t="inlineStr">
        <is>
          <t>structural_load_interaction</t>
        </is>
      </c>
      <c r="C7" t="inlineStr">
        <is>
          <t>Structural load interaction</t>
        </is>
      </c>
      <c r="D7" t="inlineStr">
        <is>
          <t>The constraint exists because the stress or deformation field of one activity could adversely interact with a nearby existing or planned structure.</t>
        </is>
      </c>
      <c r="E7" t="inlineStr">
        <is>
          <t>string</t>
        </is>
      </c>
      <c r="G7" s="9" t="n"/>
    </row>
    <row r="8">
      <c r="A8" s="2">
        <f>IF(ISNA(VLOOKUP(B8,AssociatedElements!B$2:B2946,1,FALSE)),"Not used","")</f>
        <v/>
      </c>
      <c r="B8" t="inlineStr">
        <is>
          <t>personnel_safety_exclusion</t>
        </is>
      </c>
      <c r="C8" t="inlineStr">
        <is>
          <t>Personnel safety exclusion</t>
        </is>
      </c>
      <c r="D8" t="inlineStr">
        <is>
          <t>The constraint exists to keep personnel or equipment clear of an active operation for safety.</t>
        </is>
      </c>
      <c r="E8" t="inlineStr">
        <is>
          <t>string</t>
        </is>
      </c>
      <c r="G8" s="9" t="n"/>
    </row>
    <row r="9">
      <c r="A9" s="2">
        <f>IF(ISNA(VLOOKUP(B9,AssociatedElements!B$2:B2947,1,FALSE)),"Not used","")</f>
        <v/>
      </c>
      <c r="B9" t="inlineStr">
        <is>
          <t>noise_restriction</t>
        </is>
      </c>
      <c r="C9" s="16" t="inlineStr">
        <is>
          <t>Noise restriction</t>
        </is>
      </c>
      <c r="D9" s="16" t="inlineStr">
        <is>
          <t>The constraint exists to limit noise from concurrent or closely sequenced activity.</t>
        </is>
      </c>
      <c r="E9" s="17" t="inlineStr">
        <is>
          <t>string</t>
        </is>
      </c>
      <c r="G9" s="9" t="n"/>
    </row>
    <row r="10">
      <c r="A10" s="2">
        <f>IF(ISNA(VLOOKUP(B10,AssociatedElements!B$2:B2948,1,FALSE)),"Not used","")</f>
        <v/>
      </c>
      <c r="B10" s="13" t="inlineStr">
        <is>
          <t>environmental_buffer</t>
        </is>
      </c>
      <c r="C10" s="13" t="inlineStr">
        <is>
          <t>Environmental buffer</t>
        </is>
      </c>
      <c r="D10" s="14" t="inlineStr">
        <is>
          <t>The constraint exists to maintain an environmental protection buffer, such as from a sensitive habitat, water body, or contamination source.</t>
        </is>
      </c>
      <c r="E10" s="13" t="inlineStr">
        <is>
          <t>string</t>
        </is>
      </c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vibration_sensitivity</t>
        </is>
      </c>
      <c r="C2" t="inlineStr">
        <is>
          <t>//diggs:ClearanceConstraint/diggs:constraintRationale</t>
        </is>
      </c>
    </row>
    <row r="3">
      <c r="A3">
        <f>IF(ISNA(VLOOKUP(B3,Definitions!B$2:B$1839,1,FALSE)),"Not listed","")</f>
        <v/>
      </c>
      <c r="B3" s="20" t="inlineStr">
        <is>
          <t>fresh_material_curing</t>
        </is>
      </c>
      <c r="C3" t="inlineStr">
        <is>
          <t>//diggs:ClearanceConstraint/diggs:constraintRationale</t>
        </is>
      </c>
    </row>
    <row r="4">
      <c r="A4">
        <f>IF(ISNA(VLOOKUP(B4,Definitions!B$2:B$1839,1,FALSE)),"Not listed","")</f>
        <v/>
      </c>
      <c r="B4" s="2" t="inlineStr">
        <is>
          <t>hydraulic_fracture_risk</t>
        </is>
      </c>
      <c r="C4" t="inlineStr">
        <is>
          <t>//diggs:ClearanceConstraint/diggs:constraintRationale</t>
        </is>
      </c>
    </row>
    <row r="5">
      <c r="A5">
        <f>IF(ISNA(VLOOKUP(B5,Definitions!B$2:B$1839,1,FALSE)),"Not listed","")</f>
        <v/>
      </c>
      <c r="B5" s="2" t="inlineStr">
        <is>
          <t>ground_heave_or_settlement_risk</t>
        </is>
      </c>
      <c r="C5" t="inlineStr">
        <is>
          <t>//diggs:ClearanceConstraint/diggs:constraintRationale</t>
        </is>
      </c>
    </row>
    <row r="6">
      <c r="A6">
        <f>IF(ISNA(VLOOKUP(B6,Definitions!B$2:B$1839,1,FALSE)),"Not listed","")</f>
        <v/>
      </c>
      <c r="B6" s="2" t="inlineStr">
        <is>
          <t>utility_strike_risk</t>
        </is>
      </c>
      <c r="C6" t="inlineStr">
        <is>
          <t>//diggs:ClearanceConstraint/diggs:constraintRationale</t>
        </is>
      </c>
    </row>
    <row r="7">
      <c r="A7">
        <f>IF(ISNA(VLOOKUP(B7,Definitions!B$2:B$1839,1,FALSE)),"Not listed","")</f>
        <v/>
      </c>
      <c r="B7" s="2" t="inlineStr">
        <is>
          <t>structural_load_interaction</t>
        </is>
      </c>
      <c r="C7" t="inlineStr">
        <is>
          <t>//diggs:ClearanceConstraint/diggs:constraintRationale</t>
        </is>
      </c>
    </row>
    <row r="8">
      <c r="A8">
        <f>IF(ISNA(VLOOKUP(B8,Definitions!B$2:B$1839,1,FALSE)),"Not listed","")</f>
        <v/>
      </c>
      <c r="B8" s="2" t="inlineStr">
        <is>
          <t>personnel_safety_exclusion</t>
        </is>
      </c>
      <c r="C8" t="inlineStr">
        <is>
          <t>//diggs:ClearanceConstraint/diggs:constraintRationale</t>
        </is>
      </c>
    </row>
    <row r="9">
      <c r="A9">
        <f>IF(ISNA(VLOOKUP(B9,Definitions!B$2:B$1839,1,FALSE)),"Not listed","")</f>
        <v/>
      </c>
      <c r="B9" s="2" t="inlineStr">
        <is>
          <t>noise_restriction</t>
        </is>
      </c>
      <c r="C9" t="inlineStr">
        <is>
          <t>//diggs:ClearanceConstraint/diggs:constraintRationale</t>
        </is>
      </c>
    </row>
    <row r="10">
      <c r="A10">
        <f>IF(ISNA(VLOOKUP(B10,Definitions!B$2:B$1839,1,FALSE)),"Not listed","")</f>
        <v/>
      </c>
      <c r="B10" s="20" t="inlineStr">
        <is>
          <t>environmental_buffer</t>
        </is>
      </c>
      <c r="C10" t="inlineStr">
        <is>
          <t>//diggs:ClearanceConstraint/diggs:constraintRationale</t>
        </is>
      </c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2026-09-28T01:34:33Z</dcterms:modified>
  <cp:lastModifiedBy>Ponti, Daniel J</cp:lastModifiedBy>
</cp:coreProperties>
</file>