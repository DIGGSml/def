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200" yWindow="3280" windowWidth="39400" windowHeight="24940" tabRatio="500" firstSheet="0" activeTab="4" autoFilterDateGrouping="1"/>
  </bookViews>
  <sheets>
    <sheet name="DictionaryName" sheetId="1" state="visible" r:id="rId1"/>
    <sheet name="Definitions" sheetId="2" state="visible" r:id="rId2"/>
    <sheet name="AssociatedElements" sheetId="3" state="visible" r:id="rId3"/>
    <sheet name="AlternateNames" sheetId="4" state="visible" r:id="rId4"/>
    <sheet name="Lists" sheetId="5" state="visible" r:id="rId5"/>
  </sheets>
  <definedNames/>
  <calcPr calcId="191029" fullCalcOnLoad="1"/>
</workbook>
</file>

<file path=xl/styles.xml><?xml version="1.0" encoding="utf-8"?>
<styleSheet xmlns="http://schemas.openxmlformats.org/spreadsheetml/2006/main">
  <numFmts count="0"/>
  <fonts count="15">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Calibri"/>
      <family val="2"/>
      <b val="1"/>
      <color rgb="FFFFFFFF"/>
      <sz val="12"/>
      <scheme val="minor"/>
    </font>
    <font>
      <name val="Calibri"/>
      <family val="2"/>
      <color rgb="FFC00000"/>
      <sz val="12"/>
      <scheme val="minor"/>
    </font>
    <font>
      <name val="Calibri"/>
      <family val="2"/>
      <color theme="1"/>
      <sz val="12"/>
      <scheme val="minor"/>
    </font>
    <font>
      <name val="Calibri"/>
      <family val="2"/>
      <color rgb="FF000000"/>
      <sz val="12"/>
      <scheme val="minor"/>
    </font>
    <font>
      <name val="Aptos Narrow"/>
      <family val="2"/>
      <color rgb="FF000000"/>
      <sz val="12"/>
    </font>
    <font>
      <name val="Calibri"/>
      <family val="2"/>
      <color theme="3"/>
      <sz val="12"/>
      <scheme val="minor"/>
    </font>
    <font>
      <name val="Calibri"/>
      <family val="2"/>
      <sz val="8"/>
      <scheme val="minor"/>
    </font>
  </fonts>
  <fills count="4">
    <fill>
      <patternFill/>
    </fill>
    <fill>
      <patternFill patternType="gray125"/>
    </fill>
    <fill>
      <patternFill patternType="solid">
        <fgColor rgb="FF4472C4"/>
        <bgColor rgb="FF4472C4"/>
      </patternFill>
    </fill>
    <fill>
      <patternFill patternType="solid">
        <fgColor rgb="FFDBE5F1"/>
        <bgColor indexed="64"/>
      </patternFill>
    </fill>
  </fills>
  <borders count="3">
    <border>
      <left/>
      <right/>
      <top/>
      <bottom/>
      <diagonal/>
    </border>
    <border>
      <left style="thin">
        <color rgb="FFFFFFFF"/>
      </left>
      <right style="thin">
        <color rgb="FFFFFFFF"/>
      </right>
      <top/>
      <bottom style="thick">
        <color rgb="FFFFFFFF"/>
      </bottom>
      <diagonal/>
    </border>
    <border>
      <left style="thin">
        <color rgb="FFFFFFFF"/>
      </left>
      <right style="thin">
        <color rgb="FFFFFFFF"/>
      </right>
      <top style="thin">
        <color rgb="FFFFFFFF"/>
      </top>
      <bottom style="thin">
        <color rgb="FFFFFFFF"/>
      </bottom>
      <diagonal/>
    </border>
  </borders>
  <cellStyleXfs count="3">
    <xf numFmtId="0" fontId="10" fillId="0" borderId="0"/>
    <xf numFmtId="0" fontId="2" fillId="0" borderId="0"/>
    <xf numFmtId="0" fontId="3" fillId="0" borderId="0"/>
  </cellStyleXfs>
  <cellXfs count="21">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0" fillId="0" borderId="0" applyAlignment="1" pivotButton="0" quotePrefix="0" xfId="0">
      <alignment wrapText="1"/>
    </xf>
    <xf numFmtId="0" fontId="4" fillId="0" borderId="0" applyAlignment="1" pivotButton="0" quotePrefix="0" xfId="0">
      <alignment horizontal="left" vertical="center"/>
    </xf>
    <xf numFmtId="0" fontId="1" fillId="0" borderId="0" applyAlignment="1" pivotButton="0" quotePrefix="0" xfId="0">
      <alignment wrapText="1"/>
    </xf>
    <xf numFmtId="0" fontId="8" fillId="2" borderId="1" applyAlignment="1" pivotButton="0" quotePrefix="0" xfId="0">
      <alignment wrapText="1"/>
    </xf>
    <xf numFmtId="0" fontId="0" fillId="0" borderId="0" applyAlignment="1" pivotButton="0" quotePrefix="0" xfId="0">
      <alignment vertical="center"/>
    </xf>
    <xf numFmtId="0" fontId="12" fillId="0" borderId="0" applyAlignment="1" pivotButton="0" quotePrefix="0" xfId="0">
      <alignment vertical="center" wrapText="1"/>
    </xf>
    <xf numFmtId="0" fontId="11" fillId="0" borderId="0" applyAlignment="1" pivotButton="0" quotePrefix="0" xfId="0">
      <alignment vertical="center" wrapText="1"/>
    </xf>
    <xf numFmtId="0" fontId="11" fillId="0" borderId="2" applyAlignment="1" pivotButton="0" quotePrefix="0" xfId="0">
      <alignment vertical="center" wrapText="1"/>
    </xf>
    <xf numFmtId="0" fontId="4" fillId="3" borderId="0" applyAlignment="1" pivotButton="0" quotePrefix="0" xfId="0">
      <alignment vertical="center" wrapText="1"/>
    </xf>
    <xf numFmtId="0" fontId="4" fillId="0" borderId="0" applyAlignment="1" pivotButton="0" quotePrefix="0" xfId="0">
      <alignment vertical="center" wrapText="1"/>
    </xf>
    <xf numFmtId="0" fontId="12" fillId="0" borderId="0" applyAlignment="1" pivotButton="0" quotePrefix="0" xfId="0">
      <alignment vertical="center"/>
    </xf>
    <xf numFmtId="0" fontId="10" fillId="0" borderId="0" applyAlignment="1" pivotButton="0" quotePrefix="0" xfId="0">
      <alignment vertical="center" wrapText="1"/>
    </xf>
    <xf numFmtId="0" fontId="13" fillId="0" borderId="0" applyAlignment="1" pivotButton="0" quotePrefix="0" xfId="0">
      <alignment vertical="center" wrapText="1"/>
    </xf>
  </cellXfs>
  <cellStyles count="3">
    <cellStyle name="Normal" xfId="0" builtinId="0"/>
    <cellStyle name="Hyperlink" xfId="1" builtinId="8" hidden="1"/>
    <cellStyle name="Followed Hyperlink" xfId="2" builtinId="9" hidden="1"/>
  </cellStyles>
  <dxfs count="25">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center" wrapText="1"/>
    </dxf>
    <dxf>
      <numFmt numFmtId="0" formatCode="General"/>
      <fill>
        <patternFill>
          <fgColor indexed="64"/>
          <bgColor indexed="65"/>
        </patternFill>
      </fill>
      <alignment horizontal="general" vertical="bottom"/>
    </dxf>
    <dxf>
      <font>
        <strike val="0"/>
        <outline val="0"/>
        <shadow val="0"/>
        <color theme="0"/>
        <vertAlign val="baseline"/>
      </font>
    </dxf>
    <dxf>
      <alignment horizontal="general" vertical="center" wrapText="1"/>
    </dxf>
    <dxf>
      <font>
        <color auto="1"/>
      </font>
      <alignment horizontal="left" vertical="center"/>
    </dxf>
    <dxf>
      <font>
        <name val="Aptos Narrow"/>
        <family val="2"/>
        <color rgb="FF000000"/>
      </font>
      <alignment horizontal="general" vertical="center"/>
    </dxf>
    <dxf>
      <font>
        <name val="Aptos Narrow"/>
        <family val="2"/>
        <color rgb="FF000000"/>
      </font>
      <alignment horizontal="general" vertical="center"/>
    </dxf>
    <dxf>
      <font>
        <name val="Calibri"/>
        <strike val="0"/>
        <outline val="0"/>
        <shadow val="0"/>
        <color auto="1"/>
        <sz val="12"/>
        <vertAlign val="baseline"/>
        <scheme val="minor"/>
      </font>
      <fill>
        <patternFill patternType="solid">
          <fgColor indexed="64"/>
          <bgColor rgb="FFDBE5F1"/>
        </patternFill>
      </fill>
      <alignment horizontal="general" vertical="bottom" wrapText="1"/>
      <border outline="0">
        <left/>
        <right style="thin">
          <color rgb="FFFFFFFF"/>
        </right>
        <top/>
        <bottom style="thin">
          <color rgb="FFFFFFFF"/>
        </bottom>
      </border>
    </dxf>
    <dxf>
      <font>
        <color auto="1"/>
      </font>
      <fill>
        <patternFill patternType="solid">
          <fgColor indexed="64"/>
          <bgColor rgb="FFDBE5F1"/>
        </patternFill>
      </fill>
      <alignment horizontal="general" vertical="center"/>
      <border outline="0">
        <left/>
        <right style="thin">
          <color rgb="FFFFFFFF"/>
        </right>
        <top/>
        <bottom style="thin">
          <color rgb="FFFFFFFF"/>
        </bottom>
      </border>
    </dxf>
    <dxf>
      <font>
        <name val="Aptos Narrow"/>
        <family val="2"/>
        <color rgb="FF000000"/>
      </font>
      <alignment horizontal="general" vertical="center" wrapText="1"/>
    </dxf>
    <dxf>
      <numFmt numFmtId="0" formatCode="General"/>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vertical="center"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DictionaryName" displayName="DictionaryName" ref="A1:E4" headerRowCount="1" totalsRowShown="0" headerRowDxfId="24" dataDxfId="23">
  <autoFilter ref="A1:E4"/>
  <tableColumns count="5">
    <tableColumn id="1" name="Start" dataDxfId="22"/>
    <tableColumn id="4" name="Dictionary ID" dataDxfId="21"/>
    <tableColumn id="5" name="DictionaryFile" dataDxfId="20"/>
    <tableColumn id="2" name="DictionaryName" dataDxfId="19"/>
    <tableColumn id="3" name="Description" dataDxfId="18"/>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37" headerRowCount="1" totalsRowShown="0" headerRowDxfId="17" dataDxfId="16">
  <autoFilter ref="A1:H37"/>
  <sortState ref="A2:H37">
    <sortCondition ref="A1:A37"/>
  </sortState>
  <tableColumns count="8">
    <tableColumn id="1" name="Start" dataDxfId="15">
      <calculatedColumnFormula>IF(ISNA(VLOOKUP(B2,AssociatedElements!B$2:B2940,1,FALSE)),"Not used","")</calculatedColumnFormula>
    </tableColumn>
    <tableColumn id="10" name="ID" dataDxfId="14"/>
    <tableColumn id="7" name="Name" dataDxfId="13"/>
    <tableColumn id="3" name="Description" dataDxfId="12"/>
    <tableColumn id="4" name="DataType" dataDxfId="11"/>
    <tableColumn id="5" name="QuantityClass" dataDxfId="10"/>
    <tableColumn id="6" name="Authority" dataDxfId="9"/>
    <tableColumn id="9" name="Reference" dataDxfId="8"/>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37" headerRowCount="1" totalsRowShown="0" headerRowDxfId="7">
  <autoFilter ref="A1:D37"/>
  <sortState ref="A2:C2">
    <sortCondition ref="C1:C2"/>
  </sortState>
  <tableColumns count="4">
    <tableColumn id="1" name="Start" dataDxfId="6">
      <calculatedColumnFormula>IF(ISNA(VLOOKUP(B2,Definitions!B$2:B$1839,1,FALSE)),"Not listed","")</calculatedColumnFormula>
    </tableColumn>
    <tableColumn id="4" name="ID" dataDxfId="5"/>
    <tableColumn id="2" name="SourceElement" dataDxfId="4"/>
    <tableColumn id="3" name="ConditionalElement"/>
  </tableColumns>
  <tableStyleInfo name="TableStyleMedium9" showFirstColumn="0" showLastColumn="0" showRowStripes="1" showColumnStripes="0"/>
</table>
</file>

<file path=xl/tables/table4.xml><?xml version="1.0" encoding="utf-8"?>
<table xmlns="http://schemas.openxmlformats.org/spreadsheetml/2006/main" id="4" name="AssociatedElements5" displayName="AssociatedElements5" ref="A1:D2" headerRowCount="1" totalsRowShown="0" headerRowDxfId="3">
  <autoFilter ref="A1:D2"/>
  <sortState ref="A2:C2">
    <sortCondition ref="C1:C2"/>
  </sortState>
  <tableColumns count="4">
    <tableColumn id="1" name="Start" dataDxfId="2">
      <calculatedColumnFormula>IF(ISNA(VLOOKUP(B2,Definitions!B$2:B$1839,1,FALSE)),"Not listed","")</calculatedColumnFormula>
    </tableColumn>
    <tableColumn id="4" name="ID" dataDxfId="1"/>
    <tableColumn id="2" name="Name" dataDxfId="0"/>
    <tableColumn id="3" name="codeSpace"/>
  </tableColumns>
  <tableStyleInfo name="TableStyleMedium9" showFirstColumn="0" showLastColumn="0" showRowStripes="1" showColumnStripes="0"/>
</table>
</file>

<file path=xl/tables/table5.xml><?xml version="1.0" encoding="utf-8"?>
<table xmlns="http://schemas.openxmlformats.org/spreadsheetml/2006/main" id="5" name="Table6" displayName="Table6" ref="A1:E188" headerRowCount="1" totalsRowShown="0">
  <autoFilter ref="A1:E188"/>
  <sortState ref="A2:C187">
    <sortCondition ref="C1:C187"/>
  </sortState>
  <tableColumns count="5">
    <tableColumn id="1" name="DataType"/>
    <tableColumn id="2" name="DataType2"/>
    <tableColumn id="3" name="QuantityClass"/>
    <tableColumn id="5" name="Column2"/>
    <tableColumn id="4" name="Column3"/>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codeName="Sheet1">
    <outlinePr summaryBelow="1" summaryRight="1"/>
    <pageSetUpPr/>
  </sheetPr>
  <dimension ref="A1:E4"/>
  <sheetViews>
    <sheetView workbookViewId="0">
      <selection activeCell="E3" sqref="E3"/>
    </sheetView>
  </sheetViews>
  <sheetFormatPr baseColWidth="10" defaultColWidth="11" defaultRowHeight="16"/>
  <cols>
    <col width="7.5" customWidth="1" style="8" min="1" max="1"/>
    <col width="41.33203125" customWidth="1" style="8" min="2" max="2"/>
    <col width="26.33203125" customWidth="1" style="8" min="3" max="3"/>
    <col width="35.6640625" customWidth="1" style="8" min="4" max="4"/>
    <col width="76" customWidth="1" style="8" min="5" max="5"/>
    <col width="11" customWidth="1" style="8" min="6" max="16384"/>
  </cols>
  <sheetData>
    <row r="1" ht="18" customFormat="1" customHeight="1" s="10" thickBot="1">
      <c r="A1" s="10" t="inlineStr">
        <is>
          <t>Start</t>
        </is>
      </c>
      <c r="B1" s="10" t="inlineStr">
        <is>
          <t>Dictionary ID</t>
        </is>
      </c>
      <c r="C1" s="11" t="inlineStr">
        <is>
          <t>DictionaryFile</t>
        </is>
      </c>
      <c r="D1" s="10" t="inlineStr">
        <is>
          <t>DictionaryName</t>
        </is>
      </c>
      <c r="E1" s="10" t="inlineStr">
        <is>
          <t>Description</t>
        </is>
      </c>
    </row>
    <row r="2" ht="18" customFormat="1" customHeight="1" s="10" thickTop="1">
      <c r="A2" s="1" t="n"/>
      <c r="B2" s="1" t="n"/>
      <c r="C2" s="1" t="n"/>
      <c r="D2" s="1" t="n"/>
      <c r="E2" s="1" t="inlineStr">
        <is>
          <t>Leave this line blank</t>
        </is>
      </c>
    </row>
    <row r="3" ht="154" customFormat="1" customHeight="1" s="2">
      <c r="B3" s="2" t="inlineStr">
        <is>
          <t>corrosionProtection</t>
        </is>
      </c>
      <c r="C3" s="12" t="inlineStr">
        <is>
          <t>corrosionProtection</t>
        </is>
      </c>
      <c r="D3" s="12" t="inlineStr">
        <is>
          <t>DIGGS Reinforcement Corrosion Protection Codelist Definitions</t>
        </is>
      </c>
      <c r="E3" s="2" t="inlineStr">
        <is>
          <t>Codes naming a measure adopted to protect embedded steel reinforcement from corrosion, used for the value of the corrosionProtection property of diggs:Reinforcement. MEASURES ARE NORMALLY COMBINED, NOT CHOSEN SINGLY - the Jazera record specifies a cement type, a pozzolanic admixture, a water/binder limit, a binder minimum, a chloride limit and a waterproofing membrane together for one exposure class - which is why corrosionProtection is repeatable (widened at R10 from a single occurrence). Two provenances are distinguished in the entry descriptions: measures EVIDENCED by the Jazera project record (GBL-24136 Table 8B, per 70-TMSS-03 Rev. 02), and measures included as established practice but NOT evidenced there, which are flagged for SME review rather than presented as equally sourced. Note that increased_cover names the measure while the sibling diggs:Reinforcement/cover element carries its magnitude. BUILT AT R10; see docs/build/R10/NOTES.md.</t>
        </is>
      </c>
    </row>
    <row r="4" ht="17" customHeight="1">
      <c r="A4" s="2" t="n"/>
      <c r="B4" s="2" t="n"/>
      <c r="D4" s="2" t="n"/>
      <c r="E4" s="2" t="inlineStr">
        <is>
          <t> </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37"/>
  <sheetViews>
    <sheetView zoomScale="150" zoomScaleNormal="150" workbookViewId="0">
      <selection activeCell="B7" sqref="B7"/>
    </sheetView>
  </sheetViews>
  <sheetFormatPr baseColWidth="10" defaultColWidth="10.83203125" defaultRowHeight="16"/>
  <cols>
    <col width="7" customWidth="1" style="2" min="1" max="1"/>
    <col width="25.83203125" customWidth="1" style="2" min="2" max="2"/>
    <col width="31.6640625" customWidth="1" style="2" min="3" max="3"/>
    <col width="84.6640625" customWidth="1" style="2" min="4" max="4"/>
    <col width="11.1640625" customWidth="1" style="2" min="5" max="5"/>
    <col width="25.6640625" bestFit="1" customWidth="1" style="2" min="6" max="6"/>
    <col width="17.83203125" customWidth="1" style="2" min="7" max="7"/>
    <col width="20.83203125" customWidth="1" style="2" min="8" max="8"/>
    <col width="10.83203125" customWidth="1" style="2" min="9" max="16384"/>
  </cols>
  <sheetData>
    <row r="1" ht="17" customFormat="1" customHeight="1" s="1">
      <c r="A1" s="1" t="inlineStr">
        <is>
          <t>Start</t>
        </is>
      </c>
      <c r="B1" s="1" t="inlineStr">
        <is>
          <t>ID</t>
        </is>
      </c>
      <c r="C1" s="1" t="inlineStr">
        <is>
          <t>Name</t>
        </is>
      </c>
      <c r="D1" s="1" t="inlineStr">
        <is>
          <t>Description</t>
        </is>
      </c>
      <c r="E1" s="1" t="inlineStr">
        <is>
          <t>DataType</t>
        </is>
      </c>
      <c r="F1" s="1" t="inlineStr">
        <is>
          <t>QuantityClass</t>
        </is>
      </c>
      <c r="G1" s="1" t="inlineStr">
        <is>
          <t>Authority</t>
        </is>
      </c>
      <c r="H1" s="1" t="inlineStr">
        <is>
          <t>Reference</t>
        </is>
      </c>
    </row>
    <row r="2">
      <c r="A2" s="2">
        <f>IF(ISNA(VLOOKUP(B2,AssociatedElements!B$2:B2940,1,FALSE)),"Not used","")</f>
        <v/>
      </c>
      <c r="B2" s="13" t="inlineStr">
        <is>
          <t>increased_cover</t>
        </is>
      </c>
      <c r="C2" s="13" t="inlineStr">
        <is>
          <t>Increased concrete cover</t>
        </is>
      </c>
      <c r="D2" s="14" t="inlineStr">
        <is>
          <t>Additional depth of concrete over the steel beyond the structural minimum, as the primary barrier against chloride ingress and carbonation. The MAGNITUDE is carried by the sibling diggs:Reinforcement/cover element (a length); this code states that increased cover is the adopted protective measure, so the two are complementary rather than redundant. Established practice for protecting embedded steel; NOT evidenced in the Jazera record, included for completeness and flagged for SME review.</t>
        </is>
      </c>
      <c r="E2" s="13" t="inlineStr">
        <is>
          <t>string</t>
        </is>
      </c>
      <c r="F2" s="13" t="n"/>
      <c r="G2" s="9" t="inlineStr">
        <is>
          <t>DIGGS</t>
        </is>
      </c>
    </row>
    <row r="3">
      <c r="A3" s="2">
        <f>IF(ISNA(VLOOKUP(B3,AssociatedElements!B$2:B2941,1,FALSE)),"Not used","")</f>
        <v/>
      </c>
      <c r="B3" s="13" t="inlineStr">
        <is>
          <t>sulfate_resisting_cement</t>
        </is>
      </c>
      <c r="C3" s="13" t="inlineStr">
        <is>
          <t>Sulfate-resisting cement</t>
        </is>
      </c>
      <c r="D3" s="14" t="inlineStr">
        <is>
          <t>Use of a cement selected for resistance to sulfate attack - ASTM Type V, or a Type I/II with a controlled tricalcium aluminate (C3A) content. Evidenced by the Jazera project record (GBL-24136, Table 8B, per 70-TMSS-03 Rev. 02).</t>
        </is>
      </c>
      <c r="E3" s="13" t="inlineStr">
        <is>
          <t>string</t>
        </is>
      </c>
      <c r="F3" s="13" t="n"/>
      <c r="G3" s="9" t="inlineStr">
        <is>
          <t>DIGGS</t>
        </is>
      </c>
    </row>
    <row r="4">
      <c r="A4" s="2">
        <f>IF(ISNA(VLOOKUP(B4,AssociatedElements!B$2:B2942,1,FALSE)),"Not used","")</f>
        <v/>
      </c>
      <c r="B4" t="inlineStr">
        <is>
          <t>pozzolanic_admixture</t>
        </is>
      </c>
      <c r="C4" t="inlineStr">
        <is>
          <t>Pozzolanic admixture</t>
        </is>
      </c>
      <c r="D4" t="inlineStr">
        <is>
          <t>Partial replacement of cement with a pozzolanic material - fly ash or silica fume - to reduce permeability and bind free lime, lowering both sulfate attack and chloride ingress. Evidenced by the Jazera project record (GBL-24136, Table 8B, per 70-TMSS-03 Rev. 02).</t>
        </is>
      </c>
      <c r="E4" t="inlineStr">
        <is>
          <t>string</t>
        </is>
      </c>
      <c r="G4" s="9" t="inlineStr">
        <is>
          <t>DIGGS</t>
        </is>
      </c>
    </row>
    <row r="5">
      <c r="A5" s="2">
        <f>IF(ISNA(VLOOKUP(B5,AssociatedElements!B$2:B2943,1,FALSE)),"Not used","")</f>
        <v/>
      </c>
      <c r="B5" s="13" t="inlineStr">
        <is>
          <t>reduced_water_binder_ratio</t>
        </is>
      </c>
      <c r="C5" s="13" t="inlineStr">
        <is>
          <t>Reduced water/binder ratio</t>
        </is>
      </c>
      <c r="D5" s="14" t="inlineStr">
        <is>
          <t>A specified maximum water-to-binding-material ratio, lowering permeability so that aggressive ions penetrate more slowly. Evidenced by the Jazera project record (GBL-24136, Table 8B, per 70-TMSS-03 Rev. 02).</t>
        </is>
      </c>
      <c r="E5" s="13" t="inlineStr">
        <is>
          <t>string</t>
        </is>
      </c>
      <c r="F5" s="13" t="n"/>
      <c r="G5" s="9" t="inlineStr">
        <is>
          <t>DIGGS</t>
        </is>
      </c>
    </row>
    <row r="6">
      <c r="A6" s="2">
        <f>IF(ISNA(VLOOKUP(B6,AssociatedElements!B$2:B2944,1,FALSE)),"Not used","")</f>
        <v/>
      </c>
      <c r="B6" t="inlineStr">
        <is>
          <t>increased_binder_content</t>
        </is>
      </c>
      <c r="C6" s="16" t="inlineStr">
        <is>
          <t>Increased binder content</t>
        </is>
      </c>
      <c r="D6" s="16" t="inlineStr">
        <is>
          <t>A specified minimum binding material content (cement plus pozzolanic materials), raising the concrete's chemical buffering capacity and reducing permeability. Evidenced by the Jazera project record (GBL-24136, Table 8B, per 70-TMSS-03 Rev. 02).</t>
        </is>
      </c>
      <c r="E6" s="17" t="inlineStr">
        <is>
          <t>string</t>
        </is>
      </c>
      <c r="G6" s="9" t="inlineStr">
        <is>
          <t>DIGGS</t>
        </is>
      </c>
    </row>
    <row r="7">
      <c r="A7" s="2">
        <f>IF(ISNA(VLOOKUP(B7,AssociatedElements!B$2:B2945,1,FALSE)),"Not used","")</f>
        <v/>
      </c>
      <c r="B7" t="inlineStr">
        <is>
          <t>chloride_content_limit</t>
        </is>
      </c>
      <c r="C7" t="inlineStr">
        <is>
          <t>Concrete chloride content limit</t>
        </is>
      </c>
      <c r="D7" t="inlineStr">
        <is>
          <t>A specified maximum chloride content of the concrete as placed, limiting the chloride available to depassivate the steel from the mix itself rather than from the ground. Evidenced by the Jazera project record (GBL-24136, Table 8B, per 70-TMSS-03 Rev. 02).</t>
        </is>
      </c>
      <c r="E7" t="inlineStr">
        <is>
          <t>string</t>
        </is>
      </c>
      <c r="G7" s="9" t="inlineStr">
        <is>
          <t>DIGGS</t>
        </is>
      </c>
    </row>
    <row r="8">
      <c r="A8" s="2">
        <f>IF(ISNA(VLOOKUP(B8,AssociatedElements!B$2:B2946,1,FALSE)),"Not used","")</f>
        <v/>
      </c>
      <c r="B8" t="inlineStr">
        <is>
          <t>protective_membrane_or_coating</t>
        </is>
      </c>
      <c r="C8" t="inlineStr">
        <is>
          <t>Protective membrane or coating</t>
        </is>
      </c>
      <c r="D8" t="inlineStr">
        <is>
          <t>A waterproofing membrane or coating applied to the concrete surface, separating the element from aggressive ground water. Evidenced by the Jazera project record (GBL-24136, Table 8B, per 70-TMSS-03 Rev. 02).</t>
        </is>
      </c>
      <c r="E8" t="inlineStr">
        <is>
          <t>string</t>
        </is>
      </c>
      <c r="G8" s="9" t="inlineStr">
        <is>
          <t>DIGGS</t>
        </is>
      </c>
    </row>
    <row r="9">
      <c r="A9" s="2">
        <f>IF(ISNA(VLOOKUP(B9,AssociatedElements!B$2:B2947,1,FALSE)),"Not used","")</f>
        <v/>
      </c>
      <c r="B9" t="inlineStr">
        <is>
          <t>epoxy_coated_reinforcement</t>
        </is>
      </c>
      <c r="C9" s="16" t="inlineStr">
        <is>
          <t>Epoxy-coated reinforcement</t>
        </is>
      </c>
      <c r="D9" s="16" t="inlineStr">
        <is>
          <t>Steel reinforcement supplied with a fusion-bonded epoxy coating as a barrier against chloride-induced corrosion. Established practice for protecting embedded steel; NOT evidenced in the Jazera record, included for completeness and flagged for SME review.</t>
        </is>
      </c>
      <c r="E9" s="17" t="inlineStr">
        <is>
          <t>string</t>
        </is>
      </c>
      <c r="G9" s="9" t="inlineStr">
        <is>
          <t>DIGGS</t>
        </is>
      </c>
    </row>
    <row r="10">
      <c r="A10" s="2">
        <f>IF(ISNA(VLOOKUP(B10,AssociatedElements!B$2:B2948,1,FALSE)),"Not used","")</f>
        <v/>
      </c>
      <c r="B10" s="13" t="inlineStr">
        <is>
          <t>galvanized_reinforcement</t>
        </is>
      </c>
      <c r="C10" s="13" t="inlineStr">
        <is>
          <t>Galvanized reinforcement</t>
        </is>
      </c>
      <c r="D10" s="14" t="inlineStr">
        <is>
          <t>Steel reinforcement hot-dip galvanized so that the zinc layer corrodes preferentially to the steel. Established practice for protecting embedded steel; NOT evidenced in the Jazera record, included for completeness and flagged for SME review.</t>
        </is>
      </c>
      <c r="E10" s="13" t="inlineStr">
        <is>
          <t>string</t>
        </is>
      </c>
      <c r="F10" s="13" t="n"/>
      <c r="G10" s="9" t="inlineStr">
        <is>
          <t>DIGGS</t>
        </is>
      </c>
    </row>
    <row r="11">
      <c r="A11" s="2">
        <f>IF(ISNA(VLOOKUP(B11,AssociatedElements!B$2:B2949,1,FALSE)),"Not used","")</f>
        <v/>
      </c>
      <c r="B11" s="13" t="inlineStr">
        <is>
          <t>stainless_steel_reinforcement</t>
        </is>
      </c>
      <c r="C11" s="13" t="inlineStr">
        <is>
          <t>Stainless steel reinforcement</t>
        </is>
      </c>
      <c r="D11" s="14" t="inlineStr">
        <is>
          <t>Reinforcement of a corrosion-resistant stainless grade, used where the exposure or the required service life makes coated carbon steel inadequate. Established practice for protecting embedded steel; NOT evidenced in the Jazera record, included for completeness and flagged for SME review.</t>
        </is>
      </c>
      <c r="E11" s="13" t="inlineStr">
        <is>
          <t>string</t>
        </is>
      </c>
      <c r="F11" s="13" t="n"/>
      <c r="G11" s="9" t="inlineStr">
        <is>
          <t>DIGGS</t>
        </is>
      </c>
    </row>
    <row r="12">
      <c r="A12" s="2">
        <f>IF(ISNA(VLOOKUP(B12,AssociatedElements!B$2:B2950,1,FALSE)),"Not used","")</f>
        <v/>
      </c>
      <c r="B12" s="13" t="inlineStr">
        <is>
          <t>corrosion_inhibiting_admixture</t>
        </is>
      </c>
      <c r="C12" s="13" t="inlineStr">
        <is>
          <t>Corrosion-inhibiting admixture</t>
        </is>
      </c>
      <c r="D12" s="14" t="inlineStr">
        <is>
          <t>A chemical admixture dosed into the concrete that raises the chloride threshold at which the steel depassivates, or slows the corrosion reaction once it begins. Established practice for protecting embedded steel; NOT evidenced in the Jazera record, included for completeness and flagged for SME review.</t>
        </is>
      </c>
      <c r="E12" s="13" t="inlineStr">
        <is>
          <t>string</t>
        </is>
      </c>
      <c r="F12" s="13" t="n"/>
      <c r="G12" s="9" t="inlineStr">
        <is>
          <t>DIGGS</t>
        </is>
      </c>
    </row>
    <row r="13">
      <c r="A13" s="2">
        <f>IF(ISNA(VLOOKUP(B13,AssociatedElements!B$2:B2951,1,FALSE)),"Not used","")</f>
        <v/>
      </c>
      <c r="B13" s="13" t="inlineStr">
        <is>
          <t>cathodic_protection</t>
        </is>
      </c>
      <c r="C13" s="13" t="inlineStr">
        <is>
          <t>Cathodic protection</t>
        </is>
      </c>
      <c r="D13" s="14" t="inlineStr">
        <is>
          <t>An impressed-current or sacrificial-anode system holding the steel at a potential at which corrosion does not proceed. Established practice for protecting embedded steel; NOT evidenced in the Jazera record, included for completeness and flagged for SME review.</t>
        </is>
      </c>
      <c r="E13" s="13" t="inlineStr">
        <is>
          <t>string</t>
        </is>
      </c>
      <c r="F13" s="13" t="n"/>
      <c r="G13" s="9" t="inlineStr">
        <is>
          <t>DIGGS</t>
        </is>
      </c>
    </row>
    <row r="14">
      <c r="A14" s="2">
        <f>IF(ISNA(VLOOKUP(B14,AssociatedElements!B$2:B2952,1,FALSE)),"Not used","")</f>
        <v/>
      </c>
      <c r="B14" s="13" t="n"/>
      <c r="C14" s="13" t="n"/>
      <c r="D14" s="14" t="n"/>
      <c r="E14" s="13" t="n"/>
      <c r="F14" s="13" t="n"/>
      <c r="G14" s="9" t="n"/>
    </row>
    <row r="15">
      <c r="A15" s="2">
        <f>IF(ISNA(VLOOKUP(B15,AssociatedElements!B$2:B2953,1,FALSE)),"Not used","")</f>
        <v/>
      </c>
      <c r="B15" s="13" t="n"/>
      <c r="C15" s="18" t="n"/>
      <c r="D15" s="19" t="n"/>
      <c r="E15" s="18" t="n"/>
      <c r="F15" s="18" t="n"/>
      <c r="G15" s="9" t="n"/>
    </row>
    <row r="16">
      <c r="A16" s="2">
        <f>IF(ISNA(VLOOKUP(B16,AssociatedElements!B$2:B2954,1,FALSE)),"Not used","")</f>
        <v/>
      </c>
      <c r="B16" s="13" t="n"/>
      <c r="C16" s="18" t="n"/>
      <c r="D16" s="19" t="n"/>
      <c r="E16" s="18" t="n"/>
      <c r="F16" s="18" t="n"/>
      <c r="G16" s="9" t="n"/>
    </row>
    <row r="17">
      <c r="A17" s="2">
        <f>IF(ISNA(VLOOKUP(B17,AssociatedElements!B$2:B2955,1,FALSE)),"Not used","")</f>
        <v/>
      </c>
      <c r="B17" s="13" t="n"/>
      <c r="C17" s="18" t="n"/>
      <c r="D17" s="19" t="n"/>
      <c r="E17" s="18" t="n"/>
      <c r="F17" s="18" t="n"/>
      <c r="G17" s="9" t="n"/>
    </row>
    <row r="18">
      <c r="A18" s="2">
        <f>IF(ISNA(VLOOKUP(B18,AssociatedElements!B$2:B2956,1,FALSE)),"Not used","")</f>
        <v/>
      </c>
      <c r="B18" s="13" t="n"/>
      <c r="C18" s="18" t="n"/>
      <c r="D18" s="19" t="n"/>
      <c r="E18" s="18" t="n"/>
      <c r="F18" s="18" t="n"/>
      <c r="G18" s="9" t="n"/>
    </row>
    <row r="19">
      <c r="A19" s="2">
        <f>IF(ISNA(VLOOKUP(B19,AssociatedElements!B$2:B2957,1,FALSE)),"Not used","")</f>
        <v/>
      </c>
      <c r="B19" s="13" t="n"/>
      <c r="C19" s="18" t="n"/>
      <c r="D19" s="19" t="n"/>
      <c r="E19" s="18" t="n"/>
      <c r="F19" s="18" t="n"/>
      <c r="G19" s="9" t="n"/>
    </row>
    <row r="20">
      <c r="A20" s="2">
        <f>IF(ISNA(VLOOKUP(B20,AssociatedElements!B$2:B2958,1,FALSE)),"Not used","")</f>
        <v/>
      </c>
      <c r="B20" s="13" t="n"/>
      <c r="C20" s="18" t="n"/>
      <c r="D20" s="19" t="n"/>
      <c r="E20" s="18" t="n"/>
      <c r="F20" s="18" t="n"/>
      <c r="G20" s="9" t="n"/>
    </row>
    <row r="21">
      <c r="A21" s="2">
        <f>IF(ISNA(VLOOKUP(B21,AssociatedElements!B$2:B2959,1,FALSE)),"Not used","")</f>
        <v/>
      </c>
      <c r="B21" s="13" t="n"/>
      <c r="C21" s="18" t="n"/>
      <c r="D21" s="19" t="n"/>
      <c r="E21" s="18" t="n"/>
      <c r="F21" s="18" t="n"/>
      <c r="G21" s="9" t="n"/>
    </row>
    <row r="22">
      <c r="A22" s="2">
        <f>IF(ISNA(VLOOKUP(B22,AssociatedElements!B$2:B2960,1,FALSE)),"Not used","")</f>
        <v/>
      </c>
      <c r="B22" s="13" t="n"/>
      <c r="C22" s="18" t="n"/>
      <c r="D22" s="19" t="n"/>
      <c r="E22" s="18" t="n"/>
      <c r="F22" s="18" t="n"/>
      <c r="G22" s="9" t="n"/>
    </row>
    <row r="23">
      <c r="A23" s="2">
        <f>IF(ISNA(VLOOKUP(B23,AssociatedElements!B$2:B2961,1,FALSE)),"Not used","")</f>
        <v/>
      </c>
      <c r="B23" s="13" t="n"/>
      <c r="C23" s="18" t="n"/>
      <c r="D23" s="19" t="n"/>
      <c r="E23" s="18" t="n"/>
      <c r="F23" s="18" t="n"/>
      <c r="G23" s="9" t="n"/>
    </row>
    <row r="24">
      <c r="A24" s="2">
        <f>IF(ISNA(VLOOKUP(B24,AssociatedElements!B$2:B2962,1,FALSE)),"Not used","")</f>
        <v/>
      </c>
      <c r="D24" s="16" t="n"/>
      <c r="G24" s="9" t="n"/>
    </row>
    <row r="25">
      <c r="A25" s="2">
        <f>IF(ISNA(VLOOKUP(B25,AssociatedElements!B$2:B2963,1,FALSE)),"Not used","")</f>
        <v/>
      </c>
      <c r="B25" s="13" t="n"/>
      <c r="C25" s="13" t="n"/>
      <c r="E25" s="13" t="n"/>
      <c r="F25" s="13" t="n"/>
      <c r="G25" s="9" t="n"/>
    </row>
    <row r="26">
      <c r="A26" s="2">
        <f>IF(ISNA(VLOOKUP(B26,AssociatedElements!B$2:B2964,1,FALSE)),"Not used","")</f>
        <v/>
      </c>
      <c r="B26" s="13" t="n"/>
      <c r="C26" s="13" t="n"/>
      <c r="E26" s="13" t="n"/>
      <c r="F26" s="13" t="n"/>
      <c r="G26" s="9" t="n"/>
    </row>
    <row r="27">
      <c r="A27" s="2">
        <f>IF(ISNA(VLOOKUP(B27,AssociatedElements!B$2:B2965,1,FALSE)),"Not used","")</f>
        <v/>
      </c>
      <c r="B27" s="13" t="n"/>
      <c r="C27" s="13" t="n"/>
      <c r="D27" s="15" t="n"/>
      <c r="E27" s="13" t="n"/>
      <c r="F27" s="13" t="n"/>
      <c r="G27" s="9" t="n"/>
    </row>
    <row r="28">
      <c r="A28" s="2">
        <f>IF(ISNA(VLOOKUP(B28,AssociatedElements!B$2:B2966,1,FALSE)),"Not used","")</f>
        <v/>
      </c>
      <c r="B28" s="13" t="n"/>
      <c r="C28" s="13" t="n"/>
      <c r="D28" s="14" t="n"/>
      <c r="E28" s="13" t="n"/>
      <c r="F28" s="13" t="n"/>
      <c r="G28" s="9" t="n"/>
    </row>
    <row r="29">
      <c r="A29" s="2">
        <f>IF(ISNA(VLOOKUP(B29,AssociatedElements!B$2:B2967,1,FALSE)),"Not used","")</f>
        <v/>
      </c>
      <c r="B29" s="13" t="n"/>
      <c r="C29" s="13" t="n"/>
      <c r="D29" s="14" t="n"/>
      <c r="E29" s="13" t="n"/>
      <c r="F29" s="13" t="n"/>
      <c r="G29" s="9" t="n"/>
    </row>
    <row r="30">
      <c r="A30" s="2">
        <f>IF(ISNA(VLOOKUP(B30,AssociatedElements!B$2:B2968,1,FALSE)),"Not used","")</f>
        <v/>
      </c>
      <c r="B30" s="13" t="n"/>
      <c r="C30" s="13" t="n"/>
      <c r="D30" s="14" t="n"/>
      <c r="E30" s="13" t="n"/>
      <c r="F30" s="13" t="n"/>
      <c r="G30" s="9" t="n"/>
    </row>
    <row r="31">
      <c r="A31" s="2">
        <f>IF(ISNA(VLOOKUP(B31,AssociatedElements!B$2:B2969,1,FALSE)),"Not used","")</f>
        <v/>
      </c>
      <c r="B31" s="13" t="n"/>
      <c r="C31" s="18" t="n"/>
      <c r="D31" s="19" t="n"/>
      <c r="E31" s="18" t="n"/>
      <c r="F31" s="18" t="n"/>
      <c r="G31" s="9" t="n"/>
    </row>
    <row r="32">
      <c r="A32" s="2">
        <f>IF(ISNA(VLOOKUP(B32,AssociatedElements!B$2:B2970,1,FALSE)),"Not used","")</f>
        <v/>
      </c>
      <c r="B32" s="13" t="n"/>
      <c r="C32" s="18" t="n"/>
      <c r="D32" s="19" t="n"/>
      <c r="E32" s="18" t="n"/>
      <c r="F32" s="18" t="n"/>
      <c r="G32" s="9" t="n"/>
    </row>
    <row r="33">
      <c r="A33" s="2">
        <f>IF(ISNA(VLOOKUP(B33,AssociatedElements!B$2:B2971,1,FALSE)),"Not used","")</f>
        <v/>
      </c>
      <c r="B33" s="13" t="n"/>
      <c r="C33" s="18" t="n"/>
      <c r="D33" s="19" t="n"/>
      <c r="E33" s="18" t="n"/>
      <c r="F33" s="18" t="n"/>
      <c r="G33" s="9" t="n"/>
    </row>
    <row r="34">
      <c r="A34" s="2">
        <f>IF(ISNA(VLOOKUP(B34,AssociatedElements!B$2:B2972,1,FALSE)),"Not used","")</f>
        <v/>
      </c>
      <c r="B34" s="13" t="n"/>
      <c r="C34" s="18" t="n"/>
      <c r="D34" s="19" t="n"/>
      <c r="E34" s="18" t="n"/>
      <c r="F34" s="18" t="n"/>
      <c r="G34" s="9" t="n"/>
    </row>
    <row r="35">
      <c r="A35" s="2">
        <f>IF(ISNA(VLOOKUP(B35,AssociatedElements!B$2:B2973,1,FALSE)),"Not used","")</f>
        <v/>
      </c>
      <c r="B35" s="13" t="n"/>
      <c r="C35" s="18" t="n"/>
      <c r="D35" s="19" t="n"/>
      <c r="E35" s="18" t="n"/>
      <c r="F35" s="18" t="n"/>
      <c r="G35" s="9" t="n"/>
    </row>
    <row r="36">
      <c r="A36" s="2">
        <f>IF(ISNA(VLOOKUP(B36,AssociatedElements!B$2:B2974,1,FALSE)),"Not used","")</f>
        <v/>
      </c>
      <c r="B36" s="13" t="n"/>
      <c r="C36" s="18" t="n"/>
      <c r="D36" s="19" t="n"/>
      <c r="E36" s="18" t="n"/>
      <c r="F36" s="18" t="n"/>
      <c r="G36" s="9" t="n"/>
    </row>
    <row r="37">
      <c r="A37" s="2">
        <f>IF(ISNA(VLOOKUP(B37,AssociatedElements!B$2:B2975,1,FALSE)),"Not used","")</f>
        <v/>
      </c>
      <c r="G37" s="9" t="n"/>
    </row>
  </sheetData>
  <pageMargins left="0.7" right="0.7" top="0.75" bottom="0.75" header="0.3" footer="0.3"/>
  <pageSetup orientation="portrait"/>
  <tableParts count="1">
    <tablePart xmlns:r="http://schemas.openxmlformats.org/officeDocument/2006/relationships" r:id="rId1"/>
  </tableParts>
</worksheet>
</file>

<file path=xl/worksheets/sheet3.xml><?xml version="1.0" encoding="utf-8"?>
<worksheet xmlns="http://schemas.openxmlformats.org/spreadsheetml/2006/main">
  <sheetPr codeName="Sheet3">
    <outlinePr summaryBelow="1" summaryRight="1"/>
    <pageSetUpPr/>
  </sheetPr>
  <dimension ref="A1:D37"/>
  <sheetViews>
    <sheetView zoomScale="120" zoomScaleNormal="120" workbookViewId="0">
      <pane ySplit="1" topLeftCell="A2" activePane="bottomLeft" state="frozen"/>
      <selection pane="bottomLeft" activeCell="C19" sqref="C19"/>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c r="A2">
        <f>IF(ISNA(VLOOKUP(#REF!,Definitions!B$2:B$1839,1,FALSE)),"Not listed","")</f>
        <v/>
      </c>
      <c r="B2" s="2" t="inlineStr">
        <is>
          <t>increased_cover</t>
        </is>
      </c>
      <c r="C2" t="inlineStr">
        <is>
          <t>//diggs:Reinforcement/diggs:corrosionProtection</t>
        </is>
      </c>
    </row>
    <row r="3">
      <c r="A3">
        <f>IF(ISNA(VLOOKUP(B3,Definitions!B$2:B$1839,1,FALSE)),"Not listed","")</f>
        <v/>
      </c>
      <c r="B3" s="20" t="inlineStr">
        <is>
          <t>sulfate_resisting_cement</t>
        </is>
      </c>
      <c r="C3" t="inlineStr">
        <is>
          <t>//diggs:Reinforcement/diggs:corrosionProtection</t>
        </is>
      </c>
    </row>
    <row r="4">
      <c r="A4">
        <f>IF(ISNA(VLOOKUP(B4,Definitions!B$2:B$1839,1,FALSE)),"Not listed","")</f>
        <v/>
      </c>
      <c r="B4" s="2" t="inlineStr">
        <is>
          <t>pozzolanic_admixture</t>
        </is>
      </c>
      <c r="C4" t="inlineStr">
        <is>
          <t>//diggs:Reinforcement/diggs:corrosionProtection</t>
        </is>
      </c>
    </row>
    <row r="5">
      <c r="A5">
        <f>IF(ISNA(VLOOKUP(B5,Definitions!B$2:B$1839,1,FALSE)),"Not listed","")</f>
        <v/>
      </c>
      <c r="B5" s="2" t="inlineStr">
        <is>
          <t>reduced_water_binder_ratio</t>
        </is>
      </c>
      <c r="C5" t="inlineStr">
        <is>
          <t>//diggs:Reinforcement/diggs:corrosionProtection</t>
        </is>
      </c>
    </row>
    <row r="6">
      <c r="A6">
        <f>IF(ISNA(VLOOKUP(B6,Definitions!B$2:B$1839,1,FALSE)),"Not listed","")</f>
        <v/>
      </c>
      <c r="B6" s="2" t="inlineStr">
        <is>
          <t>increased_binder_content</t>
        </is>
      </c>
      <c r="C6" t="inlineStr">
        <is>
          <t>//diggs:Reinforcement/diggs:corrosionProtection</t>
        </is>
      </c>
    </row>
    <row r="7">
      <c r="A7">
        <f>IF(ISNA(VLOOKUP(B7,Definitions!B$2:B$1839,1,FALSE)),"Not listed","")</f>
        <v/>
      </c>
      <c r="B7" s="2" t="inlineStr">
        <is>
          <t>chloride_content_limit</t>
        </is>
      </c>
      <c r="C7" t="inlineStr">
        <is>
          <t>//diggs:Reinforcement/diggs:corrosionProtection</t>
        </is>
      </c>
    </row>
    <row r="8">
      <c r="A8">
        <f>IF(ISNA(VLOOKUP(B8,Definitions!B$2:B$1839,1,FALSE)),"Not listed","")</f>
        <v/>
      </c>
      <c r="B8" s="2" t="inlineStr">
        <is>
          <t>protective_membrane_or_coating</t>
        </is>
      </c>
      <c r="C8" t="inlineStr">
        <is>
          <t>//diggs:Reinforcement/diggs:corrosionProtection</t>
        </is>
      </c>
    </row>
    <row r="9">
      <c r="A9">
        <f>IF(ISNA(VLOOKUP(B9,Definitions!B$2:B$1839,1,FALSE)),"Not listed","")</f>
        <v/>
      </c>
      <c r="B9" s="2" t="inlineStr">
        <is>
          <t>epoxy_coated_reinforcement</t>
        </is>
      </c>
      <c r="C9" t="inlineStr">
        <is>
          <t>//diggs:Reinforcement/diggs:corrosionProtection</t>
        </is>
      </c>
    </row>
    <row r="10">
      <c r="A10">
        <f>IF(ISNA(VLOOKUP(B10,Definitions!B$2:B$1839,1,FALSE)),"Not listed","")</f>
        <v/>
      </c>
      <c r="B10" s="20" t="inlineStr">
        <is>
          <t>galvanized_reinforcement</t>
        </is>
      </c>
      <c r="C10" t="inlineStr">
        <is>
          <t>//diggs:Reinforcement/diggs:corrosionProtection</t>
        </is>
      </c>
    </row>
    <row r="11">
      <c r="A11">
        <f>IF(ISNA(VLOOKUP(B11,Definitions!B$2:B$1839,1,FALSE)),"Not listed","")</f>
        <v/>
      </c>
      <c r="B11" s="20" t="inlineStr">
        <is>
          <t>stainless_steel_reinforcement</t>
        </is>
      </c>
      <c r="C11" t="inlineStr">
        <is>
          <t>//diggs:Reinforcement/diggs:corrosionProtection</t>
        </is>
      </c>
    </row>
    <row r="12">
      <c r="A12">
        <f>IF(ISNA(VLOOKUP(B12,Definitions!B$2:B$1839,1,FALSE)),"Not listed","")</f>
        <v/>
      </c>
      <c r="B12" s="20" t="inlineStr">
        <is>
          <t>corrosion_inhibiting_admixture</t>
        </is>
      </c>
      <c r="C12" t="inlineStr">
        <is>
          <t>//diggs:Reinforcement/diggs:corrosionProtection</t>
        </is>
      </c>
    </row>
    <row r="13">
      <c r="A13">
        <f>IF(ISNA(VLOOKUP(B13,Definitions!B$2:B$1839,1,FALSE)),"Not listed","")</f>
        <v/>
      </c>
      <c r="B13" s="20" t="inlineStr">
        <is>
          <t>cathodic_protection</t>
        </is>
      </c>
      <c r="C13" t="inlineStr">
        <is>
          <t>//diggs:Reinforcement/diggs:corrosionProtection</t>
        </is>
      </c>
    </row>
    <row r="14">
      <c r="A14">
        <f>IF(ISNA(VLOOKUP(B14,Definitions!B$2:B$1839,1,FALSE)),"Not listed","")</f>
        <v/>
      </c>
      <c r="B14" s="20" t="n"/>
    </row>
    <row r="15">
      <c r="A15">
        <f>IF(ISNA(VLOOKUP(B15,Definitions!B$2:B$1839,1,FALSE)),"Not listed","")</f>
        <v/>
      </c>
      <c r="B15" s="2" t="n"/>
    </row>
    <row r="16">
      <c r="A16">
        <f>IF(ISNA(VLOOKUP(B16,Definitions!B$2:B$1839,1,FALSE)),"Not listed","")</f>
        <v/>
      </c>
      <c r="B16" s="2" t="n"/>
    </row>
    <row r="17">
      <c r="A17">
        <f>IF(ISNA(VLOOKUP(B17,Definitions!B$2:B$1839,1,FALSE)),"Not listed","")</f>
        <v/>
      </c>
      <c r="B17" s="2" t="n"/>
    </row>
    <row r="18">
      <c r="A18">
        <f>IF(ISNA(VLOOKUP(B18,Definitions!B$2:B$1839,1,FALSE)),"Not listed","")</f>
        <v/>
      </c>
      <c r="B18" s="2" t="n"/>
    </row>
    <row r="19">
      <c r="A19">
        <f>IF(ISNA(VLOOKUP(B19,Definitions!B$2:B$1839,1,FALSE)),"Not listed","")</f>
        <v/>
      </c>
      <c r="B19" s="20" t="n"/>
    </row>
    <row r="20">
      <c r="A20">
        <f>IF(ISNA(VLOOKUP(B20,Definitions!B$2:B$1839,1,FALSE)),"Not listed","")</f>
        <v/>
      </c>
      <c r="B20" s="20" t="n"/>
    </row>
    <row r="21">
      <c r="A21">
        <f>IF(ISNA(VLOOKUP(B21,Definitions!B$2:B$1839,1,FALSE)),"Not listed","")</f>
        <v/>
      </c>
      <c r="B21" s="20" t="n"/>
    </row>
    <row r="22">
      <c r="A22">
        <f>IF(ISNA(VLOOKUP(B22,Definitions!B$2:B$1839,1,FALSE)),"Not listed","")</f>
        <v/>
      </c>
      <c r="B22" s="20" t="n"/>
    </row>
    <row r="23">
      <c r="A23">
        <f>IF(ISNA(VLOOKUP(B23,Definitions!B$2:B$1839,1,FALSE)),"Not listed","")</f>
        <v/>
      </c>
      <c r="B23" s="20" t="n"/>
    </row>
    <row r="24">
      <c r="A24">
        <f>IF(ISNA(VLOOKUP(B24,Definitions!B$2:B$1839,1,FALSE)),"Not listed","")</f>
        <v/>
      </c>
      <c r="B24" s="2" t="n"/>
    </row>
    <row r="25">
      <c r="A25">
        <f>IF(ISNA(VLOOKUP(B25,Definitions!B$2:B$1839,1,FALSE)),"Not listed","")</f>
        <v/>
      </c>
      <c r="B25" s="2" t="n"/>
    </row>
    <row r="26">
      <c r="A26">
        <f>IF(ISNA(VLOOKUP(B26,Definitions!B$2:B$1839,1,FALSE)),"Not listed","")</f>
        <v/>
      </c>
      <c r="B26" s="2" t="n"/>
    </row>
    <row r="27">
      <c r="A27">
        <f>IF(ISNA(VLOOKUP(B27,Definitions!B$2:B$1839,1,FALSE)),"Not listed","")</f>
        <v/>
      </c>
      <c r="B27" s="13" t="n"/>
    </row>
    <row r="28">
      <c r="A28">
        <f>IF(ISNA(VLOOKUP(B28,Definitions!B$2:B$1839,1,FALSE)),"Not listed","")</f>
        <v/>
      </c>
      <c r="B28" s="13" t="n"/>
    </row>
    <row r="29">
      <c r="A29">
        <f>IF(ISNA(VLOOKUP(B29,Definitions!B$2:B$1839,1,FALSE)),"Not listed","")</f>
        <v/>
      </c>
      <c r="B29" s="13" t="n"/>
    </row>
    <row r="30">
      <c r="A30">
        <f>IF(ISNA(VLOOKUP(B30,Definitions!B$2:B$1839,1,FALSE)),"Not listed","")</f>
        <v/>
      </c>
      <c r="B30" s="13" t="n"/>
    </row>
    <row r="31">
      <c r="A31">
        <f>IF(ISNA(VLOOKUP(B31,Definitions!B$2:B$1839,1,FALSE)),"Not listed","")</f>
        <v/>
      </c>
      <c r="B31" s="13" t="n"/>
    </row>
    <row r="32">
      <c r="A32">
        <f>IF(ISNA(VLOOKUP(B32,Definitions!B$2:B$1839,1,FALSE)),"Not listed","")</f>
        <v/>
      </c>
      <c r="B32" s="13" t="n"/>
    </row>
    <row r="33">
      <c r="A33">
        <f>IF(ISNA(VLOOKUP(B33,Definitions!B$2:B$1839,1,FALSE)),"Not listed","")</f>
        <v/>
      </c>
      <c r="B33" s="13" t="n"/>
    </row>
    <row r="34">
      <c r="A34">
        <f>IF(ISNA(VLOOKUP(B34,Definitions!B$2:B$1839,1,FALSE)),"Not listed","")</f>
        <v/>
      </c>
      <c r="B34" s="13" t="n"/>
    </row>
    <row r="35">
      <c r="A35">
        <f>IF(ISNA(VLOOKUP(B35,Definitions!B$2:B$1839,1,FALSE)),"Not listed","")</f>
        <v/>
      </c>
      <c r="B35" s="13" t="n"/>
    </row>
    <row r="36">
      <c r="A36">
        <f>IF(ISNA(VLOOKUP(B36,Definitions!B$2:B$1839,1,FALSE)),"Not listed","")</f>
        <v/>
      </c>
      <c r="B36" s="13" t="n"/>
    </row>
    <row r="37">
      <c r="A37">
        <f>IF(ISNA(VLOOKUP(B37,Definitions!B$2:B$1839,1,FALSE)),"Not listed","")</f>
        <v/>
      </c>
      <c r="B37" s="2" t="n"/>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
  <sheetViews>
    <sheetView zoomScale="120" zoomScaleNormal="120" workbookViewId="0">
      <pane ySplit="1" topLeftCell="A2" activePane="bottomLeft" state="frozen"/>
      <selection pane="bottomLeft" activeCell="B8" sqref="B8"/>
    </sheetView>
  </sheetViews>
  <sheetFormatPr baseColWidth="10" defaultColWidth="10.83203125" defaultRowHeight="16"/>
  <cols>
    <col width="6.83203125" customWidth="1" min="1" max="1"/>
    <col width="31.6640625" customWidth="1" min="2" max="2"/>
    <col width="86.1640625" customWidth="1" style="3" min="3" max="3"/>
    <col width="93" customWidth="1" min="4" max="4"/>
  </cols>
  <sheetData>
    <row r="1" customFormat="1" s="6">
      <c r="A1" s="4" t="inlineStr">
        <is>
          <t>Start</t>
        </is>
      </c>
      <c r="B1" s="4" t="inlineStr">
        <is>
          <t>ID</t>
        </is>
      </c>
      <c r="C1" s="5" t="inlineStr">
        <is>
          <t>Name</t>
        </is>
      </c>
      <c r="D1" s="6" t="inlineStr">
        <is>
          <t>codeSpace</t>
        </is>
      </c>
    </row>
    <row r="2">
      <c r="A2">
        <f>IF(ISNA(VLOOKUP(B2,Definitions!B$2:B$1839,1,FALSE)),"Not listed","")</f>
        <v/>
      </c>
      <c r="B2" t="inlineStr">
        <is>
          <t>LFS</t>
        </is>
      </c>
      <c r="C2" s="3" t="inlineStr">
        <is>
          <t>An alternate name for the definition code given in ID</t>
        </is>
      </c>
      <c r="D2" t="inlineStr">
        <is>
          <t>A URI to provide context for the name. Typically this might identify an authority, a language. a dictionary, or some other metadata value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188"/>
  <sheetViews>
    <sheetView tabSelected="1" topLeftCell="A9" zoomScale="130" zoomScaleNormal="130" workbookViewId="0">
      <selection activeCell="E60" sqref="E60"/>
    </sheetView>
  </sheetViews>
  <sheetFormatPr baseColWidth="10" defaultColWidth="11" defaultRowHeight="16"/>
  <cols>
    <col width="21.1640625" customWidth="1" min="2" max="2"/>
    <col width="54.1640625" customWidth="1" min="3" max="3"/>
    <col width="39" customWidth="1" min="4" max="4"/>
    <col width="21.33203125" customWidth="1" min="5" max="5"/>
  </cols>
  <sheetData>
    <row r="1">
      <c r="A1" t="inlineStr">
        <is>
          <t>DataType</t>
        </is>
      </c>
      <c r="B1" t="inlineStr">
        <is>
          <t>DataType2</t>
        </is>
      </c>
      <c r="C1" t="inlineStr">
        <is>
          <t>QuantityClass</t>
        </is>
      </c>
      <c r="D1" t="inlineStr">
        <is>
          <t>Column2</t>
        </is>
      </c>
      <c r="E1" t="inlineStr">
        <is>
          <t>Column3</t>
        </is>
      </c>
    </row>
    <row r="2">
      <c r="B2" t="inlineStr">
        <is>
          <t>anyURI</t>
        </is>
      </c>
      <c r="C2" t="inlineStr">
        <is>
          <t>absorbed dose</t>
        </is>
      </c>
    </row>
    <row r="3">
      <c r="B3" t="inlineStr">
        <is>
          <t>base64binary</t>
        </is>
      </c>
      <c r="C3" t="inlineStr">
        <is>
          <t>activity [of radioactivity]</t>
        </is>
      </c>
    </row>
    <row r="4">
      <c r="B4" s="7" t="inlineStr">
        <is>
          <t>boolean</t>
        </is>
      </c>
      <c r="C4" t="inlineStr">
        <is>
          <t>amount of substance</t>
        </is>
      </c>
    </row>
    <row r="5">
      <c r="B5" s="7" t="inlineStr">
        <is>
          <t>byte</t>
        </is>
      </c>
      <c r="C5" t="inlineStr">
        <is>
          <t>amount of substance per amount of substance</t>
        </is>
      </c>
    </row>
    <row r="6">
      <c r="B6" t="inlineStr">
        <is>
          <t>date</t>
        </is>
      </c>
      <c r="C6" t="inlineStr">
        <is>
          <t>amount of substance per area</t>
        </is>
      </c>
    </row>
    <row r="7">
      <c r="B7" t="inlineStr">
        <is>
          <t>dateTime</t>
        </is>
      </c>
      <c r="C7" t="inlineStr">
        <is>
          <t>amount of substance per mass</t>
        </is>
      </c>
      <c r="D7" t="inlineStr">
        <is>
          <t>use for cation exchange capacity</t>
        </is>
      </c>
      <c r="E7" t="inlineStr">
        <is>
          <t>not yet used nor in EML Dictionary</t>
        </is>
      </c>
    </row>
    <row r="8">
      <c r="B8" t="inlineStr">
        <is>
          <t>decimal</t>
        </is>
      </c>
      <c r="C8" t="inlineStr">
        <is>
          <t>amount of substance per time</t>
        </is>
      </c>
    </row>
    <row r="9">
      <c r="B9" s="7" t="inlineStr">
        <is>
          <t>double</t>
        </is>
      </c>
      <c r="C9" t="inlineStr">
        <is>
          <t>(amount of substance per time) per area</t>
        </is>
      </c>
    </row>
    <row r="10">
      <c r="B10" t="inlineStr">
        <is>
          <t>duration</t>
        </is>
      </c>
      <c r="C10" t="inlineStr">
        <is>
          <t>amount of substance per volume</t>
        </is>
      </c>
    </row>
    <row r="11">
      <c r="B11" s="7" t="inlineStr">
        <is>
          <t>float</t>
        </is>
      </c>
      <c r="C11" t="inlineStr">
        <is>
          <t>angle per length</t>
        </is>
      </c>
    </row>
    <row r="12">
      <c r="B12" t="inlineStr">
        <is>
          <t>gDay</t>
        </is>
      </c>
      <c r="C12" t="inlineStr">
        <is>
          <t>angle per volume</t>
        </is>
      </c>
    </row>
    <row r="13">
      <c r="B13" t="inlineStr">
        <is>
          <t>gMonth</t>
        </is>
      </c>
      <c r="C13" t="inlineStr">
        <is>
          <t>angular acceleration</t>
        </is>
      </c>
    </row>
    <row r="14">
      <c r="B14" t="inlineStr">
        <is>
          <t>gMonthDay</t>
        </is>
      </c>
      <c r="C14" t="inlineStr">
        <is>
          <t>angular velocity</t>
        </is>
      </c>
    </row>
    <row r="15">
      <c r="B15" t="inlineStr">
        <is>
          <t>gYear</t>
        </is>
      </c>
      <c r="C15" t="inlineStr">
        <is>
          <t>api gamma ray</t>
        </is>
      </c>
    </row>
    <row r="16">
      <c r="B16" t="inlineStr">
        <is>
          <t>gYearMonth</t>
        </is>
      </c>
      <c r="C16" t="inlineStr">
        <is>
          <t>api gravity</t>
        </is>
      </c>
    </row>
    <row r="17">
      <c r="B17" t="inlineStr">
        <is>
          <t>hexBinary</t>
        </is>
      </c>
      <c r="C17" t="inlineStr">
        <is>
          <t>api neutron</t>
        </is>
      </c>
    </row>
    <row r="18">
      <c r="B18" t="inlineStr">
        <is>
          <t>integer</t>
        </is>
      </c>
      <c r="C18" t="inlineStr">
        <is>
          <t>area</t>
        </is>
      </c>
    </row>
    <row r="19">
      <c r="B19" t="inlineStr">
        <is>
          <t>language</t>
        </is>
      </c>
      <c r="C19" t="inlineStr">
        <is>
          <t>area per amount of substance</t>
        </is>
      </c>
    </row>
    <row r="20">
      <c r="B20" s="7" t="inlineStr">
        <is>
          <t>long</t>
        </is>
      </c>
      <c r="C20" t="inlineStr">
        <is>
          <t>area per area</t>
        </is>
      </c>
    </row>
    <row r="21">
      <c r="B21" t="inlineStr">
        <is>
          <t>negativeInteger</t>
        </is>
      </c>
      <c r="C21" t="inlineStr">
        <is>
          <t>area per count</t>
        </is>
      </c>
      <c r="D21" t="inlineStr">
        <is>
          <t>In EML schema but not in EML dictionary</t>
        </is>
      </c>
    </row>
    <row r="22">
      <c r="B22" t="inlineStr">
        <is>
          <t>nonNegativeInteger</t>
        </is>
      </c>
      <c r="C22" t="inlineStr">
        <is>
          <t>area per mass</t>
        </is>
      </c>
    </row>
    <row r="23">
      <c r="B23" t="inlineStr">
        <is>
          <t>nonPositiveInteger</t>
        </is>
      </c>
      <c r="C23" t="inlineStr">
        <is>
          <t>area per time</t>
        </is>
      </c>
    </row>
    <row r="24">
      <c r="B24" t="inlineStr">
        <is>
          <t>normalizedString</t>
        </is>
      </c>
      <c r="C24" t="inlineStr">
        <is>
          <t>area per volume</t>
        </is>
      </c>
    </row>
    <row r="25">
      <c r="B25" t="inlineStr">
        <is>
          <t>positiveInteger</t>
        </is>
      </c>
      <c r="C25" t="inlineStr">
        <is>
          <t>attenuation per frequency interval</t>
        </is>
      </c>
    </row>
    <row r="26">
      <c r="B26" t="inlineStr">
        <is>
          <t>short</t>
        </is>
      </c>
      <c r="C26" t="inlineStr">
        <is>
          <t>capacitance</t>
        </is>
      </c>
    </row>
    <row r="27">
      <c r="B27" s="7" t="inlineStr">
        <is>
          <t>string</t>
        </is>
      </c>
      <c r="C27" t="inlineStr">
        <is>
          <t>data transfer speed</t>
        </is>
      </c>
    </row>
    <row r="28">
      <c r="B28" s="7" t="inlineStr">
        <is>
          <t>string</t>
        </is>
      </c>
      <c r="C28" t="inlineStr">
        <is>
          <t>diffusion coefficient</t>
        </is>
      </c>
    </row>
    <row r="29">
      <c r="B29" t="inlineStr">
        <is>
          <t>time</t>
        </is>
      </c>
      <c r="C29" t="inlineStr">
        <is>
          <t>diffusive time of flight</t>
        </is>
      </c>
      <c r="D29" t="inlineStr">
        <is>
          <t>In EML schema but not in EML dictionary</t>
        </is>
      </c>
    </row>
    <row r="30">
      <c r="B30" t="inlineStr">
        <is>
          <t>token</t>
        </is>
      </c>
      <c r="C30" t="inlineStr">
        <is>
          <t>digital storage</t>
        </is>
      </c>
    </row>
    <row r="31">
      <c r="B31" t="inlineStr">
        <is>
          <t>unsignedByte</t>
        </is>
      </c>
      <c r="C31" t="inlineStr">
        <is>
          <t>dimensionless</t>
        </is>
      </c>
    </row>
    <row r="32">
      <c r="B32" t="inlineStr">
        <is>
          <t>unsignedInt</t>
        </is>
      </c>
      <c r="C32" t="inlineStr">
        <is>
          <t>dipole moment</t>
        </is>
      </c>
    </row>
    <row r="33">
      <c r="B33" t="inlineStr">
        <is>
          <t>unsignedLong</t>
        </is>
      </c>
      <c r="C33" t="inlineStr">
        <is>
          <t>dose equivalent</t>
        </is>
      </c>
    </row>
    <row r="34">
      <c r="B34" t="inlineStr">
        <is>
          <t>unsignedShort</t>
        </is>
      </c>
      <c r="C34" t="inlineStr">
        <is>
          <t>dynamic viscosity</t>
        </is>
      </c>
    </row>
    <row r="35">
      <c r="B35" s="7" t="inlineStr">
        <is>
          <t>vector</t>
        </is>
      </c>
      <c r="C35" t="inlineStr">
        <is>
          <t>electric charge</t>
        </is>
      </c>
    </row>
    <row r="36">
      <c r="C36" t="inlineStr">
        <is>
          <t>electric charge per area</t>
        </is>
      </c>
    </row>
    <row r="37">
      <c r="C37" t="inlineStr">
        <is>
          <t>electric charge per mass</t>
        </is>
      </c>
    </row>
    <row r="38">
      <c r="C38" t="inlineStr">
        <is>
          <t>electric charge per volume</t>
        </is>
      </c>
    </row>
    <row r="39">
      <c r="C39" t="inlineStr">
        <is>
          <t>electric conductance</t>
        </is>
      </c>
    </row>
    <row r="40">
      <c r="C40" t="inlineStr">
        <is>
          <t>electric conductivity</t>
        </is>
      </c>
    </row>
    <row r="41">
      <c r="C41" t="inlineStr">
        <is>
          <t>electric current</t>
        </is>
      </c>
    </row>
    <row r="42">
      <c r="C42" t="inlineStr">
        <is>
          <t>electric current density</t>
        </is>
      </c>
    </row>
    <row r="43">
      <c r="C43" t="inlineStr">
        <is>
          <t>electric field strength</t>
        </is>
      </c>
    </row>
    <row r="44">
      <c r="C44" t="inlineStr">
        <is>
          <t>electric potential difference</t>
        </is>
      </c>
    </row>
    <row r="45">
      <c r="C45" t="inlineStr">
        <is>
          <t>electric resistance</t>
        </is>
      </c>
    </row>
    <row r="46">
      <c r="C46" t="inlineStr">
        <is>
          <t>electric resistance per length</t>
        </is>
      </c>
    </row>
    <row r="47">
      <c r="C47" t="inlineStr">
        <is>
          <t>electrical resistivity</t>
        </is>
      </c>
    </row>
    <row r="48">
      <c r="C48" t="inlineStr">
        <is>
          <t>electromagnetic moment</t>
        </is>
      </c>
    </row>
    <row r="49">
      <c r="C49" t="inlineStr">
        <is>
          <t>energy</t>
        </is>
      </c>
    </row>
    <row r="50">
      <c r="C50" t="inlineStr">
        <is>
          <t>energy length per area</t>
        </is>
      </c>
    </row>
    <row r="51">
      <c r="C51" t="inlineStr">
        <is>
          <t>energy length per time area temperature</t>
        </is>
      </c>
    </row>
    <row r="52">
      <c r="C52" t="inlineStr">
        <is>
          <t>energy per area</t>
        </is>
      </c>
    </row>
    <row r="53">
      <c r="C53" t="inlineStr">
        <is>
          <t>energy per length</t>
        </is>
      </c>
    </row>
    <row r="54">
      <c r="C54" t="inlineStr">
        <is>
          <t>energy per mass</t>
        </is>
      </c>
    </row>
    <row r="55">
      <c r="C55" t="inlineStr">
        <is>
          <t>(energy per mass) per time</t>
        </is>
      </c>
    </row>
    <row r="56">
      <c r="C56" t="inlineStr">
        <is>
          <t>energy per volume</t>
        </is>
      </c>
    </row>
    <row r="57">
      <c r="C57" t="inlineStr">
        <is>
          <t>force</t>
        </is>
      </c>
    </row>
    <row r="58">
      <c r="C58" t="inlineStr">
        <is>
          <t>force area</t>
        </is>
      </c>
    </row>
    <row r="59">
      <c r="C59" t="inlineStr">
        <is>
          <t>force length per length</t>
        </is>
      </c>
    </row>
    <row r="60">
      <c r="C60" t="inlineStr">
        <is>
          <t>force or mass per volume</t>
        </is>
      </c>
      <c r="D60" t="inlineStr">
        <is>
          <t>use for geotechnical densities</t>
        </is>
      </c>
    </row>
    <row r="61">
      <c r="C61" t="inlineStr">
        <is>
          <t>force per force</t>
        </is>
      </c>
    </row>
    <row r="62">
      <c r="C62" t="inlineStr">
        <is>
          <t>force per length</t>
        </is>
      </c>
    </row>
    <row r="63">
      <c r="C63" t="inlineStr">
        <is>
          <t>force per volume</t>
        </is>
      </c>
    </row>
    <row r="64">
      <c r="C64" t="inlineStr">
        <is>
          <t>frequency</t>
        </is>
      </c>
    </row>
    <row r="65">
      <c r="C65" t="inlineStr">
        <is>
          <t>frequency interval</t>
        </is>
      </c>
    </row>
    <row r="66">
      <c r="C66" t="inlineStr">
        <is>
          <t>gravitational gradient</t>
        </is>
      </c>
      <c r="D66" t="inlineStr">
        <is>
          <t>use for gravity gradients</t>
        </is>
      </c>
      <c r="E66" t="inlineStr">
        <is>
          <t>Inow in EML dictionary</t>
        </is>
      </c>
    </row>
    <row r="67">
      <c r="C67" t="inlineStr">
        <is>
          <t>heat capacity</t>
        </is>
      </c>
    </row>
    <row r="68">
      <c r="C68" t="inlineStr">
        <is>
          <t>heat flow rate</t>
        </is>
      </c>
    </row>
    <row r="69">
      <c r="C69" t="inlineStr">
        <is>
          <t>heat transfer coefficient</t>
        </is>
      </c>
    </row>
    <row r="70">
      <c r="C70" t="inlineStr">
        <is>
          <t>illuminance</t>
        </is>
      </c>
    </row>
    <row r="71">
      <c r="C71" t="inlineStr">
        <is>
          <t>inductance</t>
        </is>
      </c>
    </row>
    <row r="72">
      <c r="C72" t="inlineStr">
        <is>
          <t>isothermal compressibility</t>
        </is>
      </c>
    </row>
    <row r="73">
      <c r="C73" t="inlineStr">
        <is>
          <t>kinematic viscosity</t>
        </is>
      </c>
    </row>
    <row r="74">
      <c r="C74" t="inlineStr">
        <is>
          <t>length</t>
        </is>
      </c>
    </row>
    <row r="75">
      <c r="C75" t="inlineStr">
        <is>
          <t>length per length</t>
        </is>
      </c>
    </row>
    <row r="76">
      <c r="C76" t="inlineStr">
        <is>
          <t>length per mass</t>
        </is>
      </c>
    </row>
    <row r="77">
      <c r="C77" t="inlineStr">
        <is>
          <t>length per pressure</t>
        </is>
      </c>
    </row>
    <row r="78">
      <c r="C78" t="inlineStr">
        <is>
          <t>length per temperature</t>
        </is>
      </c>
    </row>
    <row r="79">
      <c r="C79" t="inlineStr">
        <is>
          <t>length per time</t>
        </is>
      </c>
    </row>
    <row r="80">
      <c r="C80" t="inlineStr">
        <is>
          <t>length per volume</t>
        </is>
      </c>
    </row>
    <row r="81">
      <c r="C81" t="inlineStr">
        <is>
          <t>light exposure</t>
        </is>
      </c>
    </row>
    <row r="82">
      <c r="C82" t="inlineStr">
        <is>
          <t>linear acceleration</t>
        </is>
      </c>
    </row>
    <row r="83">
      <c r="C83" t="inlineStr">
        <is>
          <t>linear thermal expansion</t>
        </is>
      </c>
    </row>
    <row r="84">
      <c r="C84" t="inlineStr">
        <is>
          <t>logarithmic power ratio</t>
        </is>
      </c>
    </row>
    <row r="85">
      <c r="C85" t="inlineStr">
        <is>
          <t>logarithmic power ratio per length</t>
        </is>
      </c>
    </row>
    <row r="86">
      <c r="C86" t="inlineStr">
        <is>
          <t>luminance</t>
        </is>
      </c>
    </row>
    <row r="87">
      <c r="C87" t="inlineStr">
        <is>
          <t>luminous efficacy</t>
        </is>
      </c>
    </row>
    <row r="88">
      <c r="C88" t="inlineStr">
        <is>
          <t>luminous flux</t>
        </is>
      </c>
    </row>
    <row r="89">
      <c r="C89" t="inlineStr">
        <is>
          <t>luminous intensity</t>
        </is>
      </c>
    </row>
    <row r="90">
      <c r="C90" t="inlineStr">
        <is>
          <t>magnetic dipole moment</t>
        </is>
      </c>
    </row>
    <row r="91">
      <c r="C91" t="inlineStr">
        <is>
          <t>magnetic field strength</t>
        </is>
      </c>
    </row>
    <row r="92">
      <c r="C92" t="inlineStr">
        <is>
          <t>magnetic flux</t>
        </is>
      </c>
    </row>
    <row r="93">
      <c r="C93" t="inlineStr">
        <is>
          <t>magnetic flux density</t>
        </is>
      </c>
    </row>
    <row r="94">
      <c r="C94" t="inlineStr">
        <is>
          <t>magnetic flux density per length</t>
        </is>
      </c>
    </row>
    <row r="95">
      <c r="C95" t="inlineStr">
        <is>
          <t>magnetic permeability</t>
        </is>
      </c>
    </row>
    <row r="96">
      <c r="C96" t="inlineStr">
        <is>
          <t>magnetic vector potential</t>
        </is>
      </c>
    </row>
    <row r="97">
      <c r="C97" t="inlineStr">
        <is>
          <t>mass</t>
        </is>
      </c>
    </row>
    <row r="98">
      <c r="C98" t="inlineStr">
        <is>
          <t>mass length</t>
        </is>
      </c>
    </row>
    <row r="99">
      <c r="C99" t="inlineStr">
        <is>
          <t>mass per area</t>
        </is>
      </c>
    </row>
    <row r="100">
      <c r="C100" t="inlineStr">
        <is>
          <t>mass per energy</t>
        </is>
      </c>
    </row>
    <row r="101">
      <c r="C101" t="inlineStr">
        <is>
          <t>mass per length</t>
        </is>
      </c>
    </row>
    <row r="102">
      <c r="C102" t="inlineStr">
        <is>
          <t>mass per mass</t>
        </is>
      </c>
    </row>
    <row r="103">
      <c r="C103" t="inlineStr">
        <is>
          <t>mass per time</t>
        </is>
      </c>
    </row>
    <row r="104">
      <c r="C104" t="inlineStr">
        <is>
          <t>(mass per time) per area</t>
        </is>
      </c>
    </row>
    <row r="105">
      <c r="C105" t="inlineStr">
        <is>
          <t>(mass per time) per length</t>
        </is>
      </c>
    </row>
    <row r="106">
      <c r="C106" t="inlineStr">
        <is>
          <t>mass per volume</t>
        </is>
      </c>
    </row>
    <row r="107">
      <c r="C107" t="inlineStr">
        <is>
          <t>(mass per volume) per length</t>
        </is>
      </c>
    </row>
    <row r="108">
      <c r="C108" t="inlineStr">
        <is>
          <t>(mass per volume) per pressure</t>
        </is>
      </c>
      <c r="D108" t="inlineStr">
        <is>
          <t>In EML schema but not in EML dictionary</t>
        </is>
      </c>
    </row>
    <row r="109">
      <c r="C109" t="inlineStr">
        <is>
          <t>(mass per volume) per temperature</t>
        </is>
      </c>
      <c r="D109" t="inlineStr">
        <is>
          <t>In EML schema but not in EML dictionary</t>
        </is>
      </c>
    </row>
    <row r="110">
      <c r="C110" t="inlineStr">
        <is>
          <t>mobility</t>
        </is>
      </c>
    </row>
    <row r="111">
      <c r="C111" t="inlineStr">
        <is>
          <t>molar energy</t>
        </is>
      </c>
    </row>
    <row r="112">
      <c r="C112" t="inlineStr">
        <is>
          <t>molar heat capacity</t>
        </is>
      </c>
    </row>
    <row r="113">
      <c r="C113" t="inlineStr">
        <is>
          <t>molar volume</t>
        </is>
      </c>
    </row>
    <row r="114">
      <c r="C114" t="inlineStr">
        <is>
          <t>molecular weight</t>
        </is>
      </c>
    </row>
    <row r="115">
      <c r="C115" t="inlineStr">
        <is>
          <t>moment of force</t>
        </is>
      </c>
    </row>
    <row r="116">
      <c r="C116" t="inlineStr">
        <is>
          <t>moment of inertia</t>
        </is>
      </c>
    </row>
    <row r="117">
      <c r="C117" t="inlineStr">
        <is>
          <t>momentum</t>
        </is>
      </c>
    </row>
    <row r="118">
      <c r="C118" t="inlineStr">
        <is>
          <t>normalized power</t>
        </is>
      </c>
    </row>
    <row r="119">
      <c r="C119" t="inlineStr">
        <is>
          <t>permeability length</t>
        </is>
      </c>
    </row>
    <row r="120">
      <c r="C120" t="inlineStr">
        <is>
          <t>permeability rock</t>
        </is>
      </c>
    </row>
    <row r="121">
      <c r="C121" t="inlineStr">
        <is>
          <t>permittivity</t>
        </is>
      </c>
    </row>
    <row r="122">
      <c r="C122" t="inlineStr">
        <is>
          <t>plane angle</t>
        </is>
      </c>
    </row>
    <row r="123">
      <c r="C123" t="inlineStr">
        <is>
          <t>potential difference per power drop</t>
        </is>
      </c>
    </row>
    <row r="124">
      <c r="C124" t="inlineStr">
        <is>
          <t>power</t>
        </is>
      </c>
    </row>
    <row r="125">
      <c r="C125" t="inlineStr">
        <is>
          <t>power per area</t>
        </is>
      </c>
    </row>
    <row r="126">
      <c r="C126" t="inlineStr">
        <is>
          <t>power per power</t>
        </is>
      </c>
    </row>
    <row r="127">
      <c r="C127" t="inlineStr">
        <is>
          <t>power per volume</t>
        </is>
      </c>
    </row>
    <row r="128">
      <c r="C128" t="inlineStr">
        <is>
          <t>pressure</t>
        </is>
      </c>
    </row>
    <row r="129">
      <c r="C129" t="inlineStr">
        <is>
          <t>pressure per pressure</t>
        </is>
      </c>
      <c r="E129" t="inlineStr">
        <is>
          <t>Now in dictonary</t>
        </is>
      </c>
    </row>
    <row r="130">
      <c r="C130" t="inlineStr">
        <is>
          <t>pressure per time</t>
        </is>
      </c>
    </row>
    <row r="131">
      <c r="C131" t="inlineStr">
        <is>
          <t>pressure per volume</t>
        </is>
      </c>
    </row>
    <row r="132">
      <c r="C132" t="inlineStr">
        <is>
          <t>pressure squared</t>
        </is>
      </c>
    </row>
    <row r="133">
      <c r="C133" t="inlineStr">
        <is>
          <t>pressure squared per (force time per area)</t>
        </is>
      </c>
    </row>
    <row r="134">
      <c r="C134" t="inlineStr">
        <is>
          <t>pressure time per volume</t>
        </is>
      </c>
    </row>
    <row r="135">
      <c r="C135" t="inlineStr">
        <is>
          <t>quantity of light</t>
        </is>
      </c>
    </row>
    <row r="136">
      <c r="C136" t="inlineStr">
        <is>
          <t>radiance</t>
        </is>
      </c>
    </row>
    <row r="137">
      <c r="C137" t="inlineStr">
        <is>
          <t>radiant intensity</t>
        </is>
      </c>
    </row>
    <row r="138">
      <c r="C138" t="inlineStr">
        <is>
          <t>reciprocal area</t>
        </is>
      </c>
    </row>
    <row r="139">
      <c r="C139" t="inlineStr">
        <is>
          <t>reciprocal electric potential difference</t>
        </is>
      </c>
    </row>
    <row r="140">
      <c r="C140" t="inlineStr">
        <is>
          <t>reciprocal force</t>
        </is>
      </c>
    </row>
    <row r="141">
      <c r="C141" t="inlineStr">
        <is>
          <t>reciprocal length</t>
        </is>
      </c>
    </row>
    <row r="142">
      <c r="C142" t="inlineStr">
        <is>
          <t>reciprocal mass</t>
        </is>
      </c>
    </row>
    <row r="143">
      <c r="C143" t="inlineStr">
        <is>
          <t>reciprocal (mass time)</t>
        </is>
      </c>
    </row>
    <row r="144">
      <c r="C144" t="inlineStr">
        <is>
          <t>reciprocal pressure</t>
        </is>
      </c>
    </row>
    <row r="145">
      <c r="C145" t="inlineStr">
        <is>
          <t>reciprocal time</t>
        </is>
      </c>
    </row>
    <row r="146">
      <c r="C146" t="inlineStr">
        <is>
          <t>reciprocal volume</t>
        </is>
      </c>
    </row>
    <row r="147">
      <c r="C147" t="inlineStr">
        <is>
          <t>relative rate</t>
        </is>
      </c>
      <c r="D147" t="inlineStr">
        <is>
          <t>use for strain rate</t>
        </is>
      </c>
    </row>
    <row r="148">
      <c r="C148" t="inlineStr">
        <is>
          <t>reluctance</t>
        </is>
      </c>
    </row>
    <row r="149">
      <c r="C149" t="inlineStr">
        <is>
          <t>second moment of area</t>
        </is>
      </c>
    </row>
    <row r="150">
      <c r="C150" t="inlineStr">
        <is>
          <t>signaling event per time</t>
        </is>
      </c>
    </row>
    <row r="151">
      <c r="C151" t="inlineStr">
        <is>
          <t>solid angle</t>
        </is>
      </c>
    </row>
    <row r="152">
      <c r="C152" t="inlineStr">
        <is>
          <t>specific heat capacity</t>
        </is>
      </c>
    </row>
    <row r="153">
      <c r="C153" t="inlineStr">
        <is>
          <t>temperature interval</t>
        </is>
      </c>
    </row>
    <row r="154">
      <c r="C154" t="inlineStr">
        <is>
          <t>temperature interval per length</t>
        </is>
      </c>
    </row>
    <row r="155">
      <c r="C155" t="inlineStr">
        <is>
          <t>temperature interval per pressure</t>
        </is>
      </c>
    </row>
    <row r="156">
      <c r="C156" t="inlineStr">
        <is>
          <t>temperature interval per time</t>
        </is>
      </c>
    </row>
    <row r="157">
      <c r="C157" t="inlineStr">
        <is>
          <t>thermal conductance</t>
        </is>
      </c>
    </row>
    <row r="158">
      <c r="C158" t="inlineStr">
        <is>
          <t>thermal conductivity</t>
        </is>
      </c>
    </row>
    <row r="159">
      <c r="C159" t="inlineStr">
        <is>
          <t>thermal diffusivity</t>
        </is>
      </c>
    </row>
    <row r="160">
      <c r="C160" t="inlineStr">
        <is>
          <t>thermal insulance</t>
        </is>
      </c>
    </row>
    <row r="161">
      <c r="C161" t="inlineStr">
        <is>
          <t>thermal resistance</t>
        </is>
      </c>
    </row>
    <row r="162">
      <c r="C162" t="inlineStr">
        <is>
          <t>thermodynamic temperature</t>
        </is>
      </c>
    </row>
    <row r="163">
      <c r="C163" t="inlineStr">
        <is>
          <t>thermodynamic temperature per thermodynamic temperature</t>
        </is>
      </c>
      <c r="D163" t="inlineStr">
        <is>
          <t>In EML schema but not in EML dictionary</t>
        </is>
      </c>
    </row>
    <row r="164">
      <c r="C164" t="inlineStr">
        <is>
          <t>time</t>
        </is>
      </c>
    </row>
    <row r="165">
      <c r="C165" t="inlineStr">
        <is>
          <t>time per length</t>
        </is>
      </c>
    </row>
    <row r="166">
      <c r="C166" t="inlineStr">
        <is>
          <t>time per mass</t>
        </is>
      </c>
    </row>
    <row r="167">
      <c r="C167" t="inlineStr">
        <is>
          <t>time per time</t>
        </is>
      </c>
    </row>
    <row r="168">
      <c r="C168" t="inlineStr">
        <is>
          <t>time per volume</t>
        </is>
      </c>
    </row>
    <row r="169">
      <c r="C169" t="inlineStr">
        <is>
          <t>volume</t>
        </is>
      </c>
    </row>
    <row r="170">
      <c r="C170" t="inlineStr">
        <is>
          <t>volume flow rate per volume flow rate</t>
        </is>
      </c>
    </row>
    <row r="171">
      <c r="C171" t="inlineStr">
        <is>
          <t>volume per area</t>
        </is>
      </c>
    </row>
    <row r="172">
      <c r="C172" t="inlineStr">
        <is>
          <t>volume per length</t>
        </is>
      </c>
    </row>
    <row r="173">
      <c r="C173" t="inlineStr">
        <is>
          <t>volume per mass</t>
        </is>
      </c>
    </row>
    <row r="174">
      <c r="C174" t="inlineStr">
        <is>
          <t>volume per pressure</t>
        </is>
      </c>
    </row>
    <row r="175">
      <c r="C175" t="inlineStr">
        <is>
          <t>volume per rotation</t>
        </is>
      </c>
    </row>
    <row r="176">
      <c r="C176" t="inlineStr">
        <is>
          <t>volume per time</t>
        </is>
      </c>
    </row>
    <row r="177">
      <c r="C177" t="inlineStr">
        <is>
          <t>(volume per time) length</t>
        </is>
      </c>
    </row>
    <row r="178">
      <c r="C178" t="inlineStr">
        <is>
          <t>(volume per time) per area</t>
        </is>
      </c>
    </row>
    <row r="179">
      <c r="C179" t="inlineStr">
        <is>
          <t>(volume per time) per length</t>
        </is>
      </c>
    </row>
    <row r="180">
      <c r="C180" t="inlineStr">
        <is>
          <t>(volume per time) per pressure</t>
        </is>
      </c>
    </row>
    <row r="181">
      <c r="C181" t="inlineStr">
        <is>
          <t>(volume per time) per (pressure length)</t>
        </is>
      </c>
    </row>
    <row r="182">
      <c r="C182" t="inlineStr">
        <is>
          <t>(volume per time) per time</t>
        </is>
      </c>
    </row>
    <row r="183">
      <c r="C183" t="inlineStr">
        <is>
          <t>(volume per time) per volume</t>
        </is>
      </c>
    </row>
    <row r="184">
      <c r="C184" t="inlineStr">
        <is>
          <t>volume per volume</t>
        </is>
      </c>
    </row>
    <row r="185">
      <c r="C185" t="inlineStr">
        <is>
          <t>volumetric heat transfer coefficient</t>
        </is>
      </c>
    </row>
    <row r="186">
      <c r="C186" t="inlineStr">
        <is>
          <t>volumetric thermal expansion</t>
        </is>
      </c>
    </row>
    <row r="187">
      <c r="C187" t="inlineStr">
        <is>
          <t>reciprocal time(0.5)</t>
        </is>
      </c>
      <c r="D187" t="inlineStr">
        <is>
          <t>used for pressure filtration</t>
        </is>
      </c>
    </row>
    <row r="188">
      <c r="C188" t="inlineStr">
        <is>
          <t>volume or mass loss</t>
        </is>
      </c>
      <c r="D188" t="inlineStr">
        <is>
          <t>used for pressure filtration</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2018-10-28T20:07:54Z</dcterms:created>
  <dcterms:modified xsi:type="dcterms:W3CDTF">2026-09-01T07:42:08Z</dcterms:modified>
  <cp:lastModifiedBy>Ponti, Daniel J</cp:lastModifiedBy>
</cp:coreProperties>
</file>