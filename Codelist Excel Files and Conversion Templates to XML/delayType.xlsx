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delayType</t>
        </is>
      </c>
      <c r="C3" s="12" t="inlineStr">
        <is>
          <t>delayType</t>
        </is>
      </c>
      <c r="D3" s="12" t="inlineStr">
        <is>
          <t>DIGGS Delay Type Codelist Definitions</t>
        </is>
      </c>
      <c r="E3" s="2" t="inlineStr">
        <is>
          <t>Codes for the cause of a delay, used for the value of the delayType property of diggs:DelayEvent. A DelayEvent records a non-productive or waiting interval together with its duration; delayType is what makes a set of them analysable, by separating avoidable downtime (breakdown, standby, materials) from ground-driven and procedurally required waiting. The three axes named in the delayType schema documentation - mechanical, operational and soil-response - are all represented. Applies wherever a DelayEvent appears: at activity level on any diggs:AbstractConstructionActivity, and on the pre-existing per-step hosts diggs:DriveSet and diggs:VaneTestMeasurementData. Built at W4 - see docs/build/W4/NOTES.md.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equipment_breakdown</t>
        </is>
      </c>
      <c r="C2" s="13" t="inlineStr">
        <is>
          <t>Equipment breakdown</t>
        </is>
      </c>
      <c r="D2" s="14" t="inlineStr">
        <is>
          <t>An unplanned mechanical, hydraulic, or electrical failure of the rig, pump, or other plant that stopped production until repaired. The 'mechanical' axis named in the delayType schema documentation.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scheduled_maintenance</t>
        </is>
      </c>
      <c r="C3" s="13" t="inlineStr">
        <is>
          <t>Scheduled maintenance</t>
        </is>
      </c>
      <c r="D3" s="14" t="inlineStr">
        <is>
          <t>A planned servicing, calibration, or inspection of plant carried out during the activity. Distinguished from equipment_breakdown because it is anticipated and does not indicate equipment unreliability.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rig_move</t>
        </is>
      </c>
      <c r="C4" t="inlineStr">
        <is>
          <t>Rig move</t>
        </is>
      </c>
      <c r="D4" t="inlineStr">
        <is>
          <t>Relocation of the rig between element positions, including tracking, setting up, and re-levelling. Non-productive but unavoidable, and its total is a direct function of the installation sequence, so it is the delay type most useful for comparing one sequence against another.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standby</t>
        </is>
      </c>
      <c r="C5" s="13" t="inlineStr">
        <is>
          <t>Standby</t>
        </is>
      </c>
      <c r="D5" s="14" t="inlineStr">
        <is>
          <t>Crew and plant present and available but not working - awaiting instruction, awaiting access released by another trade, or awaiting a decision. The 'operational' axis named in the delayType schema documentation.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materials_delay</t>
        </is>
      </c>
      <c r="C6" s="16" t="inlineStr">
        <is>
          <t>Materials delay</t>
        </is>
      </c>
      <c r="D6" s="16" t="inlineStr">
        <is>
          <t>Awaiting delivery or availability of grout, concrete, reinforcement, or other consumables. Separated from standby because the cause is supply rather than site coordination.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B7" t="inlineStr">
        <is>
          <t>weather</t>
        </is>
      </c>
      <c r="C7" t="inlineStr">
        <is>
          <t>Weather</t>
        </is>
      </c>
      <c r="D7" t="inlineStr">
        <is>
          <t>Suspension of work because of weather - wind limits on lifting, rainfall making the working platform untrafficable, temperature limits on grout or concrete placement.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IF(ISNA(VLOOKUP(B8,AssociatedElements!B$2:B2946,1,FALSE)),"Not used","")</f>
        <v/>
      </c>
      <c r="B8" t="inlineStr">
        <is>
          <t>ground_conditions</t>
        </is>
      </c>
      <c r="C8" t="inlineStr">
        <is>
          <t>Ground conditions</t>
        </is>
      </c>
      <c r="D8" t="inlineStr">
        <is>
          <t>A delay caused by the ground's own response: an obstruction requiring removal, bore collapse or squeezing requiring re-drilling, unexpected refusal, or loss of grout to the formation. The 'soil-response' axis named in the delayType schema documentation. Where the outcome was that the element could not be completed as designed, terminationOutcome on the construction activity records that separately - this code records only the lost time.</t>
        </is>
      </c>
      <c r="E8" t="inlineStr">
        <is>
          <t>string</t>
        </is>
      </c>
      <c r="G8" s="9" t="inlineStr">
        <is>
          <t>DIGGS</t>
        </is>
      </c>
    </row>
    <row r="9">
      <c r="A9" s="2">
        <f>IF(ISNA(VLOOKUP(B9,AssociatedElements!B$2:B2947,1,FALSE)),"Not used","")</f>
        <v/>
      </c>
      <c r="B9" t="inlineStr">
        <is>
          <t>utility_conflict</t>
        </is>
      </c>
      <c r="C9" s="16" t="inlineStr">
        <is>
          <t>Utility conflict</t>
        </is>
      </c>
      <c r="D9" s="16" t="inlineStr">
        <is>
          <t>Buried or overhead services encountered, requiring proving, diversion, or a change of position before work could resume.</t>
        </is>
      </c>
      <c r="E9" s="17" t="inlineStr">
        <is>
          <t>string</t>
        </is>
      </c>
      <c r="G9" s="9" t="inlineStr">
        <is>
          <t>DIGGS</t>
        </is>
      </c>
    </row>
    <row r="10">
      <c r="A10" s="2">
        <f>IF(ISNA(VLOOKUP(B10,AssociatedElements!B$2:B2948,1,FALSE)),"Not used","")</f>
        <v/>
      </c>
      <c r="B10" s="13" t="inlineStr">
        <is>
          <t>quality_hold</t>
        </is>
      </c>
      <c r="C10" s="13" t="inlineStr">
        <is>
          <t>Quality hold</t>
        </is>
      </c>
      <c r="D10" s="14" t="inlineStr">
        <is>
          <t>Work suspended at a hold or witness point pending inspection, test results, or sign-off. The status property of the affected object carries the review state itself; this code records the production time the hold consumed.</t>
        </is>
      </c>
      <c r="E10" s="13" t="inlineStr">
        <is>
          <t>string</t>
        </is>
      </c>
      <c r="F10" s="13" t="n"/>
      <c r="G10" s="9" t="inlineStr">
        <is>
          <t>DIGGS</t>
        </is>
      </c>
    </row>
    <row r="11">
      <c r="A11" s="2">
        <f>IF(ISNA(VLOOKUP(B11,AssociatedElements!B$2:B2949,1,FALSE)),"Not used","")</f>
        <v/>
      </c>
      <c r="B11" s="13" t="inlineStr">
        <is>
          <t>safety_stand_down</t>
        </is>
      </c>
      <c r="C11" s="13" t="inlineStr">
        <is>
          <t>Safety stand-down</t>
        </is>
      </c>
      <c r="D11" s="14" t="inlineStr">
        <is>
          <t>Work suspended for a safety reason - an incident, a near miss, an exclusion zone, or a site-wide stand-down.</t>
        </is>
      </c>
      <c r="E11" s="13" t="inlineStr">
        <is>
          <t>string</t>
        </is>
      </c>
      <c r="F11" s="13" t="n"/>
      <c r="G11" s="9" t="inlineStr">
        <is>
          <t>DIGGS</t>
        </is>
      </c>
    </row>
    <row r="12">
      <c r="A12" s="2">
        <f>IF(ISNA(VLOOKUP(B12,AssociatedElements!B$2:B2950,1,FALSE)),"Not used","")</f>
        <v/>
      </c>
      <c r="B12" s="13" t="inlineStr">
        <is>
          <t>procedural_wait</t>
        </is>
      </c>
      <c r="C12" s="13" t="inlineStr">
        <is>
          <t>Procedural wait</t>
        </is>
      </c>
      <c r="D12" s="14" t="inlineStr">
        <is>
          <t>A waiting period required by the procedure itself rather than lost time - for example the interval between the end of penetration and the beginning of rotation in a vane test, or a required delay before a drive increment starts. Distinguished from every other code in this list because the time is specified, not lost, and excluding it is normally correct when computing non-productive time.</t>
        </is>
      </c>
      <c r="E12" s="13" t="inlineStr">
        <is>
          <t>string</t>
        </is>
      </c>
      <c r="F12" s="13" t="n"/>
      <c r="G12" s="9" t="inlineStr">
        <is>
          <t>DIGGS</t>
        </is>
      </c>
    </row>
    <row r="13">
      <c r="A13" s="2">
        <f>IF(ISNA(VLOOKUP(B13,AssociatedElements!B$2:B2951,1,FALSE)),"Not used","")</f>
        <v/>
      </c>
      <c r="B13" s="13" t="inlineStr">
        <is>
          <t>site_access</t>
        </is>
      </c>
      <c r="C13" s="13" t="inlineStr">
        <is>
          <t>Site access</t>
        </is>
      </c>
      <c r="D13" s="14" t="inlineStr">
        <is>
          <t>The working position could not be reached or occupied - haul road blocked, platform not yet constructed or handed over, or the area still occupied by preceding works.</t>
        </is>
      </c>
      <c r="E13" s="13" t="inlineStr">
        <is>
          <t>string</t>
        </is>
      </c>
      <c r="F13" s="13" t="n"/>
      <c r="G13" s="9" t="inlineStr">
        <is>
          <t>DIGGS</t>
        </is>
      </c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equipment_breakdown</t>
        </is>
      </c>
      <c r="C2" t="inlineStr">
        <is>
          <t>//diggs:DelayEvent/diggs:delayType</t>
        </is>
      </c>
    </row>
    <row r="3">
      <c r="A3">
        <f>IF(ISNA(VLOOKUP(B3,Definitions!B$2:B$1839,1,FALSE)),"Not listed","")</f>
        <v/>
      </c>
      <c r="B3" s="20" t="inlineStr">
        <is>
          <t>scheduled_maintenance</t>
        </is>
      </c>
      <c r="C3" t="inlineStr">
        <is>
          <t>//diggs:DelayEvent/diggs:delayType</t>
        </is>
      </c>
    </row>
    <row r="4">
      <c r="A4">
        <f>IF(ISNA(VLOOKUP(B4,Definitions!B$2:B$1839,1,FALSE)),"Not listed","")</f>
        <v/>
      </c>
      <c r="B4" s="2" t="inlineStr">
        <is>
          <t>rig_move</t>
        </is>
      </c>
      <c r="C4" t="inlineStr">
        <is>
          <t>//diggs:DelayEvent/diggs:delayType</t>
        </is>
      </c>
    </row>
    <row r="5">
      <c r="A5">
        <f>IF(ISNA(VLOOKUP(B5,Definitions!B$2:B$1839,1,FALSE)),"Not listed","")</f>
        <v/>
      </c>
      <c r="B5" s="2" t="inlineStr">
        <is>
          <t>standby</t>
        </is>
      </c>
      <c r="C5" t="inlineStr">
        <is>
          <t>//diggs:DelayEvent/diggs:delayType</t>
        </is>
      </c>
    </row>
    <row r="6">
      <c r="A6">
        <f>IF(ISNA(VLOOKUP(B6,Definitions!B$2:B$1839,1,FALSE)),"Not listed","")</f>
        <v/>
      </c>
      <c r="B6" s="2" t="inlineStr">
        <is>
          <t>materials_delay</t>
        </is>
      </c>
      <c r="C6" t="inlineStr">
        <is>
          <t>//diggs:DelayEvent/diggs:delayType</t>
        </is>
      </c>
    </row>
    <row r="7">
      <c r="A7">
        <f>IF(ISNA(VLOOKUP(B7,Definitions!B$2:B$1839,1,FALSE)),"Not listed","")</f>
        <v/>
      </c>
      <c r="B7" s="2" t="inlineStr">
        <is>
          <t>weather</t>
        </is>
      </c>
      <c r="C7" t="inlineStr">
        <is>
          <t>//diggs:DelayEvent/diggs:delayType</t>
        </is>
      </c>
    </row>
    <row r="8">
      <c r="A8">
        <f>IF(ISNA(VLOOKUP(B8,Definitions!B$2:B$1839,1,FALSE)),"Not listed","")</f>
        <v/>
      </c>
      <c r="B8" s="2" t="inlineStr">
        <is>
          <t>ground_conditions</t>
        </is>
      </c>
      <c r="C8" t="inlineStr">
        <is>
          <t>//diggs:DelayEvent/diggs:delayType</t>
        </is>
      </c>
    </row>
    <row r="9">
      <c r="A9">
        <f>IF(ISNA(VLOOKUP(B9,Definitions!B$2:B$1839,1,FALSE)),"Not listed","")</f>
        <v/>
      </c>
      <c r="B9" s="2" t="inlineStr">
        <is>
          <t>utility_conflict</t>
        </is>
      </c>
      <c r="C9" t="inlineStr">
        <is>
          <t>//diggs:DelayEvent/diggs:delayType</t>
        </is>
      </c>
    </row>
    <row r="10">
      <c r="A10">
        <f>IF(ISNA(VLOOKUP(B10,Definitions!B$2:B$1839,1,FALSE)),"Not listed","")</f>
        <v/>
      </c>
      <c r="B10" s="20" t="inlineStr">
        <is>
          <t>quality_hold</t>
        </is>
      </c>
      <c r="C10" t="inlineStr">
        <is>
          <t>//diggs:DelayEvent/diggs:delayType</t>
        </is>
      </c>
    </row>
    <row r="11">
      <c r="A11">
        <f>IF(ISNA(VLOOKUP(B11,Definitions!B$2:B$1839,1,FALSE)),"Not listed","")</f>
        <v/>
      </c>
      <c r="B11" s="20" t="inlineStr">
        <is>
          <t>safety_stand_down</t>
        </is>
      </c>
      <c r="C11" t="inlineStr">
        <is>
          <t>//diggs:DelayEvent/diggs:delayType</t>
        </is>
      </c>
    </row>
    <row r="12">
      <c r="A12">
        <f>IF(ISNA(VLOOKUP(B12,Definitions!B$2:B$1839,1,FALSE)),"Not listed","")</f>
        <v/>
      </c>
      <c r="B12" s="20" t="inlineStr">
        <is>
          <t>procedural_wait</t>
        </is>
      </c>
      <c r="C12" t="inlineStr">
        <is>
          <t>//diggs:DelayEvent/diggs:delayType</t>
        </is>
      </c>
    </row>
    <row r="13">
      <c r="A13">
        <f>IF(ISNA(VLOOKUP(B13,Definitions!B$2:B$1839,1,FALSE)),"Not listed","")</f>
        <v/>
      </c>
      <c r="B13" s="20" t="inlineStr">
        <is>
          <t>site_access</t>
        </is>
      </c>
      <c r="C13" t="inlineStr">
        <is>
          <t>//diggs:DelayEvent/diggs:delayType</t>
        </is>
      </c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2026-09-01T08:34:21Z</dcterms:modified>
  <cp:lastModifiedBy>Ponti, Daniel J</cp:lastModifiedBy>
</cp:coreProperties>
</file>