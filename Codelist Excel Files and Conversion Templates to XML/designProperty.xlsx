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plan (horizontal) distance between the as-built position of the element (its reference point) and its designed position - the radial form of a position tolerance. Use easting_position_deviation and northing_position_deviation where a tolerance is stated per axis.</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Use diameter_deviation where a requirement is stated against the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Use length_deviation where a requirement is stated against the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or range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double</t>
        </is>
      </c>
      <c r="F18" s="18" t="inlineStr">
        <is>
          <t>dimensionless</t>
        </is>
      </c>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 A sampling is identified by the creation time of its specimens (extractionTime) or, where that is not recorded, by the casting date derived from the test date and the specimen age at test in days; specimens cast from one sampling share that time, so distinct creation times count samplings. Evaluated per batch against its total batch volume.</t>
        </is>
      </c>
      <c r="E21" s="18" t="inlineStr">
        <is>
          <t>string</t>
        </is>
      </c>
      <c r="F21" s="18" t="n"/>
      <c r="G21" s="9" t="inlineStr">
        <is>
          <t>DIGGS</t>
        </is>
      </c>
    </row>
    <row r="22">
      <c r="A22" s="2">
        <f>IF(ISNA(VLOOKUP(B22,AssociatedElements!B$2:B2960,1,FALSE)),"Not used","")</f>
        <v/>
      </c>
      <c r="B22" s="13" t="inlineStr">
        <is>
          <t>easting_position_deviation</t>
        </is>
      </c>
      <c r="C22" s="18" t="inlineStr">
        <is>
          <t>Easting position deviation</t>
        </is>
      </c>
      <c r="D22" s="19" t="inlineStr">
        <is>
          <t>The signed offset, along the easting axis of the project horizontal CRS, of the as-built position of the element from its designed position (positive towards increasing easting). The per-axis form of a position tolerance; the as-built and designed positions must be stated in the same CRS, and the axes are taken from its definition; see position for the radial form.</t>
        </is>
      </c>
      <c r="E22" s="18" t="inlineStr">
        <is>
          <t>double</t>
        </is>
      </c>
      <c r="F22" s="18" t="inlineStr">
        <is>
          <t>length</t>
        </is>
      </c>
      <c r="G22" s="9" t="inlineStr">
        <is>
          <t>DIGGS</t>
        </is>
      </c>
    </row>
    <row r="23">
      <c r="A23" s="2">
        <f>IF(ISNA(VLOOKUP(B23,AssociatedElements!B$2:B2961,1,FALSE)),"Not used","")</f>
        <v/>
      </c>
      <c r="B23" s="13" t="inlineStr">
        <is>
          <t>northing_position_deviation</t>
        </is>
      </c>
      <c r="C23" s="18" t="inlineStr">
        <is>
          <t>Northing position deviation</t>
        </is>
      </c>
      <c r="D23" s="19" t="inlineStr">
        <is>
          <t>The signed offset, along the northing axis of the project horizontal CRS, of the as-built position of the element from its designed position (positive towards increasing northing). The per-axis form of a position tolerance; the as-built and designed positions must be stated in the same CRS, and the axes are taken from its definition; see position for the radial form.</t>
        </is>
      </c>
      <c r="E23" s="18" t="inlineStr">
        <is>
          <t>double</t>
        </is>
      </c>
      <c r="F23" s="18" t="inlineStr">
        <is>
          <t>length</t>
        </is>
      </c>
      <c r="G23" s="9" t="inlineStr">
        <is>
          <t>DIGGS</t>
        </is>
      </c>
    </row>
    <row r="24">
      <c r="A24" s="2">
        <f>IF(ISNA(VLOOKUP(B24,AssociatedElements!B$2:B2962,1,FALSE)),"Not used","")</f>
        <v/>
      </c>
      <c r="B24" t="inlineStr">
        <is>
          <t>length_deviation</t>
        </is>
      </c>
      <c r="C24" t="inlineStr">
        <is>
          <t>Length deviation</t>
        </is>
      </c>
      <c r="D24" s="16" t="inlineStr">
        <is>
          <t>The as-built length of the element minus its designed length, signed: negative where the element is shorter than designed. Use it where a requirement limits the shortfall or excess against design; length states the absolute as-built length.</t>
        </is>
      </c>
      <c r="E24" t="inlineStr">
        <is>
          <t>double</t>
        </is>
      </c>
      <c r="F24" t="inlineStr">
        <is>
          <t>length</t>
        </is>
      </c>
      <c r="G24" s="9" t="inlineStr">
        <is>
          <t>DIGGS</t>
        </is>
      </c>
    </row>
    <row r="25">
      <c r="A25" s="2">
        <f>IF(ISNA(VLOOKUP(B25,AssociatedElements!B$2:B2963,1,FALSE)),"Not used","")</f>
        <v/>
      </c>
      <c r="B25" s="13" t="inlineStr">
        <is>
          <t>penetration_over_interval</t>
        </is>
      </c>
      <c r="C25" s="13" t="inlineStr">
        <is>
          <t>Penetration over an interval</t>
        </is>
      </c>
      <c r="D25" t="inlineStr">
        <is>
          <t>The distance the installation tool advances into the ground over a stated interval of time - for example less than 50 mm over two consecutive minutes as a drilling refusal rule. The interval is stated by an evidenceCondition (interval_duration) on the criterion. Distinct from penetration_rate, which is the same advance expressed per unit time. Evaluated on the construction activity that formed the element, from its installation record: the depth gained over the window of that duration that ends when the tool first reaches its maximum depth, so a refusal rule judges the last push before termination and not the pause at total depth. Depth is positive downward.</t>
        </is>
      </c>
      <c r="E25" s="13" t="inlineStr">
        <is>
          <t>double</t>
        </is>
      </c>
      <c r="F25" s="13" t="inlineStr">
        <is>
          <t>length</t>
        </is>
      </c>
      <c r="G25" s="9" t="inlineStr">
        <is>
          <t>DIGGS</t>
        </is>
      </c>
    </row>
    <row r="26">
      <c r="A26" s="2">
        <f>IF(ISNA(VLOOKUP(B26,AssociatedElements!B$2:B2964,1,FALSE)),"Not used","")</f>
        <v/>
      </c>
      <c r="B26" s="13" t="inlineStr">
        <is>
          <t>discharge_time</t>
        </is>
      </c>
      <c r="C26" s="13" t="inlineStr">
        <is>
          <t>Discharge time</t>
        </is>
      </c>
      <c r="D26" t="inlineStr">
        <is>
          <t>The time elapsed from the introduction of mixing water to the end of discharge of the mix at the point of placement - a limit on how long a grout or concrete batch may take to be placed. Evaluated on the element that received the batch: the end of its installation record where one exists (the activity start plus the last elapsed time of a time-interval-list domain, the last time of a time-position-list domain, or the last time of an instant domain), otherwise the end of its whenConstructed interval, less the start of the batch's sampling (mixing) activity. The two times must be recorded to a resolution at least as fine as the unit of the limit (hours need a time of day; days need only a date); otherwise the value is not evaluable.</t>
        </is>
      </c>
      <c r="E26" s="13" t="inlineStr">
        <is>
          <t>double</t>
        </is>
      </c>
      <c r="F26" s="13" t="inlineStr">
        <is>
          <t>time</t>
        </is>
      </c>
      <c r="G26" s="9" t="inlineStr">
        <is>
          <t>DIGGS</t>
        </is>
      </c>
    </row>
    <row r="27">
      <c r="A27" s="2">
        <f>IF(ISNA(VLOOKUP(B27,AssociatedElements!B$2:B2965,1,FALSE)),"Not used","")</f>
        <v/>
      </c>
      <c r="B27" s="13" t="inlineStr">
        <is>
          <t>diameter_deviation</t>
        </is>
      </c>
      <c r="C27" s="13" t="inlineStr">
        <is>
          <t>Diameter deviation</t>
        </is>
      </c>
      <c r="D27" s="15" t="inlineStr">
        <is>
          <t>The as-built diameter of the element minus its designed diameter, signed: negative where the element is narrower than designed. Use it where a requirement limits the deviation from the designed diameter; diameter states the absolute as-built diameter.</t>
        </is>
      </c>
      <c r="E27" s="13" t="inlineStr">
        <is>
          <t>double</t>
        </is>
      </c>
      <c r="F27" s="13" t="inlineStr">
        <is>
          <t>length</t>
        </is>
      </c>
      <c r="G27" s="9" t="inlineStr">
        <is>
          <t>DIGGS</t>
        </is>
      </c>
    </row>
    <row r="28">
      <c r="A28" s="2">
        <f>IF(ISNA(VLOOKUP(B28,AssociatedElements!B$2:B2966,1,FALSE)),"Not used","")</f>
        <v/>
      </c>
      <c r="B28" s="13" t="inlineStr">
        <is>
          <t>maximum_test_stress</t>
        </is>
      </c>
      <c r="C28" s="13" t="inlineStr">
        <is>
          <t>Maximum test stress</t>
        </is>
      </c>
      <c r="D28" s="14" t="inlineStr">
        <is>
          <t>The highest stress a load test is taken to - the largest stress applied through the bearing plate or loaded footprint during the test. A requirement on how the test is run, stated as a minimum the test must reach (for example 150 % of the design bearing pressure). Compared with the maxTestStress of the test's procedure.</t>
        </is>
      </c>
      <c r="E28" s="13" t="inlineStr">
        <is>
          <t>double</t>
        </is>
      </c>
      <c r="F28" s="13" t="inlineStr">
        <is>
          <t>pressure</t>
        </is>
      </c>
      <c r="G28" s="9" t="inlineStr">
        <is>
          <t>DIGGS</t>
        </is>
      </c>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inlineStr">
        <is>
          <t>easting_position_deviation</t>
        </is>
      </c>
      <c r="C22" t="inlineStr">
        <is>
          <t>//diggs:parameterName</t>
        </is>
      </c>
      <c r="D22" t="inlineStr">
        <is>
          <t>ancestor::diggs:DesignConformanceCriterion</t>
        </is>
      </c>
    </row>
    <row r="23">
      <c r="A23">
        <f>IF(ISNA(VLOOKUP(B23,Definitions!B$2:B$1839,1,FALSE)),"Not listed","")</f>
        <v/>
      </c>
      <c r="B23" s="20" t="inlineStr">
        <is>
          <t>northing_position_deviation</t>
        </is>
      </c>
      <c r="C23" t="inlineStr">
        <is>
          <t>//diggs:parameterName</t>
        </is>
      </c>
      <c r="D23" t="inlineStr">
        <is>
          <t>ancestor::diggs:DesignConformanceCriterion</t>
        </is>
      </c>
    </row>
    <row r="24">
      <c r="A24">
        <f>IF(ISNA(VLOOKUP(B24,Definitions!B$2:B$1839,1,FALSE)),"Not listed","")</f>
        <v/>
      </c>
      <c r="B24" s="2" t="inlineStr">
        <is>
          <t>length_deviation</t>
        </is>
      </c>
      <c r="C24" t="inlineStr">
        <is>
          <t>//diggs:parameterName</t>
        </is>
      </c>
      <c r="D24" t="inlineStr">
        <is>
          <t>ancestor::diggs:DesignConformanceCriterion</t>
        </is>
      </c>
    </row>
    <row r="25">
      <c r="A25">
        <f>IF(ISNA(VLOOKUP(B25,Definitions!B$2:B$1839,1,FALSE)),"Not listed","")</f>
        <v/>
      </c>
      <c r="B25" s="2" t="inlineStr">
        <is>
          <t>penetration_over_interval</t>
        </is>
      </c>
      <c r="C25" t="inlineStr">
        <is>
          <t>//diggs:parameterName</t>
        </is>
      </c>
      <c r="D25" t="inlineStr">
        <is>
          <t>ancestor::diggs:DesignConformanceCriterion</t>
        </is>
      </c>
    </row>
    <row r="26">
      <c r="A26">
        <f>IF(ISNA(VLOOKUP(B26,Definitions!B$2:B$1839,1,FALSE)),"Not listed","")</f>
        <v/>
      </c>
      <c r="B26" s="2" t="inlineStr">
        <is>
          <t>discharge_time</t>
        </is>
      </c>
      <c r="C26" t="inlineStr">
        <is>
          <t>//diggs:parameterName</t>
        </is>
      </c>
      <c r="D26" t="inlineStr">
        <is>
          <t>ancestor::diggs:DesignConformanceCriterion</t>
        </is>
      </c>
    </row>
    <row r="27">
      <c r="A27">
        <f>IF(ISNA(VLOOKUP(B27,Definitions!B$2:B$1839,1,FALSE)),"Not listed","")</f>
        <v/>
      </c>
      <c r="B27" s="13" t="inlineStr">
        <is>
          <t>diameter_deviation</t>
        </is>
      </c>
      <c r="C27" t="inlineStr">
        <is>
          <t>//diggs:parameterName</t>
        </is>
      </c>
      <c r="D27" t="inlineStr">
        <is>
          <t>ancestor::diggs:DesignConformanceCriterion</t>
        </is>
      </c>
    </row>
    <row r="28">
      <c r="A28">
        <f>IF(ISNA(VLOOKUP(B28,Definitions!B$2:B$1839,1,FALSE)),"Not listed","")</f>
        <v/>
      </c>
      <c r="B28" s="13" t="inlineStr">
        <is>
          <t>maximum_test_stress</t>
        </is>
      </c>
      <c r="C28" t="inlineStr">
        <is>
          <t>//diggs:parameterName</t>
        </is>
      </c>
      <c r="D28" t="inlineStr">
        <is>
          <t>ancestor::diggs:DesignConformanceCriterion</t>
        </is>
      </c>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direct</t>
        </is>
      </c>
      <c r="E4"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$p := tokenize(normalize-space(diggs:referencePoint//gml:pos),'\s+'), $dx := number($p[1]) - (number($o[1]) + $i*number($a[1]) + $j*number($b[1])), $dy := number($p[2]) - (number($o[2]) + $i*number($a[2]) + $j*number($b[2])) return math:sqrt($dx*$dx + $dy*$dy)) else ()) else ()</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direct</t>
        </is>
      </c>
      <c r="E8" t="inlineStr">
        <is>
          <t>diggs:columnDiameter</t>
        </is>
      </c>
    </row>
    <row r="9">
      <c r="A9">
        <f>IF(ISNA(VLOOKUP(B9,Definitions!B$2:B$1839,1,FALSE)),"Not listed","")</f>
        <v/>
      </c>
      <c r="B9" t="inlineStr">
        <is>
          <t>length</t>
        </is>
      </c>
      <c r="D9" t="inlineStr">
        <is>
          <t>direct</t>
        </is>
      </c>
      <c r="E9" t="inlineStr">
        <is>
          <t>diggs:columnLength</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c r="B18" t="inlineStr">
        <is>
          <t>easting_position_deviation</t>
        </is>
      </c>
      <c r="D18" t="inlineStr">
        <is>
          <t>difference</t>
        </is>
      </c>
      <c r="E18" t="inlineStr">
        <is>
          <t>number(tokenize(normalize-space(diggs:referencePoint//gml:pos),'\s+')[1])</t>
        </is>
      </c>
      <c r="F18" t="inlineStr">
        <is>
          <t>number(tokenize(normalize-space(diggs:scope/diggs:SFDesignScope/diggs:targetPosition//gml:pos),'\s+')[1])</t>
        </is>
      </c>
      <c r="G18" t="inlineStr">
        <is>
          <t>design</t>
        </is>
      </c>
    </row>
    <row r="19">
      <c r="A19">
        <f>IF(ISNA(VLOOKUP(B19,Definitions!B$2:B$1839,1,FALSE)),"Not listed","")</f>
        <v/>
      </c>
      <c r="B19" t="inlineStr">
        <is>
          <t>northing_position_deviation</t>
        </is>
      </c>
      <c r="D19" t="inlineStr">
        <is>
          <t>difference</t>
        </is>
      </c>
      <c r="E19" t="inlineStr">
        <is>
          <t>number(tokenize(normalize-space(diggs:referencePoint//gml:pos),'\s+')[2])</t>
        </is>
      </c>
      <c r="F19" t="inlineStr">
        <is>
          <t>number(tokenize(normalize-space(diggs:scope/diggs:SFDesignScope/diggs:targetPosition//gml:pos),'\s+')[2])</t>
        </is>
      </c>
      <c r="G19" t="inlineStr">
        <is>
          <t>design</t>
        </is>
      </c>
    </row>
    <row r="20">
      <c r="A20">
        <f>IF(ISNA(VLOOKUP(B20,Definitions!B$2:B$1839,1,FALSE)),"Not listed","")</f>
        <v/>
      </c>
      <c r="B20" t="inlineStr">
        <is>
          <t>length_deviation</t>
        </is>
      </c>
      <c r="D20" t="inlineStr">
        <is>
          <t>difference</t>
        </is>
      </c>
      <c r="E20" t="inlineStr">
        <is>
          <t>diggs:columnLength</t>
        </is>
      </c>
      <c r="F20" t="inlineStr">
        <is>
          <t>diggs:columnLength</t>
        </is>
      </c>
      <c r="G20" t="inlineStr">
        <is>
          <t>design</t>
        </is>
      </c>
    </row>
    <row r="21">
      <c r="A21">
        <f>IF(ISNA(VLOOKUP(B21,Definitions!B$2:B$1839,1,FALSE)),"Not listed","")</f>
        <v/>
      </c>
      <c r="B21" t="inlineStr">
        <is>
          <t>easting_position_deviation</t>
        </is>
      </c>
      <c r="D21" t="inlineStr">
        <is>
          <t>direct</t>
        </is>
      </c>
      <c r="E21"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number(tokenize(normalize-space(diggs:referencePoint//gml:pos),'\s+')[1]) - (number($o[1]) + $i*number($a[1]) + $j*number($b[1]))) else ()) else ()</t>
        </is>
      </c>
    </row>
    <row r="22">
      <c r="A22">
        <f>IF(ISNA(VLOOKUP(B22,Definitions!B$2:B$1839,1,FALSE)),"Not listed","")</f>
        <v/>
      </c>
      <c r="B22" t="inlineStr">
        <is>
          <t>northing_position_deviation</t>
        </is>
      </c>
      <c r="D22" t="inlineStr">
        <is>
          <t>direct</t>
        </is>
      </c>
      <c r="E22"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number(tokenize(normalize-space(diggs:referencePoint//gml:pos),'\s+')[2]) - (number($o[2]) + $i*number($a[2]) + $j*number($b[2]))) else ()) else ()</t>
        </is>
      </c>
    </row>
    <row r="23">
      <c r="A23">
        <f>IF(ISNA(VLOOKUP(B23,Definitions!B$2:B$1839,1,FALSE)),"Not listed","")</f>
        <v/>
      </c>
      <c r="B23" t="inlineStr">
        <is>
          <t>diameter_deviation</t>
        </is>
      </c>
      <c r="D23" t="inlineStr">
        <is>
          <t>difference</t>
        </is>
      </c>
      <c r="E23" t="inlineStr">
        <is>
          <t>diggs:columnDiameter</t>
        </is>
      </c>
      <c r="F23" t="inlineStr">
        <is>
          <t>diggs:columnDiameter</t>
        </is>
      </c>
      <c r="G23" t="inlineStr">
        <is>
          <t>design</t>
        </is>
      </c>
    </row>
    <row r="24">
      <c r="A24">
        <f>IF(ISNA(VLOOKUP(B24,Definitions!B$2:B$1839,1,FALSE)),"Not listed","")</f>
        <v/>
      </c>
      <c r="B24" t="inlineStr">
        <is>
          <t>discharge_time</t>
        </is>
      </c>
      <c r="C24" t="inlineStr">
        <is>
          <t>diggs:RIColumn</t>
        </is>
      </c>
      <c r="D24" t="inlineStr">
        <is>
          <t>difference</t>
        </is>
      </c>
      <c r="E24" t="inlineStr">
        <is>
          <t>let $id := concat('#', @gml:id), $a := (root(.)//diggs:RIColumnConstruction[diggs:samplingFeatureRef/@xlink:href = $id][.//diggs:TimeIntervalList[@unit = 'second']])[1] return if (exists($a)) then xs:dateTime($a/diggs:activityDateTime//diggs:start) + xs:dayTimeDuration(concat('PT', tokenize(normalize-space($a//diggs:TimeIntervalList/diggs:timeIntervalList), '\s+')[last()], 'S')) else ()</t>
        </is>
      </c>
      <c r="F24" t="inlineStr">
        <is>
          <t>(diggs:samplingDate | diggs:deref(diggs:samplingActivityRef)/diggs:samplingDate)/diggs:TimeInterval/diggs:start</t>
        </is>
      </c>
      <c r="G24" t="inlineStr">
        <is>
          <t>evidence</t>
        </is>
      </c>
    </row>
    <row r="25">
      <c r="A25">
        <f>IF(ISNA(VLOOKUP(B25,Definitions!B$2:B$1839,1,FALSE)),"Not listed","")</f>
        <v/>
      </c>
      <c r="B25" t="inlineStr">
        <is>
          <t>discharge_time</t>
        </is>
      </c>
      <c r="C25" t="inlineStr">
        <is>
          <t>diggs:RIColumn</t>
        </is>
      </c>
      <c r="D25" t="inlineStr">
        <is>
          <t>difference</t>
        </is>
      </c>
      <c r="E25" t="inlineStr">
        <is>
          <t>let $id := concat('#', @gml:id), $a := (root(.)//diggs:RIColumnConstruction[diggs:samplingFeatureRef/@xlink:href = $id][.//diggs:TimePositionList])[1] return if (exists($a)) then tokenize(normalize-space($a//diggs:TimePositionList/diggs:timePositionList), '\s+')[last()] else ()</t>
        </is>
      </c>
      <c r="F25" t="inlineStr">
        <is>
          <t>(diggs:samplingDate | diggs:deref(diggs:samplingActivityRef)/diggs:samplingDate)/diggs:TimeInterval/diggs:start</t>
        </is>
      </c>
      <c r="G25" t="inlineStr">
        <is>
          <t>evidence</t>
        </is>
      </c>
    </row>
    <row r="26">
      <c r="A26">
        <f>IF(ISNA(VLOOKUP(B26,Definitions!B$2:B$1839,1,FALSE)),"Not listed","")</f>
        <v/>
      </c>
      <c r="B26" t="inlineStr">
        <is>
          <t>discharge_time</t>
        </is>
      </c>
      <c r="C26" t="inlineStr">
        <is>
          <t>diggs:RIColumn</t>
        </is>
      </c>
      <c r="D26" t="inlineStr">
        <is>
          <t>difference</t>
        </is>
      </c>
      <c r="E26" t="inlineStr">
        <is>
          <t>let $id := concat('#', @gml:id) return sort(root(.)//diggs:RIColumnConstruction[diggs:samplingFeatureRef/@xlink:href = $id]/diggs:installationRecord//diggs:timeDomain//(gml:timePosition | gml:endPosition | diggs:end))[last()]</t>
        </is>
      </c>
      <c r="F26" t="inlineStr">
        <is>
          <t>(diggs:samplingDate | diggs:deref(diggs:samplingActivityRef)/diggs:samplingDate)/diggs:TimeInterval/diggs:start</t>
        </is>
      </c>
      <c r="G26" t="inlineStr">
        <is>
          <t>evidence</t>
        </is>
      </c>
    </row>
    <row r="27">
      <c r="A27">
        <f>IF(ISNA(VLOOKUP(B27,Definitions!B$2:B$1839,1,FALSE)),"Not listed","")</f>
        <v/>
      </c>
      <c r="B27" t="inlineStr">
        <is>
          <t>discharge_time</t>
        </is>
      </c>
      <c r="C27" t="inlineStr">
        <is>
          <t>diggs:RIColumn</t>
        </is>
      </c>
      <c r="D27" t="inlineStr">
        <is>
          <t>difference</t>
        </is>
      </c>
      <c r="E27" t="inlineStr">
        <is>
          <t>diggs:whenConstructed//diggs:end</t>
        </is>
      </c>
      <c r="F27" t="inlineStr">
        <is>
          <t>(diggs:samplingDate | diggs:deref(diggs:samplingActivityRef)/diggs:samplingDate)/diggs:TimeInterval/diggs:start</t>
        </is>
      </c>
      <c r="G27" t="inlineStr">
        <is>
          <t>evidence</t>
        </is>
      </c>
    </row>
    <row r="28">
      <c r="A28">
        <f>IF(ISNA(VLOOKUP(B28,Definitions!B$2:B$1839,1,FALSE)),"Not listed","")</f>
        <v/>
      </c>
      <c r="B28" t="inlineStr">
        <is>
          <t>sampling_frequency</t>
        </is>
      </c>
      <c r="C28" t="inlineStr">
        <is>
          <t>diggs:GroutBatch</t>
        </is>
      </c>
      <c r="D28" t="inlineStr">
        <is>
          <t>frequency</t>
        </is>
      </c>
      <c r="E28" t="inlineStr">
        <is>
          <t>distinct-values($evidence//diggs:GroutSpecimen/diggs:extractionTime/normalize-space(.))</t>
        </is>
      </c>
      <c r="I28" t="inlineStr">
        <is>
          <t>diggs:totalBatchVolume</t>
        </is>
      </c>
    </row>
    <row r="29">
      <c r="A29">
        <f>IF(ISNA(VLOOKUP(B29,Definitions!B$2:B$1839,1,FALSE)),"Not listed","")</f>
        <v/>
      </c>
      <c r="B29" t="inlineStr">
        <is>
          <t>sampling_frequency</t>
        </is>
      </c>
      <c r="C29" t="inlineStr">
        <is>
          <t>diggs:GroutBatch</t>
        </is>
      </c>
      <c r="D29" t="inlineStr">
        <is>
          <t>frequency</t>
        </is>
      </c>
      <c r="E29" t="inlineStr">
        <is>
          <t>distinct-values(for $s in $evidence//diggs:GroutSpecimen[diggs:ageAtTest[@uom='d']] return string(xs:date(substring(string($s/ancestor::diggs:MaterialTest/diggs:samplingTime//gml:timePosition), 1, 10)) - xs:dayTimeDuration(concat('P', $s/diggs:ageAtTest, 'D'))))</t>
        </is>
      </c>
      <c r="I29" t="inlineStr">
        <is>
          <t>diggs:totalBatchVolume</t>
        </is>
      </c>
    </row>
    <row r="30">
      <c r="A30">
        <f>IF(ISNA(VLOOKUP(B30,Definitions!B$2:B$1839,1,FALSE)),"Not listed","")</f>
        <v/>
      </c>
      <c r="B30" t="inlineStr">
        <is>
          <t>penetration_over_interval</t>
        </is>
      </c>
      <c r="C30" t="inlineStr">
        <is>
          <t>diggs:RIColumnConstruction</t>
        </is>
      </c>
      <c r="D30" t="inlineStr">
        <is>
          <t>change_over_window</t>
        </is>
      </c>
      <c r="E30" t="inlineStr">
        <is>
          <t>diggs:series((descendant-or-self::diggs:RIInstallationRecord[.//diggs:propertyClass/@codeSpace[ends-with(., '#depth')]])[1], 'depth')</t>
        </is>
      </c>
      <c r="F30" t="inlineStr">
        <is>
          <t>let $s := diggs:series((descendant-or-self::diggs:RIInstallationRecord[.//diggs:propertyClass/@codeSpace[ends-with(., '#depth')]])[1], 'depth'), $m := max($s ! ?2) return ($s[?2 = $m])[1]?1</t>
        </is>
      </c>
      <c r="G30" t="inlineStr">
        <is>
          <t>subject</t>
        </is>
      </c>
    </row>
    <row r="31">
      <c r="A31">
        <f>IF(ISNA(VLOOKUP(B31,Definitions!B$2:B$1839,1,FALSE)),"Not listed","")</f>
        <v/>
      </c>
      <c r="B31" t="inlineStr">
        <is>
          <t>maximum_test_stress</t>
        </is>
      </c>
      <c r="D31" t="inlineStr">
        <is>
          <t>direct</t>
        </is>
      </c>
      <c r="E31" t="inlineStr">
        <is>
          <t>diggs:procedure/*/diggs:maxTestStress</t>
        </is>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2026-10-05T06:59:04Z</dcterms:modified>
  <cp:lastModifiedBy>Ponti, Daniel J</cp:lastModifiedBy>
</cp:coreProperties>
</file>