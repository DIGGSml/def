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constructional, compositional or procedural property checked against what the design or specification requires,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plan (horizontal) distance between the as-built position of the element (its reference point) and its designed position - the radial form of a position tolerance. Use easting_position_deviation and northing_position_deviation where a tolerance is stated per axis.</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Use diameter_deviation where a requirement is stated against the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Use length_deviation where a requirement is stated against the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or range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double</t>
        </is>
      </c>
      <c r="F18" s="18" t="inlineStr">
        <is>
          <t>dimensionless</t>
        </is>
      </c>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inlineStr">
        <is>
          <t>sampling_frequency</t>
        </is>
      </c>
      <c r="C21" s="18" t="inlineStr">
        <is>
          <t>Acceptance sampling frequency</t>
        </is>
      </c>
      <c r="D21" s="19" t="inlineStr">
        <is>
          <t>Number of acceptance samplings taken per unit volume of material placed - for example a minimum of 1 sampling per 100 m3 of concrete for compressive strength testing. A requirement on how much testing is done, not on a measured property of the material: it is met by counting the distinct samplings behind the test results, so results reported only as an average cannot show it was met.</t>
        </is>
      </c>
      <c r="E21" s="18" t="inlineStr">
        <is>
          <t>string</t>
        </is>
      </c>
      <c r="F21" s="18" t="n"/>
      <c r="G21" s="9" t="inlineStr">
        <is>
          <t>DIGGS</t>
        </is>
      </c>
    </row>
    <row r="22">
      <c r="A22" s="2">
        <f>IF(ISNA(VLOOKUP(B22,AssociatedElements!B$2:B2960,1,FALSE)),"Not used","")</f>
        <v/>
      </c>
      <c r="B22" s="13" t="inlineStr">
        <is>
          <t>easting_position_deviation</t>
        </is>
      </c>
      <c r="C22" s="18" t="inlineStr">
        <is>
          <t>Easting position deviation</t>
        </is>
      </c>
      <c r="D22" s="19" t="inlineStr">
        <is>
          <t>The signed offset, along the easting axis of the project horizontal CRS, of the as-built position of the element from its designed position (positive towards increasing easting). The per-axis form of a position tolerance; the as-built and designed positions must be stated in the same CRS, and the axes are taken from its definition; see position for the radial form.</t>
        </is>
      </c>
      <c r="E22" s="18" t="inlineStr">
        <is>
          <t>double</t>
        </is>
      </c>
      <c r="F22" s="18" t="inlineStr">
        <is>
          <t>length</t>
        </is>
      </c>
      <c r="G22" s="9" t="inlineStr">
        <is>
          <t>DIGGS</t>
        </is>
      </c>
    </row>
    <row r="23">
      <c r="A23" s="2">
        <f>IF(ISNA(VLOOKUP(B23,AssociatedElements!B$2:B2961,1,FALSE)),"Not used","")</f>
        <v/>
      </c>
      <c r="B23" s="13" t="inlineStr">
        <is>
          <t>northing_position_deviation</t>
        </is>
      </c>
      <c r="C23" s="18" t="inlineStr">
        <is>
          <t>Northing position deviation</t>
        </is>
      </c>
      <c r="D23" s="19" t="inlineStr">
        <is>
          <t>The signed offset, along the northing axis of the project horizontal CRS, of the as-built position of the element from its designed position (positive towards increasing northing). The per-axis form of a position tolerance; the as-built and designed positions must be stated in the same CRS, and the axes are taken from its definition; see position for the radial form.</t>
        </is>
      </c>
      <c r="E23" s="18" t="inlineStr">
        <is>
          <t>double</t>
        </is>
      </c>
      <c r="F23" s="18" t="inlineStr">
        <is>
          <t>length</t>
        </is>
      </c>
      <c r="G23" s="9" t="inlineStr">
        <is>
          <t>DIGGS</t>
        </is>
      </c>
    </row>
    <row r="24">
      <c r="A24" s="2">
        <f>IF(ISNA(VLOOKUP(B24,AssociatedElements!B$2:B2962,1,FALSE)),"Not used","")</f>
        <v/>
      </c>
      <c r="B24" t="inlineStr">
        <is>
          <t>length_deviation</t>
        </is>
      </c>
      <c r="C24" t="inlineStr">
        <is>
          <t>Length deviation</t>
        </is>
      </c>
      <c r="D24" s="16" t="inlineStr">
        <is>
          <t>The as-built length of the element minus its designed length, signed: negative where the element is shorter than designed. Use it where a requirement limits the shortfall or excess against design; length states the absolute as-built length.</t>
        </is>
      </c>
      <c r="E24" t="inlineStr">
        <is>
          <t>double</t>
        </is>
      </c>
      <c r="F24" t="inlineStr">
        <is>
          <t>length</t>
        </is>
      </c>
      <c r="G24" s="9" t="inlineStr">
        <is>
          <t>DIGGS</t>
        </is>
      </c>
    </row>
    <row r="25">
      <c r="A25" s="2">
        <f>IF(ISNA(VLOOKUP(B25,AssociatedElements!B$2:B2963,1,FALSE)),"Not used","")</f>
        <v/>
      </c>
      <c r="B25" s="13" t="inlineStr">
        <is>
          <t>penetration_over_interval</t>
        </is>
      </c>
      <c r="C25" s="13" t="inlineStr">
        <is>
          <t>Penetration over an interval</t>
        </is>
      </c>
      <c r="D25" t="inlineStr">
        <is>
          <t>The distance the installation tool advances into the ground over a stated interval of time - for example less than 50 mm over two consecutive minutes as a drilling refusal rule. The interval is stated by an evidenceCondition (interval_duration) on the criterion. Distinct from penetration_rate, which is the same advance expressed per unit time.</t>
        </is>
      </c>
      <c r="E25" s="13" t="inlineStr">
        <is>
          <t>double</t>
        </is>
      </c>
      <c r="F25" s="13" t="inlineStr">
        <is>
          <t>length</t>
        </is>
      </c>
      <c r="G25" s="9" t="inlineStr">
        <is>
          <t>DIGGS</t>
        </is>
      </c>
    </row>
    <row r="26">
      <c r="A26" s="2">
        <f>IF(ISNA(VLOOKUP(B26,AssociatedElements!B$2:B2964,1,FALSE)),"Not used","")</f>
        <v/>
      </c>
      <c r="B26" s="13" t="inlineStr">
        <is>
          <t>discharge_time</t>
        </is>
      </c>
      <c r="C26" s="13" t="inlineStr">
        <is>
          <t>Discharge time</t>
        </is>
      </c>
      <c r="D26" t="inlineStr">
        <is>
          <t>The time elapsed from the introduction of mixing water to the end of discharge of the mix at the point of placement - a limit on how long a grout or concrete batch may take to be placed.</t>
        </is>
      </c>
      <c r="E26" s="13" t="inlineStr">
        <is>
          <t>double</t>
        </is>
      </c>
      <c r="F26" s="13" t="inlineStr">
        <is>
          <t>time</t>
        </is>
      </c>
      <c r="G26" s="9" t="inlineStr">
        <is>
          <t>DIGGS</t>
        </is>
      </c>
    </row>
    <row r="27">
      <c r="A27" s="2">
        <f>IF(ISNA(VLOOKUP(B27,AssociatedElements!B$2:B2965,1,FALSE)),"Not used","")</f>
        <v/>
      </c>
      <c r="B27" s="13" t="inlineStr">
        <is>
          <t>diameter_deviation</t>
        </is>
      </c>
      <c r="C27" s="13" t="inlineStr">
        <is>
          <t>Diameter deviation</t>
        </is>
      </c>
      <c r="D27" s="15" t="inlineStr">
        <is>
          <t>The as-built diameter of the element minus its designed diameter, signed: negative where the element is narrower than designed. Use it where a requirement limits the deviation from the designed diameter; diameter states the absolute as-built diameter.</t>
        </is>
      </c>
      <c r="E27" s="13" t="inlineStr">
        <is>
          <t>double</t>
        </is>
      </c>
      <c r="F27" s="13" t="inlineStr">
        <is>
          <t>length</t>
        </is>
      </c>
      <c r="G27" s="9" t="inlineStr">
        <is>
          <t>DIGGS</t>
        </is>
      </c>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inlineStr">
        <is>
          <t>sampling_frequency</t>
        </is>
      </c>
      <c r="C21" t="inlineStr">
        <is>
          <t>//diggs:parameterName</t>
        </is>
      </c>
      <c r="D21" t="inlineStr">
        <is>
          <t>ancestor::diggs:DesignConformanceCriterion</t>
        </is>
      </c>
    </row>
    <row r="22">
      <c r="A22">
        <f>IF(ISNA(VLOOKUP(B22,Definitions!B$2:B$1839,1,FALSE)),"Not listed","")</f>
        <v/>
      </c>
      <c r="B22" s="20" t="inlineStr">
        <is>
          <t>easting_position_deviation</t>
        </is>
      </c>
      <c r="C22" t="inlineStr">
        <is>
          <t>//diggs:parameterName</t>
        </is>
      </c>
      <c r="D22" t="inlineStr">
        <is>
          <t>ancestor::diggs:DesignConformanceCriterion</t>
        </is>
      </c>
    </row>
    <row r="23">
      <c r="A23">
        <f>IF(ISNA(VLOOKUP(B23,Definitions!B$2:B$1839,1,FALSE)),"Not listed","")</f>
        <v/>
      </c>
      <c r="B23" s="20" t="inlineStr">
        <is>
          <t>northing_position_deviation</t>
        </is>
      </c>
      <c r="C23" t="inlineStr">
        <is>
          <t>//diggs:parameterName</t>
        </is>
      </c>
      <c r="D23" t="inlineStr">
        <is>
          <t>ancestor::diggs:DesignConformanceCriterion</t>
        </is>
      </c>
    </row>
    <row r="24">
      <c r="A24">
        <f>IF(ISNA(VLOOKUP(B24,Definitions!B$2:B$1839,1,FALSE)),"Not listed","")</f>
        <v/>
      </c>
      <c r="B24" s="2" t="inlineStr">
        <is>
          <t>length_deviation</t>
        </is>
      </c>
      <c r="C24" t="inlineStr">
        <is>
          <t>//diggs:parameterName</t>
        </is>
      </c>
      <c r="D24" t="inlineStr">
        <is>
          <t>ancestor::diggs:DesignConformanceCriterion</t>
        </is>
      </c>
    </row>
    <row r="25">
      <c r="A25">
        <f>IF(ISNA(VLOOKUP(B25,Definitions!B$2:B$1839,1,FALSE)),"Not listed","")</f>
        <v/>
      </c>
      <c r="B25" s="2" t="inlineStr">
        <is>
          <t>penetration_over_interval</t>
        </is>
      </c>
      <c r="C25" t="inlineStr">
        <is>
          <t>//diggs:parameterName</t>
        </is>
      </c>
      <c r="D25" t="inlineStr">
        <is>
          <t>ancestor::diggs:DesignConformanceCriterion</t>
        </is>
      </c>
    </row>
    <row r="26">
      <c r="A26">
        <f>IF(ISNA(VLOOKUP(B26,Definitions!B$2:B$1839,1,FALSE)),"Not listed","")</f>
        <v/>
      </c>
      <c r="B26" s="2" t="inlineStr">
        <is>
          <t>discharge_time</t>
        </is>
      </c>
      <c r="C26" t="inlineStr">
        <is>
          <t>//diggs:parameterName</t>
        </is>
      </c>
      <c r="D26" t="inlineStr">
        <is>
          <t>ancestor::diggs:DesignConformanceCriterion</t>
        </is>
      </c>
    </row>
    <row r="27">
      <c r="A27">
        <f>IF(ISNA(VLOOKUP(B27,Definitions!B$2:B$1839,1,FALSE)),"Not listed","")</f>
        <v/>
      </c>
      <c r="B27" s="13" t="inlineStr">
        <is>
          <t>diameter_deviation</t>
        </is>
      </c>
      <c r="C27" t="inlineStr">
        <is>
          <t>//diggs:parameterName</t>
        </is>
      </c>
      <c r="D27" t="inlineStr">
        <is>
          <t>ancestor::diggs:DesignConformanceCriterion</t>
        </is>
      </c>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direct</t>
        </is>
      </c>
      <c r="E4"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$p := tokenize(normalize-space(diggs:referencePoint//gml:pos),'\s+'), $dx := number($p[1]) - (number($o[1]) + $i*number($a[1]) + $j*number($b[1])), $dy := number($p[2]) - (number($o[2]) + $i*number($a[2]) + $j*number($b[2])) return math:sqrt($dx*$dx + $dy*$dy)) else ()) else ()</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direct</t>
        </is>
      </c>
      <c r="E8" t="inlineStr">
        <is>
          <t>diggs:columnDiameter</t>
        </is>
      </c>
    </row>
    <row r="9">
      <c r="A9">
        <f>IF(ISNA(VLOOKUP(B9,Definitions!B$2:B$1839,1,FALSE)),"Not listed","")</f>
        <v/>
      </c>
      <c r="B9" t="inlineStr">
        <is>
          <t>length</t>
        </is>
      </c>
      <c r="D9" t="inlineStr">
        <is>
          <t>direct</t>
        </is>
      </c>
      <c r="E9" t="inlineStr">
        <is>
          <t>diggs:columnLength</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c r="B18" t="inlineStr">
        <is>
          <t>easting_position_deviation</t>
        </is>
      </c>
      <c r="D18" t="inlineStr">
        <is>
          <t>difference</t>
        </is>
      </c>
      <c r="E18" t="inlineStr">
        <is>
          <t>number(tokenize(normalize-space(diggs:referencePoint//gml:pos),'\s+')[1])</t>
        </is>
      </c>
      <c r="F18" t="inlineStr">
        <is>
          <t>number(tokenize(normalize-space(diggs:scope/diggs:SFDesignScope/diggs:targetPosition//gml:pos),'\s+')[1])</t>
        </is>
      </c>
      <c r="G18" t="inlineStr">
        <is>
          <t>design</t>
        </is>
      </c>
    </row>
    <row r="19">
      <c r="A19">
        <f>IF(ISNA(VLOOKUP(B19,Definitions!B$2:B$1839,1,FALSE)),"Not listed","")</f>
        <v/>
      </c>
      <c r="B19" t="inlineStr">
        <is>
          <t>northing_position_deviation</t>
        </is>
      </c>
      <c r="D19" t="inlineStr">
        <is>
          <t>difference</t>
        </is>
      </c>
      <c r="E19" t="inlineStr">
        <is>
          <t>number(tokenize(normalize-space(diggs:referencePoint//gml:pos),'\s+')[2])</t>
        </is>
      </c>
      <c r="F19" t="inlineStr">
        <is>
          <t>number(tokenize(normalize-space(diggs:scope/diggs:SFDesignScope/diggs:targetPosition//gml:pos),'\s+')[2])</t>
        </is>
      </c>
      <c r="G19" t="inlineStr">
        <is>
          <t>design</t>
        </is>
      </c>
    </row>
    <row r="20">
      <c r="A20">
        <f>IF(ISNA(VLOOKUP(B20,Definitions!B$2:B$1839,1,FALSE)),"Not listed","")</f>
        <v/>
      </c>
      <c r="B20" t="inlineStr">
        <is>
          <t>length_deviation</t>
        </is>
      </c>
      <c r="D20" t="inlineStr">
        <is>
          <t>difference</t>
        </is>
      </c>
      <c r="E20" t="inlineStr">
        <is>
          <t>diggs:columnLength</t>
        </is>
      </c>
      <c r="F20" t="inlineStr">
        <is>
          <t>diggs:columnLength</t>
        </is>
      </c>
      <c r="G20" t="inlineStr">
        <is>
          <t>design</t>
        </is>
      </c>
    </row>
    <row r="21">
      <c r="A21">
        <f>IF(ISNA(VLOOKUP(B21,Definitions!B$2:B$1839,1,FALSE)),"Not listed","")</f>
        <v/>
      </c>
      <c r="B21" t="inlineStr">
        <is>
          <t>easting_position_deviation</t>
        </is>
      </c>
      <c r="D21" t="inlineStr">
        <is>
          <t>direct</t>
        </is>
      </c>
      <c r="E21"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number(tokenize(normalize-space(diggs:referencePoint//gml:pos),'\s+')[1]) - (number($o[1]) + $i*number($a[1]) + $j*number($b[1]))) else ()) else ()</t>
        </is>
      </c>
    </row>
    <row r="22">
      <c r="A22">
        <f>IF(ISNA(VLOOKUP(B22,Definitions!B$2:B$1839,1,FALSE)),"Not listed","")</f>
        <v/>
      </c>
      <c r="B22" t="inlineStr">
        <is>
          <t>northing_position_deviation</t>
        </is>
      </c>
      <c r="D22" t="inlineStr">
        <is>
          <t>direct</t>
        </is>
      </c>
      <c r="E22"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number(tokenize(normalize-space(diggs:referencePoint//gml:pos),'\s+')[2]) - (number($o[2]) + $i*number($a[2]) + $j*number($b[2]))) else ()) else ()</t>
        </is>
      </c>
    </row>
    <row r="23">
      <c r="A23">
        <f>IF(ISNA(VLOOKUP(B23,Definitions!B$2:B$1839,1,FALSE)),"Not listed","")</f>
        <v/>
      </c>
      <c r="B23" t="inlineStr">
        <is>
          <t>diameter_deviation</t>
        </is>
      </c>
      <c r="D23" t="inlineStr">
        <is>
          <t>difference</t>
        </is>
      </c>
      <c r="E23" t="inlineStr">
        <is>
          <t>diggs:columnDiameter</t>
        </is>
      </c>
      <c r="F23" t="inlineStr">
        <is>
          <t>diggs:columnDiameter</t>
        </is>
      </c>
      <c r="G23" t="inlineStr">
        <is>
          <t>design</t>
        </is>
      </c>
    </row>
    <row r="24">
      <c r="A24">
        <f>IF(ISNA(VLOOKUP(B24,Definitions!B$2:B$1839,1,FALSE)),"Not listed","")</f>
        <v/>
      </c>
    </row>
    <row r="25">
      <c r="A25">
        <f>IF(ISNA(VLOOKUP(B25,Definitions!B$2:B$1839,1,FALSE)),"Not listed","")</f>
        <v/>
      </c>
    </row>
    <row r="26">
      <c r="A26">
        <f>IF(ISNA(VLOOKUP(B26,Definitions!B$2:B$1839,1,FALSE)),"Not listed","")</f>
        <v/>
      </c>
    </row>
    <row r="27">
      <c r="A27">
        <f>IF(ISNA(VLOOKUP(B27,Definitions!B$2:B$1839,1,FALSE)),"Not listed","")</f>
        <v/>
      </c>
    </row>
    <row r="28">
      <c r="A28">
        <f>IF(ISNA(VLOOKUP(B28,Definitions!B$2:B$1839,1,FALSE)),"Not listed","")</f>
        <v/>
      </c>
    </row>
    <row r="29">
      <c r="A29">
        <f>IF(ISNA(VLOOKUP(B29,Definitions!B$2:B$1839,1,FALSE)),"Not listed","")</f>
        <v/>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2026-10-04T05:55:54Z</dcterms:modified>
  <cp:lastModifiedBy>Ponti, Daniel J</cp:lastModifiedBy>
</cp:coreProperties>
</file>