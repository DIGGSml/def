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Use diameter_deviation where a requirement is stated against the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 A sampling is identified by the creation time of its specimens (extractionTime) or, where that is not recorded, by the casting date derived from the test date and the specimen age at test in days; specimens cast from one sampling share that time, so distinct creation times count samplings. Evaluated per batch against its total batch volume.</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position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position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 Evaluated on the construction activity that formed the element, from its installation record: the depth gained over the window of that duration that ends when the tool first reaches its maximum depth, so a refusal rule judges the last push before termination and not the pause at total depth. Depth is positive downward.</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 Evaluated on the element that received the batch: the end of its installation record where one exists (the activity start plus the last elapsed time of a time-interval-list domain, the last time of a time-position-list domain, or the last time of an instant domain), otherwise the end of its whenConstructed interval, less the start of the batch's sampling (mixing) activity. The two times must be recorded to a resolution at least as fine as the unit of the limit (hours need a time of day; days need only a date); otherwise the value is not evaluable.</t>
        </is>
      </c>
      <c r="E26" s="13" t="inlineStr">
        <is>
          <t>double</t>
        </is>
      </c>
      <c r="F26" s="13" t="inlineStr">
        <is>
          <t>time</t>
        </is>
      </c>
      <c r="G26" s="9" t="inlineStr">
        <is>
          <t>DIGGS</t>
        </is>
      </c>
    </row>
    <row r="27">
      <c r="A27" s="2">
        <f>IF(ISNA(VLOOKUP(B27,AssociatedElements!B$2:B2965,1,FALSE)),"Not used","")</f>
        <v/>
      </c>
      <c r="B27" s="13" t="inlineStr">
        <is>
          <t>diameter_deviation</t>
        </is>
      </c>
      <c r="C27" s="13" t="inlineStr">
        <is>
          <t>Diameter deviation</t>
        </is>
      </c>
      <c r="D27" s="15" t="inlineStr">
        <is>
          <t>The as-built diameter of the element minus its designed diameter, signed: negative where the element is narrower than designed. Use it where a requirement limits the deviation from the designed diameter; diameter states the absolute as-built diameter.</t>
        </is>
      </c>
      <c r="E27" s="13" t="inlineStr">
        <is>
          <t>double</t>
        </is>
      </c>
      <c r="F27" s="13" t="inlineStr">
        <is>
          <t>length</t>
        </is>
      </c>
      <c r="G27" s="9" t="inlineStr">
        <is>
          <t>DIGGS</t>
        </is>
      </c>
    </row>
    <row r="28">
      <c r="A28" s="2">
        <f>IF(ISNA(VLOOKUP(B28,AssociatedElements!B$2:B2966,1,FALSE)),"Not used","")</f>
        <v/>
      </c>
      <c r="B28" s="13" t="inlineStr">
        <is>
          <t>maximum_test_stress</t>
        </is>
      </c>
      <c r="C28" s="13" t="inlineStr">
        <is>
          <t>Maximum test stress</t>
        </is>
      </c>
      <c r="D28" s="14" t="inlineStr">
        <is>
          <t>The highest stress a load test is taken to - the largest stress applied through the bearing plate or loaded footprint during the test. A requirement on how the test is run, stated as a minimum the test must reach (for example 150 % of the design bearing pressure). Compared with the maxTestStress of the test's procedure.</t>
        </is>
      </c>
      <c r="E28" s="13" t="inlineStr">
        <is>
          <t>double</t>
        </is>
      </c>
      <c r="F28" s="13" t="inlineStr">
        <is>
          <t>pressure</t>
        </is>
      </c>
      <c r="G28" s="9" t="inlineStr">
        <is>
          <t>DIGGS</t>
        </is>
      </c>
    </row>
    <row r="29">
      <c r="A29" s="2">
        <f>IF(ISNA(VLOOKUP(B29,AssociatedElements!B$2:B2967,1,FALSE)),"Not used","")</f>
        <v/>
      </c>
      <c r="B29" s="13" t="inlineStr">
        <is>
          <t>load_increment_count</t>
        </is>
      </c>
      <c r="C29" s="13" t="inlineStr">
        <is>
          <t>Load increment count</t>
        </is>
      </c>
      <c r="D29" s="14" t="inlineStr">
        <is>
          <t>The number of loading increments applied in a load test - the stages in which load was raised, not the unloading stages. A requirement on how the test is run, stated as a minimum (for example at least three increments). Counted from the increments of the test's procedure.</t>
        </is>
      </c>
      <c r="E29" s="13" t="inlineStr">
        <is>
          <t>integer</t>
        </is>
      </c>
      <c r="F29" s="13" t="n"/>
      <c r="G29" s="9" t="inlineStr">
        <is>
          <t>DIGGS</t>
        </is>
      </c>
    </row>
    <row r="30">
      <c r="A30" s="2">
        <f>IF(ISNA(VLOOKUP(B30,AssociatedElements!B$2:B2968,1,FALSE)),"Not used","")</f>
        <v/>
      </c>
      <c r="B30" s="13" t="inlineStr">
        <is>
          <t>increment_hold_duration</t>
        </is>
      </c>
      <c r="C30" s="13" t="inlineStr">
        <is>
          <t>Load increment hold duration</t>
        </is>
      </c>
      <c r="D30" s="14" t="inlineStr">
        <is>
          <t>The time a load increment is held before the next is applied, taken from the first to the last reading of the increment, in seconds. One value for each loading increment of the test; the criterion's statistic states which governs (the shortest, for a minimum hold). A requirement on how the test is run.</t>
        </is>
      </c>
      <c r="E30" s="13" t="inlineStr">
        <is>
          <t>double</t>
        </is>
      </c>
      <c r="F30" s="13" t="inlineStr">
        <is>
          <t>time</t>
        </is>
      </c>
      <c r="G30" s="9" t="inlineStr">
        <is>
          <t>DIGGS</t>
        </is>
      </c>
    </row>
    <row r="31">
      <c r="A31" s="2">
        <f>IF(ISNA(VLOOKUP(B31,AssociatedElements!B$2:B2969,1,FALSE)),"Not used","")</f>
        <v/>
      </c>
      <c r="B31" s="13" t="inlineStr">
        <is>
          <t>settlement_change_last_five_minutes</t>
        </is>
      </c>
      <c r="C31" s="18" t="inlineStr">
        <is>
          <t>Settlement change over the last five minutes of an increment</t>
        </is>
      </c>
      <c r="D31" s="19" t="inlineStr">
        <is>
          <t>The settlement gained over the last five minutes of a load increment's hold - the settlement at the last reading minus the settlement five minutes earlier, interpolated. One value for each loading increment of the test; the criterion's statistic states which governs (the largest, for a stabilization requirement). A requirement on how the test is run, for example that an increment is held until the settlement in five minutes is less than 0.02 mm.</t>
        </is>
      </c>
      <c r="E31" s="18" t="inlineStr">
        <is>
          <t>double</t>
        </is>
      </c>
      <c r="F31" s="18" t="inlineStr">
        <is>
          <t>length</t>
        </is>
      </c>
      <c r="G31" s="9" t="inlineStr">
        <is>
          <t>DIGGS</t>
        </is>
      </c>
    </row>
    <row r="32">
      <c r="A32" s="2">
        <f>IF(ISNA(VLOOKUP(B32,AssociatedElements!B$2:B2970,1,FALSE)),"Not used","")</f>
        <v/>
      </c>
      <c r="B32" s="13" t="inlineStr">
        <is>
          <t>test_count</t>
        </is>
      </c>
      <c r="C32" s="18" t="inlineStr">
        <is>
          <t>Test count</t>
        </is>
      </c>
      <c r="D32" s="19" t="inlineStr">
        <is>
          <t>The number of tests made under a planned measurement - for example the number of integrity tests made of a planned set of locations. A requirement on how much testing is done, stated as a minimum. Counted from the realized measurements that cite the planned measurement.</t>
        </is>
      </c>
      <c r="E32" s="18" t="inlineStr">
        <is>
          <t>integer</t>
        </is>
      </c>
      <c r="F32" s="18" t="n"/>
      <c r="G32" s="9" t="inlineStr">
        <is>
          <t>DIGGS</t>
        </is>
      </c>
    </row>
    <row r="33">
      <c r="A33" s="2">
        <f>IF(ISNA(VLOOKUP(B33,AssociatedElements!B$2:B2971,1,FALSE)),"Not used","")</f>
        <v/>
      </c>
      <c r="B33" s="13" t="inlineStr">
        <is>
          <t>averaged_impact_count</t>
        </is>
      </c>
      <c r="C33" s="18" t="inlineStr">
        <is>
          <t>Averaged impact count</t>
        </is>
      </c>
      <c r="D33" s="19" t="inlineStr">
        <is>
          <t>The number of hammer impacts averaged into one record of a low-strain integrity test, as reported by the test equipment. A requirement on how the test is run, stated as a minimum (for example at least three). One value for each test.</t>
        </is>
      </c>
      <c r="E33" s="18" t="inlineStr">
        <is>
          <t>integer</t>
        </is>
      </c>
      <c r="F33" s="18" t="n"/>
      <c r="G33" s="9" t="inlineStr">
        <is>
          <t>DIGGS</t>
        </is>
      </c>
    </row>
    <row r="34">
      <c r="A34" s="2">
        <f>IF(ISNA(VLOOKUP(B34,AssociatedElements!B$2:B2972,1,FALSE)),"Not used","")</f>
        <v/>
      </c>
      <c r="B34" s="13" t="inlineStr">
        <is>
          <t>age_at_test</t>
        </is>
      </c>
      <c r="C34" s="18" t="inlineStr">
        <is>
          <t>Age at test</t>
        </is>
      </c>
      <c r="D34" s="19" t="inlineStr">
        <is>
          <t>The age of an element when a test is made on it: the time from the end of its construction to the start of the test. A requirement on when a test may be made, stated as a minimum - for example seven days for a low strain integrity test of a cast-in-place pile.</t>
        </is>
      </c>
      <c r="E34" s="18" t="inlineStr">
        <is>
          <t>double</t>
        </is>
      </c>
      <c r="F34" s="18" t="inlineStr">
        <is>
          <t>time</t>
        </is>
      </c>
      <c r="G34" s="9" t="inlineStr">
        <is>
          <t>DIGGS</t>
        </is>
      </c>
    </row>
    <row r="35">
      <c r="A35" s="2">
        <f>IF(ISNA(VLOOKUP(B35,AssociatedElements!B$2:B2973,1,FALSE)),"Not used","")</f>
        <v/>
      </c>
      <c r="B35" s="13" t="inlineStr">
        <is>
          <t>strength_at_test</t>
        </is>
      </c>
      <c r="C35" s="18" t="inlineStr">
        <is>
          <t>Strength at test</t>
        </is>
      </c>
      <c r="D35" s="19" t="inlineStr">
        <is>
          <t>The compressive strength of the concrete of an element at the age of a test made on it, as a percentage of its design strength. A requirement on when a test may be made, stated as a minimum - for example 75 percent for a low strain integrity test of a cast-in-place pile. Evaluated from compressive strength tests of the concrete made no later than the test: where none was made by then the strength at test is not known and the requirement is not shown to be met.</t>
        </is>
      </c>
      <c r="E35" s="18" t="inlineStr">
        <is>
          <t>double</t>
        </is>
      </c>
      <c r="F35" s="18" t="inlineStr">
        <is>
          <t>dimensionless</t>
        </is>
      </c>
      <c r="G35" s="9" t="inlineStr">
        <is>
          <t>DIGGS</t>
        </is>
      </c>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inlineStr">
        <is>
          <t>diameter_deviation</t>
        </is>
      </c>
      <c r="C27" t="inlineStr">
        <is>
          <t>//diggs:parameterName</t>
        </is>
      </c>
      <c r="D27" t="inlineStr">
        <is>
          <t>ancestor::diggs:DesignConformanceCriterion</t>
        </is>
      </c>
    </row>
    <row r="28">
      <c r="A28">
        <f>IF(ISNA(VLOOKUP(B28,Definitions!B$2:B$1839,1,FALSE)),"Not listed","")</f>
        <v/>
      </c>
      <c r="B28" s="13" t="inlineStr">
        <is>
          <t>maximum_test_stress</t>
        </is>
      </c>
      <c r="C28" t="inlineStr">
        <is>
          <t>//diggs:parameterName</t>
        </is>
      </c>
      <c r="D28" t="inlineStr">
        <is>
          <t>ancestor::diggs:DesignConformanceCriterion</t>
        </is>
      </c>
    </row>
    <row r="29">
      <c r="A29">
        <f>IF(ISNA(VLOOKUP(B29,Definitions!B$2:B$1839,1,FALSE)),"Not listed","")</f>
        <v/>
      </c>
      <c r="B29" s="13" t="inlineStr">
        <is>
          <t>load_increment_count</t>
        </is>
      </c>
      <c r="C29" t="inlineStr">
        <is>
          <t>//diggs:parameterName</t>
        </is>
      </c>
      <c r="D29" t="inlineStr">
        <is>
          <t>ancestor::diggs:DesignConformanceCriterion</t>
        </is>
      </c>
    </row>
    <row r="30">
      <c r="A30">
        <f>IF(ISNA(VLOOKUP(B30,Definitions!B$2:B$1839,1,FALSE)),"Not listed","")</f>
        <v/>
      </c>
      <c r="B30" s="13" t="inlineStr">
        <is>
          <t>increment_hold_duration</t>
        </is>
      </c>
      <c r="C30" t="inlineStr">
        <is>
          <t>//diggs:parameterName</t>
        </is>
      </c>
      <c r="D30" t="inlineStr">
        <is>
          <t>ancestor::diggs:DesignConformanceCriterion</t>
        </is>
      </c>
    </row>
    <row r="31">
      <c r="A31">
        <f>IF(ISNA(VLOOKUP(B31,Definitions!B$2:B$1839,1,FALSE)),"Not listed","")</f>
        <v/>
      </c>
      <c r="B31" s="13" t="inlineStr">
        <is>
          <t>settlement_change_last_five_minutes</t>
        </is>
      </c>
      <c r="C31" t="inlineStr">
        <is>
          <t>//diggs:parameterName</t>
        </is>
      </c>
      <c r="D31" t="inlineStr">
        <is>
          <t>ancestor::diggs:DesignConformanceCriterion</t>
        </is>
      </c>
    </row>
    <row r="32">
      <c r="A32">
        <f>IF(ISNA(VLOOKUP(B32,Definitions!B$2:B$1839,1,FALSE)),"Not listed","")</f>
        <v/>
      </c>
      <c r="B32" s="13" t="inlineStr">
        <is>
          <t>test_count</t>
        </is>
      </c>
      <c r="C32" t="inlineStr">
        <is>
          <t>//diggs:parameterName</t>
        </is>
      </c>
      <c r="D32" t="inlineStr">
        <is>
          <t>ancestor::diggs:DesignConformanceCriterion</t>
        </is>
      </c>
    </row>
    <row r="33">
      <c r="A33">
        <f>IF(ISNA(VLOOKUP(B33,Definitions!B$2:B$1839,1,FALSE)),"Not listed","")</f>
        <v/>
      </c>
      <c r="B33" s="13" t="inlineStr">
        <is>
          <t>averaged_impact_count</t>
        </is>
      </c>
      <c r="C33" t="inlineStr">
        <is>
          <t>//diggs:parameterName</t>
        </is>
      </c>
      <c r="D33" t="inlineStr">
        <is>
          <t>ancestor::diggs:DesignConformanceCriterion</t>
        </is>
      </c>
    </row>
    <row r="34">
      <c r="A34">
        <f>IF(ISNA(VLOOKUP(B34,Definitions!B$2:B$1839,1,FALSE)),"Not listed","")</f>
        <v/>
      </c>
      <c r="B34" s="13" t="inlineStr">
        <is>
          <t>age_at_test</t>
        </is>
      </c>
      <c r="C34" t="inlineStr">
        <is>
          <t>//diggs:parameterName</t>
        </is>
      </c>
      <c r="D34" t="inlineStr">
        <is>
          <t>ancestor::diggs:DesignConformanceCriterion</t>
        </is>
      </c>
    </row>
    <row r="35">
      <c r="A35">
        <f>IF(ISNA(VLOOKUP(B35,Definitions!B$2:B$1839,1,FALSE)),"Not listed","")</f>
        <v/>
      </c>
      <c r="B35" s="13" t="inlineStr">
        <is>
          <t>strength_at_test</t>
        </is>
      </c>
      <c r="C35" t="inlineStr">
        <is>
          <t>//diggs:parameterName</t>
        </is>
      </c>
      <c r="D35" t="inlineStr">
        <is>
          <t>ancestor::diggs:DesignConformanceCriterion</t>
        </is>
      </c>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9"/>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diggs:formulation/diggs:GroutBatchFormulation/diggs:waterCementRatioOfMix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direct</t>
        </is>
      </c>
      <c r="E8" t="inlineStr">
        <is>
          <t>diggs:columnDiameter</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c r="B23" t="inlineStr">
        <is>
          <t>diameter_deviation</t>
        </is>
      </c>
      <c r="D23" t="inlineStr">
        <is>
          <t>difference</t>
        </is>
      </c>
      <c r="E23" t="inlineStr">
        <is>
          <t>diggs:columnDiameter</t>
        </is>
      </c>
      <c r="F23" t="inlineStr">
        <is>
          <t>diggs:columnDiameter</t>
        </is>
      </c>
      <c r="G23" t="inlineStr">
        <is>
          <t>design</t>
        </is>
      </c>
    </row>
    <row r="24">
      <c r="A24">
        <f>IF(ISNA(VLOOKUP(B24,Definitions!B$2:B$1839,1,FALSE)),"Not listed","")</f>
        <v/>
      </c>
      <c r="B24" t="inlineStr">
        <is>
          <t>discharge_time</t>
        </is>
      </c>
      <c r="C24" t="inlineStr">
        <is>
          <t>diggs:RIColumn</t>
        </is>
      </c>
      <c r="D24" t="inlineStr">
        <is>
          <t>difference</t>
        </is>
      </c>
      <c r="E24" t="inlineStr">
        <is>
          <t>let $id := concat('#', @gml:id), $a := (root(.)//diggs:RIColumnConstruction[diggs:samplingFeatureRef/@xlink:href = $id][.//diggs:TimeIntervalList[@unit = 'second']])[1] return if (exists($a)) then xs:dateTime($a/diggs:activityDateTime//diggs:start) + xs:dayTimeDuration(concat('PT', tokenize(normalize-space($a//diggs:TimeIntervalList/diggs:timeIntervalList), '\s+')[last()], 'S')) else ()</t>
        </is>
      </c>
      <c r="F24" t="inlineStr">
        <is>
          <t>(diggs:samplingDate | diggs:deref(diggs:samplingActivityRef)/diggs:samplingDate)/diggs:TimeInterval/diggs:start</t>
        </is>
      </c>
      <c r="G24" t="inlineStr">
        <is>
          <t>evidence</t>
        </is>
      </c>
    </row>
    <row r="25">
      <c r="A25">
        <f>IF(ISNA(VLOOKUP(B25,Definitions!B$2:B$1839,1,FALSE)),"Not listed","")</f>
        <v/>
      </c>
      <c r="B25" t="inlineStr">
        <is>
          <t>discharge_time</t>
        </is>
      </c>
      <c r="C25" t="inlineStr">
        <is>
          <t>diggs:RIColumn</t>
        </is>
      </c>
      <c r="D25" t="inlineStr">
        <is>
          <t>difference</t>
        </is>
      </c>
      <c r="E25" t="inlineStr">
        <is>
          <t>let $id := concat('#', @gml:id), $a := (root(.)//diggs:RIColumnConstruction[diggs:samplingFeatureRef/@xlink:href = $id][.//diggs:TimePositionList])[1] return if (exists($a)) then tokenize(normalize-space($a//diggs:TimePositionList/diggs:timePositionList), '\s+')[last()] else ()</t>
        </is>
      </c>
      <c r="F25" t="inlineStr">
        <is>
          <t>(diggs:samplingDate | diggs:deref(diggs:samplingActivityRef)/diggs:samplingDate)/diggs:TimeInterval/diggs:start</t>
        </is>
      </c>
      <c r="G25" t="inlineStr">
        <is>
          <t>evidence</t>
        </is>
      </c>
    </row>
    <row r="26">
      <c r="A26">
        <f>IF(ISNA(VLOOKUP(B26,Definitions!B$2:B$1839,1,FALSE)),"Not listed","")</f>
        <v/>
      </c>
      <c r="B26" t="inlineStr">
        <is>
          <t>discharge_time</t>
        </is>
      </c>
      <c r="C26" t="inlineStr">
        <is>
          <t>diggs:RIColumn</t>
        </is>
      </c>
      <c r="D26" t="inlineStr">
        <is>
          <t>difference</t>
        </is>
      </c>
      <c r="E26" t="inlineStr">
        <is>
          <t>let $id := concat('#', @gml:id) return sort(root(.)//diggs:RIColumnConstruction[diggs:samplingFeatureRef/@xlink:href = $id]/diggs:installationRecord//diggs:timeDomain//(gml:timePosition | gml:endPosition | diggs:end))[last()]</t>
        </is>
      </c>
      <c r="F26" t="inlineStr">
        <is>
          <t>(diggs:samplingDate | diggs:deref(diggs:samplingActivityRef)/diggs:samplingDate)/diggs:TimeInterval/diggs:start</t>
        </is>
      </c>
      <c r="G26" t="inlineStr">
        <is>
          <t>evidence</t>
        </is>
      </c>
    </row>
    <row r="27">
      <c r="A27">
        <f>IF(ISNA(VLOOKUP(B27,Definitions!B$2:B$1839,1,FALSE)),"Not listed","")</f>
        <v/>
      </c>
      <c r="B27" t="inlineStr">
        <is>
          <t>discharge_time</t>
        </is>
      </c>
      <c r="C27" t="inlineStr">
        <is>
          <t>diggs:RIColumn</t>
        </is>
      </c>
      <c r="D27" t="inlineStr">
        <is>
          <t>difference</t>
        </is>
      </c>
      <c r="E27" t="inlineStr">
        <is>
          <t>diggs:whenConstructed//diggs:end</t>
        </is>
      </c>
      <c r="F27" t="inlineStr">
        <is>
          <t>(diggs:samplingDate | diggs:deref(diggs:samplingActivityRef)/diggs:samplingDate)/diggs:TimeInterval/diggs:start</t>
        </is>
      </c>
      <c r="G27" t="inlineStr">
        <is>
          <t>evidence</t>
        </is>
      </c>
    </row>
    <row r="28">
      <c r="A28">
        <f>IF(ISNA(VLOOKUP(B28,Definitions!B$2:B$1839,1,FALSE)),"Not listed","")</f>
        <v/>
      </c>
      <c r="B28" t="inlineStr">
        <is>
          <t>sampling_frequency</t>
        </is>
      </c>
      <c r="C28" t="inlineStr">
        <is>
          <t>diggs:GroutBatch</t>
        </is>
      </c>
      <c r="D28" t="inlineStr">
        <is>
          <t>frequency</t>
        </is>
      </c>
      <c r="E28" t="inlineStr">
        <is>
          <t>distinct-values($evidence//diggs:GroutSpecimen/diggs:extractionTime/normalize-space(.))</t>
        </is>
      </c>
      <c r="I28" t="inlineStr">
        <is>
          <t>diggs:totalBatchVolume</t>
        </is>
      </c>
    </row>
    <row r="29">
      <c r="A29">
        <f>IF(ISNA(VLOOKUP(B29,Definitions!B$2:B$1839,1,FALSE)),"Not listed","")</f>
        <v/>
      </c>
      <c r="B29" t="inlineStr">
        <is>
          <t>sampling_frequency</t>
        </is>
      </c>
      <c r="C29" t="inlineStr">
        <is>
          <t>diggs:GroutBatch</t>
        </is>
      </c>
      <c r="D29" t="inlineStr">
        <is>
          <t>frequency</t>
        </is>
      </c>
      <c r="E29" t="inlineStr">
        <is>
          <t>distinct-values(for $s in $evidence//diggs:GroutSpecimen[diggs:ageAtTest[@uom='d']] return string(xs:date(substring(string($s/ancestor::diggs:MaterialTest/diggs:samplingTime//gml:timePosition), 1, 10)) - xs:dayTimeDuration(concat('P', $s/diggs:ageAtTest, 'D'))))</t>
        </is>
      </c>
      <c r="I29" t="inlineStr">
        <is>
          <t>diggs:totalBatchVolume</t>
        </is>
      </c>
    </row>
    <row r="30">
      <c r="A30">
        <f>IF(ISNA(VLOOKUP(B30,Definitions!B$2:B$1839,1,FALSE)),"Not listed","")</f>
        <v/>
      </c>
      <c r="B30" t="inlineStr">
        <is>
          <t>penetration_over_interval</t>
        </is>
      </c>
      <c r="C30" t="inlineStr">
        <is>
          <t>diggs:RIColumnConstruction</t>
        </is>
      </c>
      <c r="D30" t="inlineStr">
        <is>
          <t>change_over_window</t>
        </is>
      </c>
      <c r="E30" t="inlineStr">
        <is>
          <t>diggs:series((descendant-or-self::diggs:RIInstallationRecord[.//diggs:propertyClass/@codeSpace[ends-with(., '#depth')]])[1], 'depth')</t>
        </is>
      </c>
      <c r="F30" t="inlineStr">
        <is>
          <t>let $s := diggs:series((descendant-or-self::diggs:RIInstallationRecord[.//diggs:propertyClass/@codeSpace[ends-with(., '#depth')]])[1], 'depth'), $m := max($s ! ?2) return ($s[?2 = $m])[1]?1</t>
        </is>
      </c>
      <c r="G30" t="inlineStr">
        <is>
          <t>subject</t>
        </is>
      </c>
    </row>
    <row r="31">
      <c r="A31">
        <f>IF(ISNA(VLOOKUP(B31,Definitions!B$2:B$1839,1,FALSE)),"Not listed","")</f>
        <v/>
      </c>
      <c r="B31" t="inlineStr">
        <is>
          <t>maximum_test_stress</t>
        </is>
      </c>
      <c r="D31" t="inlineStr">
        <is>
          <t>direct</t>
        </is>
      </c>
      <c r="E31" t="inlineStr">
        <is>
          <t>diggs:procedure/*/diggs:maxTestStress</t>
        </is>
      </c>
    </row>
    <row r="32">
      <c r="B32" t="inlineStr">
        <is>
          <t>load_increment_count</t>
        </is>
      </c>
      <c r="D32" t="inlineStr">
        <is>
          <t>direct</t>
        </is>
      </c>
      <c r="E32" t="inlineStr">
        <is>
          <t>count(diggs:procedure/*/diggs:increment/diggs:LoadTestIncrement[diggs:loadingPhase = 'loading'])</t>
        </is>
      </c>
    </row>
    <row r="33">
      <c r="B33" t="inlineStr">
        <is>
          <t>increment_hold_duration</t>
        </is>
      </c>
      <c r="D33" t="inlineStr">
        <is>
          <t>direct</t>
        </is>
      </c>
      <c r="E33" t="inlineStr">
        <is>
          <t>for $i in diggs:procedure/*/diggs:increment/diggs:LoadTestIncrement[diggs:loadingPhase = 'loading'] return (diggs:series($i//diggs:TemporalResult, 'settlement'))[last()]?1</t>
        </is>
      </c>
    </row>
    <row r="34">
      <c r="B34" t="inlineStr">
        <is>
          <t>settlement_change_last_five_minutes</t>
        </is>
      </c>
      <c r="D34" t="inlineStr">
        <is>
          <t>direct</t>
        </is>
      </c>
      <c r="E34" t="inlineStr">
        <is>
          <t>for $i in diggs:procedure/*/diggs:increment/diggs:LoadTestIncrement[diggs:loadingPhase = 'loading'] return let $s := diggs:series($i//diggs:TemporalResult, 'settlement'), $e := ($s[last()])?1 return diggs:valueAt($s, $e) - diggs:valueAt($s, $e - 300)</t>
        </is>
      </c>
    </row>
    <row r="35">
      <c r="B35" t="inlineStr">
        <is>
          <t>test_count</t>
        </is>
      </c>
      <c r="C35" t="inlineStr">
        <is>
          <t>diggs:Test</t>
        </is>
      </c>
      <c r="D35" t="inlineStr">
        <is>
          <t>direct</t>
        </is>
      </c>
      <c r="E35" t="inlineStr">
        <is>
          <t>count(root(.)//diggs:Test[diggs:programDesignRef/@xlink:href = concat('#', $design/@gml:id)])</t>
        </is>
      </c>
    </row>
    <row r="36">
      <c r="B36" t="inlineStr">
        <is>
          <t>averaged_impact_count</t>
        </is>
      </c>
      <c r="C36" t="inlineStr">
        <is>
          <t>diggs:Test</t>
        </is>
      </c>
      <c r="D36" t="inlineStr">
        <is>
          <t>direct</t>
        </is>
      </c>
      <c r="E36" t="inlineStr">
        <is>
          <t>diggs:procedure/*/diggs:averagedImpactCount</t>
        </is>
      </c>
    </row>
    <row r="37">
      <c r="B37" t="inlineStr">
        <is>
          <t>age_at_test</t>
        </is>
      </c>
      <c r="C37" t="inlineStr">
        <is>
          <t>diggs:Test</t>
        </is>
      </c>
      <c r="D37" t="inlineStr">
        <is>
          <t>direct</t>
        </is>
      </c>
      <c r="E37" t="inlineStr">
        <is>
          <t>days-from-duration(xs:date(substring(string(diggs:samplingTime//gml:timePosition), 1, 10)) - xs:date(substring(string(diggs:deref(diggs:samplingFeatureRef)/diggs:whenConstructed//diggs:end), 1, 10)))</t>
        </is>
      </c>
    </row>
    <row r="38">
      <c r="B38" t="inlineStr">
        <is>
          <t>strength_at_test</t>
        </is>
      </c>
      <c r="C38" t="inlineStr">
        <is>
          <t>diggs:Test</t>
        </is>
      </c>
      <c r="D38" t="inlineStr">
        <is>
          <t>direct</t>
        </is>
      </c>
      <c r="E38" t="inlineStr">
        <is>
          <t>let $col := diggs:deref(diggs:samplingFeatureRef), $batch := $col/diggs:groutRef/@xlink:href, $d := xs:date(substring(string(diggs:samplingTime//gml:timePosition), 1, 10)), $mix := diggs:deref(diggs:deref(diggs:deref($col/diggs:groutRef)/diggs:samplingActivityRef)/diggs:currentDesign//diggs:programDesignRef), $r := (for $m in root(.)//diggs:MaterialTest[diggs:sampleRef/@xlink:href = $batch][xs:date(substring(string(diggs:samplingTime//gml:timePosition), 1, 10)) le $d] return diggs:series($m/diggs:outcome/*, 'compressive_strength_unconfined') ! ?2) return if (exists($r) and exists($mix/diggs:strengthDesign)) then max($r) * 1000000 div number($mix/diggs:strengthDesign) * 100 else ()</t>
        </is>
      </c>
    </row>
    <row r="39">
      <c r="B39" t="inlineStr">
        <is>
          <t>position</t>
        </is>
      </c>
      <c r="C39" t="inlineStr">
        <is>
          <t>diggs:Test</t>
        </is>
      </c>
      <c r="D39" t="inlineStr">
        <is>
          <t>direct</t>
        </is>
      </c>
      <c r="E39" t="inlineStr">
        <is>
          <t>if (exists(diggs:realizesGridIndex) and exists($design//diggs:ReferenceableGridByArray)) then (let $n := tokenize(normalize-space(($design//diggs:ReferenceableGridByArray)[1]/gml:posList), '\s+'), $i := number(normalize-space(diggs:realizesGridIndex)), $p := tokenize(normalize-space(diggs:deref(diggs:samplingFeatureRef)/diggs:referencePoint//gml:pos), '\s+') return math:sqrt(math:pow(number($p[1]) - number($n[2*$i + 1]), 2) + math:pow(number($p[2]) - number($n[2*$i + 2]), 2))) else ()</t>
        </is>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2026-10-06T07:19:29Z</dcterms:modified>
  <cp:lastModifiedBy>Ponti, Daniel J</cp:lastModifiedBy>
</cp:coreProperties>
</file>