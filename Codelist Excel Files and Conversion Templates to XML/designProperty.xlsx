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ValueBindings" sheetId="5" state="visible" r:id="rId5"/>
    <sheet xmlns:r="http://schemas.openxmlformats.org/officeDocument/2006/relationships"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designProperty</t>
        </is>
      </c>
      <c r="C3" s="12" t="inlineStr">
        <is>
          <t>designProperty</t>
        </is>
      </c>
      <c r="D3" s="12" t="inlineStr">
        <is>
          <t>DIGGS Design Conformance Criterion Design Property Codelist Definitions</t>
        </is>
      </c>
      <c r="E3" s="2" t="inlineStr">
        <is>
          <t>Codes naming the design property a diggs:DesignConformanceCriterion governs - a geometric or constructional property measured against its design intent, as opposed to a diggs:PerformanceCriterion's measured physical property. Used for the value of the designProperty property of diggs:DesignConformanceCriterionType. The intended value set is stated directly in the schema's own documentation for this element.</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position</t>
        </is>
      </c>
      <c r="C2" s="13" t="inlineStr">
        <is>
          <t>Position</t>
        </is>
      </c>
      <c r="D2" s="14" t="inlineStr">
        <is>
          <t>The as-built plan position of the element, measured against its designed position.</t>
        </is>
      </c>
      <c r="E2" s="13" t="inlineStr">
        <is>
          <t>string</t>
        </is>
      </c>
      <c r="F2" s="13" t="n"/>
      <c r="G2" s="9" t="inlineStr">
        <is>
          <t>DIGGS</t>
        </is>
      </c>
    </row>
    <row r="3">
      <c r="A3" s="2">
        <f>IF(ISNA(VLOOKUP(B3,AssociatedElements!B$2:B2941,1,FALSE)),"Not used","")</f>
        <v/>
      </c>
      <c r="B3" s="13" t="inlineStr">
        <is>
          <t>verticality</t>
        </is>
      </c>
      <c r="C3" s="13" t="inlineStr">
        <is>
          <t>Verticality</t>
        </is>
      </c>
      <c r="D3" s="14" t="inlineStr">
        <is>
          <t>The as-built inclination of the element from vertical (or from its designed batter), measured against its design tolerance. THE SPECIAL CASE OF alignment_deviation IN WHICH THE INTENDED ALIGNMENT IS VERTICAL, which is always so for rigid inclusion columns. Use alignment_deviation instead for an element intended to be raked, where a tolerance measured from vertical would be dominated by the design rake rather than by construction error. Judged against the alignmentDeviation property of diggs:AbstractLinearSamplingFeatureType (VERT1).</t>
        </is>
      </c>
      <c r="E3" s="13" t="inlineStr">
        <is>
          <t>string</t>
        </is>
      </c>
      <c r="F3" s="13" t="n"/>
      <c r="G3" s="9" t="inlineStr">
        <is>
          <t>DIGGS</t>
        </is>
      </c>
    </row>
    <row r="4">
      <c r="A4" s="2">
        <f>IF(ISNA(VLOOKUP(B4,AssociatedElements!B$2:B2942,1,FALSE)),"Not used","")</f>
        <v/>
      </c>
      <c r="B4" t="inlineStr">
        <is>
          <t>diameter</t>
        </is>
      </c>
      <c r="C4" t="inlineStr">
        <is>
          <t>Diameter</t>
        </is>
      </c>
      <c r="D4" t="inlineStr">
        <is>
          <t>The as-built diameter of the element, measured against its designed diameter.</t>
        </is>
      </c>
      <c r="E4" t="inlineStr">
        <is>
          <t>string</t>
        </is>
      </c>
      <c r="G4" s="9" t="inlineStr">
        <is>
          <t>DIGGS</t>
        </is>
      </c>
    </row>
    <row r="5">
      <c r="A5" s="2">
        <f>IF(ISNA(VLOOKUP(B5,AssociatedElements!B$2:B2943,1,FALSE)),"Not used","")</f>
        <v/>
      </c>
      <c r="B5" s="13" t="inlineStr">
        <is>
          <t>length</t>
        </is>
      </c>
      <c r="C5" s="13" t="inlineStr">
        <is>
          <t>Length</t>
        </is>
      </c>
      <c r="D5" s="14" t="inlineStr">
        <is>
          <t>The as-built length of the element, measured against its designed length.</t>
        </is>
      </c>
      <c r="E5" s="13" t="inlineStr">
        <is>
          <t>string</t>
        </is>
      </c>
      <c r="F5" s="13" t="n"/>
      <c r="G5" s="9" t="inlineStr">
        <is>
          <t>DIGGS</t>
        </is>
      </c>
    </row>
    <row r="6">
      <c r="A6" s="2">
        <f>IF(ISNA(VLOOKUP(B6,AssociatedElements!B$2:B2944,1,FALSE)),"Not used","")</f>
        <v/>
      </c>
      <c r="B6" t="inlineStr">
        <is>
          <t>cutoff_elevation</t>
        </is>
      </c>
      <c r="C6" s="16" t="inlineStr">
        <is>
          <t>Cut-off elevation</t>
        </is>
      </c>
      <c r="D6" s="16" t="inlineStr">
        <is>
          <t>The as-built cut-off (top) elevation of the element, measured against its designed cut-off elevation.</t>
        </is>
      </c>
      <c r="E6" s="17" t="inlineStr">
        <is>
          <t>string</t>
        </is>
      </c>
      <c r="G6" s="9" t="inlineStr">
        <is>
          <t>DIGGS</t>
        </is>
      </c>
    </row>
    <row r="7">
      <c r="A7" s="2">
        <f>IF(ISNA(VLOOKUP(B7,AssociatedElements!B$2:B2945,1,FALSE)),"Not used","")</f>
        <v/>
      </c>
      <c r="B7" t="inlineStr">
        <is>
          <t>bearing_stratum_embedment</t>
        </is>
      </c>
      <c r="C7" s="16" t="inlineStr">
        <is>
          <t>Bearing-stratum embedment</t>
        </is>
      </c>
      <c r="D7" s="16" t="inlineStr">
        <is>
          <t>The as-built depth to which the element penetrates its designated bearing stratum, measured against the minimum embedment the design requires. Commonly expressed as a multiple of the element diameter, in which case the criterion's basis is per_diameter and baseLength carries the diameter.</t>
        </is>
      </c>
      <c r="E7" s="17" t="inlineStr">
        <is>
          <t>string</t>
        </is>
      </c>
      <c r="G7" s="9" t="n"/>
    </row>
    <row r="8">
      <c r="A8" s="2">
        <f>IF(ISNA(VLOOKUP(B8,AssociatedElements!B$2:B2946,1,FALSE)),"Not used","")</f>
        <v/>
      </c>
      <c r="B8" t="inlineStr">
        <is>
          <t>method_applicability</t>
        </is>
      </c>
      <c r="C8" s="16" t="inlineStr">
        <is>
          <t>Design-method applicability</t>
        </is>
      </c>
      <c r="D8" s="16" t="inlineStr">
        <is>
          <t>Whether the geometry and stiffness ratios of the as-designed layout fall within the range over which the chosen arching or load-transfer method's unit-cell idealisation is valid. The ratios themselves are carried by diggs:DesignRITreatedAreaType/methodApplicabilityRatio; this code names the pass/fail gate evaluated against them, so the verdict is a conformance criterion rather than a further ratio.</t>
        </is>
      </c>
      <c r="E8" s="17" t="inlineStr">
        <is>
          <t>string</t>
        </is>
      </c>
      <c r="G8" s="9" t="n"/>
    </row>
    <row r="9">
      <c r="A9" s="2">
        <f>IF(ISNA(VLOOKUP(B9,AssociatedElements!B$2:B2947,1,FALSE)),"Not used","")</f>
        <v/>
      </c>
      <c r="B9" t="inlineStr">
        <is>
          <t>minimum_spacing_to_fresh_element</t>
        </is>
      </c>
      <c r="C9" s="16" t="inlineStr">
        <is>
          <t>Minimum spacing to a fresh element</t>
        </is>
      </c>
      <c r="D9" s="16" t="inlineStr">
        <is>
          <t>The minimum plan distance permitted between an element being installed and a previously installed element that has not yet reached the age or strength at which it is unaffected by the installation. Controls installation effects - ground displacement, vibration and fresh concrete disturbance - on neighbours placed shortly before. Stated as a length; where a specification expresses it as a multiple of element diameter, the limit is the product of that multiple and the design diameter.</t>
        </is>
      </c>
      <c r="E9" s="17" t="inlineStr">
        <is>
          <t>string</t>
        </is>
      </c>
      <c r="G9" s="9" t="inlineStr">
        <is>
          <t>DIGGS</t>
        </is>
      </c>
    </row>
    <row r="10">
      <c r="A10" s="2">
        <f>IF(ISNA(VLOOKUP(B10,AssociatedElements!B$2:B2948,1,FALSE)),"Not used","")</f>
        <v/>
      </c>
      <c r="B10" s="13" t="inlineStr">
        <is>
          <t>minimum_age_before_adjacent_installation</t>
        </is>
      </c>
      <c r="C10" s="13" t="inlineStr">
        <is>
          <t>Minimum age before adjacent installation</t>
        </is>
      </c>
      <c r="D10" s="14" t="inlineStr">
        <is>
          <t>The minimum elapsed time between completing one element and beginning installation of an adjacent element, so that the earlier element has gained enough strength to be undisturbed. The time-based companion to minimum_spacing_to_fresh_element: a specification typically states one, the other, or both, and together they are what an installation sequence is designed to satisfy.</t>
        </is>
      </c>
      <c r="E10" s="13" t="inlineStr">
        <is>
          <t>string</t>
        </is>
      </c>
      <c r="F10" s="13" t="n"/>
      <c r="G10" s="9" t="inlineStr">
        <is>
          <t>DIGGS</t>
        </is>
      </c>
    </row>
    <row r="11">
      <c r="A11" s="2">
        <f>IF(ISNA(VLOOKUP(B11,AssociatedElements!B$2:B2949,1,FALSE)),"Not used","")</f>
        <v/>
      </c>
      <c r="B11" s="13" t="inlineStr">
        <is>
          <t>penetration_rate</t>
        </is>
      </c>
      <c r="C11" s="13" t="inlineStr">
        <is>
          <t>Penetration rate</t>
        </is>
      </c>
      <c r="D11" s="14" t="inlineStr">
        <is>
          <t>The rate at which the installation tool advances into the ground, as a design property a conformance criterion may govern. The design-side counterpart of mwd_properties.xml#penetration_rate, which names the same quantity as MEASURED during drilling; this entry names it as the subject of a requirement. Together with torque it is the pair a drilling refusal rule is normally written on, and such a rule is conjunctive - see diggs:CompositeAcceptanceCriterion.</t>
        </is>
      </c>
      <c r="E11" s="13" t="inlineStr">
        <is>
          <t>string</t>
        </is>
      </c>
      <c r="F11" s="13" t="n"/>
      <c r="G11" s="9" t="inlineStr">
        <is>
          <t>DIGGS</t>
        </is>
      </c>
    </row>
    <row r="12">
      <c r="A12" s="2">
        <f>IF(ISNA(VLOOKUP(B12,AssociatedElements!B$2:B2950,1,FALSE)),"Not used","")</f>
        <v/>
      </c>
      <c r="B12" s="13" t="inlineStr">
        <is>
          <t>torque</t>
        </is>
      </c>
      <c r="C12" s="13" t="inlineStr">
        <is>
          <t>Torque</t>
        </is>
      </c>
      <c r="D12" s="14" t="inlineStr">
        <is>
          <t>The rotational force applied to the installation tool, as a design property a conformance criterion may govern. The design-side counterpart of mwd_properties.xml#torque, which names the same quantity as MEASURED during drilling. Paired with penetration_rate in a refusal criterion: neither alone defines refusal, which is why the combination is stated as a diggs:CompositeAcceptanceCriterion rather than left implicit in two co-scoped criteria.</t>
        </is>
      </c>
      <c r="E12" s="13" t="inlineStr">
        <is>
          <t>string</t>
        </is>
      </c>
      <c r="F12" s="13" t="n"/>
      <c r="G12" s="9" t="inlineStr">
        <is>
          <t>DIGGS</t>
        </is>
      </c>
    </row>
    <row r="13">
      <c r="A13" s="2">
        <f>IF(ISNA(VLOOKUP(B13,AssociatedElements!B$2:B2951,1,FALSE)),"Not used","")</f>
        <v/>
      </c>
      <c r="B13" s="13" t="inlineStr">
        <is>
          <t>alignment_deviation</t>
        </is>
      </c>
      <c r="C13" s="13" t="inlineStr">
        <is>
          <t>Alignment deviation</t>
        </is>
      </c>
      <c r="D13" s="14" t="inlineStr">
        <is>
          <t>A tolerance on how far the constructed element may depart from its INTENDED alignment, judged against the alignmentDeviation property of diggs:AbstractLinearSamplingFeatureType. Dimensionless - a ratio in Euc or a percentage in %, the same quantity in two uoms, so a 1:100 tolerance is 0.01 Euc or 1 %. USE THIS RATHER THAN verticality WHERE THE ELEMENT IS NOT INTENDED TO BE VERTICAL - a raked grout hole or a battered pile, whose tolerance governs construction error about the design rake and not departure from vertical. The two terms are the same measurement against different datums: verticality is the special case of this one where the intended alignment is vertical, which is always true of rigid inclusion columns. Both are retained because a specification that says 'verticality tolerance 1:100' should be transcribable in the words it uses. Built at VERT1.</t>
        </is>
      </c>
      <c r="E13" s="13" t="inlineStr">
        <is>
          <t>string</t>
        </is>
      </c>
      <c r="F13" s="13" t="n"/>
      <c r="G13" s="9" t="inlineStr">
        <is>
          <t>DIGGS</t>
        </is>
      </c>
    </row>
    <row r="14">
      <c r="A14" s="2">
        <f>IF(ISNA(VLOOKUP(B14,AssociatedElements!B$2:B2952,1,FALSE)),"Not used","")</f>
        <v/>
      </c>
      <c r="B14" s="13" t="inlineStr">
        <is>
          <t>binding_material_content</t>
        </is>
      </c>
      <c r="C14" s="13" t="inlineStr">
        <is>
          <t>Binding material content</t>
        </is>
      </c>
      <c r="D14" s="14" t="inlineStr">
        <is>
          <t>Mass of binding material (cement plus pozzolanic materials such as fly ash or silica fume) per unit volume of grout/concrete - for example specified with a minimum of 390 kg/m3 under SEC 70-TMSS-03 Table 8B for Very Severe/Severe exposure. A recipe requirement checked against the batch as mixed, not a tested physical property of the cured material - contrast compressive_strength_unconfined (properties.xml), which is.</t>
        </is>
      </c>
      <c r="E14" s="13" t="inlineStr">
        <is>
          <t>string</t>
        </is>
      </c>
      <c r="F14" s="13" t="n"/>
      <c r="G14" s="9" t="inlineStr">
        <is>
          <t>DIGGS</t>
        </is>
      </c>
    </row>
    <row r="15">
      <c r="A15" s="2">
        <f>IF(ISNA(VLOOKUP(B15,AssociatedElements!B$2:B2953,1,FALSE)),"Not used","")</f>
        <v/>
      </c>
      <c r="B15" s="13" t="inlineStr">
        <is>
          <t>water_binding_material_ratio</t>
        </is>
      </c>
      <c r="C15" s="18" t="inlineStr">
        <is>
          <t>Water/binding-material ratio</t>
        </is>
      </c>
      <c r="D15" s="19" t="inlineStr">
        <is>
          <t>Ratio of water mass to binding-material mass (cement plus pozzolanic materials) in a grout/concrete mix - for example specified with a maximum of 0.40 under SEC 70-TMSS-03 Table 8B for a silica-fume mix in Very Severe/Severe exposure. Distinct from the plain water/cement ratio (diggs:DesignGroutMixType/waterCementRatio), which excludes any SCM replacement from the denominator. A recipe requirement checked against the batch as mixed, not a tested physical property of the cured material.</t>
        </is>
      </c>
      <c r="E15" s="18" t="inlineStr">
        <is>
          <t>string</t>
        </is>
      </c>
      <c r="F15" s="18" t="n"/>
      <c r="G15" s="9" t="inlineStr">
        <is>
          <t>DIGGS</t>
        </is>
      </c>
    </row>
    <row r="16">
      <c r="A16" s="2">
        <f>IF(ISNA(VLOOKUP(B16,AssociatedElements!B$2:B2954,1,FALSE)),"Not used","")</f>
        <v/>
      </c>
      <c r="B16" s="13" t="inlineStr">
        <is>
          <t>chloride_content_in_concrete</t>
        </is>
      </c>
      <c r="C16" s="18" t="inlineStr">
        <is>
          <t>Chloride content in concrete</t>
        </is>
      </c>
      <c r="D16" s="19" t="inlineStr">
        <is>
          <t>Chloride ion content of a grout/concrete mix, expressed as a percentage of the mix (not of a constituent) - for example limited to a maximum of 0.10% under SEC 70-TMSS-03 Table 8B, fixed across every exposure class regardless of admixture route. DISTINCT FROM properties.xml#chloride_content, which is the chloride content of SOIL OR GROUNDWATER (the exposure condition that selects which Table 8B row applies) - this entry is the durability-relevant quantity in the hardened mix itself, a different subject. A recipe/material requirement checked against the batch as mixed, not an emergent tested behaviour - contrast compressive_strength_unconfined (properties.xml), which is.</t>
        </is>
      </c>
      <c r="E16" s="18" t="inlineStr">
        <is>
          <t>string</t>
        </is>
      </c>
      <c r="F16" s="18" t="n"/>
      <c r="G16" s="9" t="inlineStr">
        <is>
          <t>DIGGS</t>
        </is>
      </c>
    </row>
    <row r="17">
      <c r="A17" s="2">
        <f>IF(ISNA(VLOOKUP(B17,AssociatedElements!B$2:B2955,1,FALSE)),"Not used","")</f>
        <v/>
      </c>
      <c r="B17" s="13" t="inlineStr">
        <is>
          <t>differential_settlement</t>
        </is>
      </c>
      <c r="C17" s="18" t="inlineStr">
        <is>
          <t>Differential settlement</t>
        </is>
      </c>
      <c r="D17" s="19" t="inlineStr">
        <is>
          <t>Differential settlement between adjacent elements or points, checked against an allowable gradient - the design-side counterpart of properties.xml#differential_settlement, which names the same quantity as MEASURED post-construction. Typically stated per unit length (basis=per unit length, baseLength carrying the reference length) - see diggs:AbstractAcceptanceCriterionType/basis and baseLength.</t>
        </is>
      </c>
      <c r="E17" s="18" t="inlineStr">
        <is>
          <t>string</t>
        </is>
      </c>
      <c r="F17" s="18" t="n"/>
      <c r="G17" s="9" t="inlineStr">
        <is>
          <t>DIGGS</t>
        </is>
      </c>
    </row>
    <row r="18">
      <c r="A18" s="2">
        <f>IF(ISNA(VLOOKUP(B18,AssociatedElements!B$2:B2956,1,FALSE)),"Not used","")</f>
        <v/>
      </c>
      <c r="B18" s="13" t="inlineStr">
        <is>
          <t>relative_compaction</t>
        </is>
      </c>
      <c r="C18" s="18" t="inlineStr">
        <is>
          <t>Relative compaction</t>
        </is>
      </c>
      <c r="D18" s="19" t="inlineStr">
        <is>
          <t>The ratio of the field (as-compacted) dry density of a fill material to a reference maximum dry density (typically from a Proctor compaction test, e.g. ASTM D698/D1557), expressed as a percentage, checked against a specified minimum - for example 95% for a load transfer platform fill. A conformance check on the fill as placed, not a tested physical property of the material itself - distinct from properties.xml#dry_density_max, which is the reference value this ratio is computed against, and from properties.xml#relative_density, an unrelated granular-soil state parameter (Dr).</t>
        </is>
      </c>
      <c r="E18" s="18" t="inlineStr">
        <is>
          <t>string</t>
        </is>
      </c>
      <c r="F18" s="18" t="n"/>
      <c r="G18" s="9" t="inlineStr">
        <is>
          <t>DIGGS</t>
        </is>
      </c>
    </row>
    <row r="19">
      <c r="A19" s="2">
        <f>IF(ISNA(VLOOKUP(B19,AssociatedElements!B$2:B2957,1,FALSE)),"Not used","")</f>
        <v/>
      </c>
      <c r="B19" s="13" t="inlineStr">
        <is>
          <t>installation_sequence</t>
        </is>
      </c>
      <c r="C19" s="18" t="inlineStr">
        <is>
          <t>Installation sequence</t>
        </is>
      </c>
      <c r="D19" s="19" t="inlineStr">
        <is>
          <t>Whether an element was installed in its designed order relative to its design neighbours - after its nearest built design predecessor and before its nearest built design successor in the governing design's installation sequence. Evaluated as true or false (operator eq, limit true). Comparing an as-built installation number with a design sequence number directly is not meaningful: one element installed out of order shifts the number of every element after it.</t>
        </is>
      </c>
      <c r="E19" s="18" t="inlineStr">
        <is>
          <t>string</t>
        </is>
      </c>
      <c r="F19" s="18" t="n"/>
      <c r="G19" s="9" t="inlineStr">
        <is>
          <t>DIGGS</t>
        </is>
      </c>
    </row>
    <row r="20">
      <c r="A20" s="2">
        <f>IF(ISNA(VLOOKUP(B20,AssociatedElements!B$2:B2958,1,FALSE)),"Not used","")</f>
        <v/>
      </c>
      <c r="B20" s="13" t="n"/>
      <c r="C20" s="18" t="n"/>
      <c r="D20" s="19" t="n"/>
      <c r="E20" s="18" t="n"/>
      <c r="F20" s="18" t="n"/>
      <c r="G20" s="9" t="n"/>
    </row>
    <row r="21">
      <c r="A21" s="2">
        <f>IF(ISNA(VLOOKUP(B21,AssociatedElements!B$2:B2959,1,FALSE)),"Not used","")</f>
        <v/>
      </c>
      <c r="B21" s="13" t="n"/>
      <c r="C21" s="18" t="n"/>
      <c r="D21" s="19" t="n"/>
      <c r="E21" s="18" t="n"/>
      <c r="F21" s="18" t="n"/>
      <c r="G21" s="9" t="n"/>
    </row>
    <row r="22">
      <c r="A22" s="2">
        <f>IF(ISNA(VLOOKUP(B22,AssociatedElements!B$2:B2960,1,FALSE)),"Not used","")</f>
        <v/>
      </c>
      <c r="B22" s="13" t="n"/>
      <c r="C22" s="18" t="n"/>
      <c r="D22" s="19" t="n"/>
      <c r="E22" s="18" t="n"/>
      <c r="F22" s="18" t="n"/>
      <c r="G22" s="9" t="n"/>
    </row>
    <row r="23">
      <c r="A23" s="2">
        <f>IF(ISNA(VLOOKUP(B23,AssociatedElements!B$2:B2961,1,FALSE)),"Not used","")</f>
        <v/>
      </c>
      <c r="B23" s="13" t="n"/>
      <c r="C23" s="18" t="n"/>
      <c r="D23" s="19" t="n"/>
      <c r="E23" s="18" t="n"/>
      <c r="F23" s="18" t="n"/>
      <c r="G23" s="9" t="n"/>
    </row>
    <row r="24">
      <c r="A24" s="2">
        <f>IF(ISNA(VLOOKUP(B24,AssociatedElements!B$2:B2962,1,FALSE)),"Not used","")</f>
        <v/>
      </c>
      <c r="D24" s="16" t="n"/>
      <c r="G24" s="9" t="n"/>
    </row>
    <row r="25">
      <c r="A25" s="2">
        <f>IF(ISNA(VLOOKUP(B25,AssociatedElements!B$2:B2963,1,FALSE)),"Not used","")</f>
        <v/>
      </c>
      <c r="B25" s="13" t="n"/>
      <c r="C25" s="13" t="n"/>
      <c r="E25" s="13" t="n"/>
      <c r="F25" s="13" t="n"/>
      <c r="G25" s="9" t="n"/>
    </row>
    <row r="26">
      <c r="A26" s="2">
        <f>IF(ISNA(VLOOKUP(B26,AssociatedElements!B$2:B2964,1,FALSE)),"Not used","")</f>
        <v/>
      </c>
      <c r="B26" s="13" t="n"/>
      <c r="C26" s="13" t="n"/>
      <c r="E26" s="13" t="n"/>
      <c r="F26" s="13" t="n"/>
      <c r="G26" s="9" t="n"/>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position</t>
        </is>
      </c>
      <c r="C2" t="inlineStr">
        <is>
          <t>//diggs:parameterName</t>
        </is>
      </c>
      <c r="D2" t="inlineStr">
        <is>
          <t>ancestor::diggs:DesignConformanceCriterion</t>
        </is>
      </c>
    </row>
    <row r="3">
      <c r="A3">
        <f>IF(ISNA(VLOOKUP(B3,Definitions!B$2:B$1839,1,FALSE)),"Not listed","")</f>
        <v/>
      </c>
      <c r="B3" s="20" t="inlineStr">
        <is>
          <t>verticality</t>
        </is>
      </c>
      <c r="C3" t="inlineStr">
        <is>
          <t>//diggs:parameterName</t>
        </is>
      </c>
      <c r="D3" t="inlineStr">
        <is>
          <t>ancestor::diggs:DesignConformanceCriterion</t>
        </is>
      </c>
    </row>
    <row r="4">
      <c r="A4">
        <f>IF(ISNA(VLOOKUP(B4,Definitions!B$2:B$1839,1,FALSE)),"Not listed","")</f>
        <v/>
      </c>
      <c r="B4" s="2" t="inlineStr">
        <is>
          <t>diameter</t>
        </is>
      </c>
      <c r="C4" t="inlineStr">
        <is>
          <t>//diggs:parameterName</t>
        </is>
      </c>
      <c r="D4" t="inlineStr">
        <is>
          <t>ancestor::diggs:DesignConformanceCriterion</t>
        </is>
      </c>
    </row>
    <row r="5">
      <c r="A5">
        <f>IF(ISNA(VLOOKUP(B5,Definitions!B$2:B$1839,1,FALSE)),"Not listed","")</f>
        <v/>
      </c>
      <c r="B5" s="2" t="inlineStr">
        <is>
          <t>length</t>
        </is>
      </c>
      <c r="C5" t="inlineStr">
        <is>
          <t>//diggs:parameterName</t>
        </is>
      </c>
      <c r="D5" t="inlineStr">
        <is>
          <t>ancestor::diggs:DesignConformanceCriterion</t>
        </is>
      </c>
    </row>
    <row r="6">
      <c r="A6">
        <f>IF(ISNA(VLOOKUP(B6,Definitions!B$2:B$1839,1,FALSE)),"Not listed","")</f>
        <v/>
      </c>
      <c r="B6" s="2" t="inlineStr">
        <is>
          <t>cutoff_elevation</t>
        </is>
      </c>
      <c r="C6" t="inlineStr">
        <is>
          <t>//diggs:parameterName</t>
        </is>
      </c>
      <c r="D6" t="inlineStr">
        <is>
          <t>ancestor::diggs:DesignConformanceCriterion</t>
        </is>
      </c>
    </row>
    <row r="7">
      <c r="A7">
        <f>IF(ISNA(VLOOKUP(B7,Definitions!B$2:B$1839,1,FALSE)),"Not listed","")</f>
        <v/>
      </c>
      <c r="B7" s="19" t="inlineStr">
        <is>
          <t>bearing_stratum_embedment</t>
        </is>
      </c>
      <c r="C7" t="inlineStr">
        <is>
          <t>//diggs:parameterName</t>
        </is>
      </c>
      <c r="D7" t="inlineStr">
        <is>
          <t>ancestor::diggs:DesignConformanceCriterion</t>
        </is>
      </c>
    </row>
    <row r="8">
      <c r="A8">
        <f>IF(ISNA(VLOOKUP(B8,Definitions!B$2:B$1839,1,FALSE)),"Not listed","")</f>
        <v/>
      </c>
      <c r="B8" s="19" t="inlineStr">
        <is>
          <t>method_applicability</t>
        </is>
      </c>
      <c r="C8" t="inlineStr">
        <is>
          <t>//diggs:parameterName</t>
        </is>
      </c>
      <c r="D8" t="inlineStr">
        <is>
          <t>ancestor::diggs:DesignConformanceCriterion</t>
        </is>
      </c>
    </row>
    <row r="9">
      <c r="A9">
        <f>IF(ISNA(VLOOKUP(B9,Definitions!B$2:B$1839,1,FALSE)),"Not listed","")</f>
        <v/>
      </c>
      <c r="B9" s="2" t="inlineStr">
        <is>
          <t>minimum_spacing_to_fresh_element</t>
        </is>
      </c>
      <c r="C9" t="inlineStr">
        <is>
          <t>//diggs:parameterName</t>
        </is>
      </c>
      <c r="D9" t="inlineStr">
        <is>
          <t>ancestor::diggs:DesignConformanceCriterion</t>
        </is>
      </c>
    </row>
    <row r="10">
      <c r="A10">
        <f>IF(ISNA(VLOOKUP(B10,Definitions!B$2:B$1839,1,FALSE)),"Not listed","")</f>
        <v/>
      </c>
      <c r="B10" s="20" t="inlineStr">
        <is>
          <t>minimum_age_before_adjacent_installation</t>
        </is>
      </c>
      <c r="C10" t="inlineStr">
        <is>
          <t>//diggs:parameterName</t>
        </is>
      </c>
      <c r="D10" t="inlineStr">
        <is>
          <t>ancestor::diggs:DesignConformanceCriterion</t>
        </is>
      </c>
    </row>
    <row r="11">
      <c r="A11">
        <f>IF(ISNA(VLOOKUP(B11,Definitions!B$2:B$1839,1,FALSE)),"Not listed","")</f>
        <v/>
      </c>
      <c r="B11" s="20" t="inlineStr">
        <is>
          <t>penetration_rate</t>
        </is>
      </c>
      <c r="C11" t="inlineStr">
        <is>
          <t>//diggs:parameterName</t>
        </is>
      </c>
      <c r="D11" t="inlineStr">
        <is>
          <t>ancestor::diggs:DesignConformanceCriterion</t>
        </is>
      </c>
    </row>
    <row r="12">
      <c r="A12">
        <f>IF(ISNA(VLOOKUP(B12,Definitions!B$2:B$1839,1,FALSE)),"Not listed","")</f>
        <v/>
      </c>
      <c r="B12" s="20" t="inlineStr">
        <is>
          <t>torque</t>
        </is>
      </c>
      <c r="C12" t="inlineStr">
        <is>
          <t>//diggs:parameterName</t>
        </is>
      </c>
      <c r="D12" t="inlineStr">
        <is>
          <t>ancestor::diggs:DesignConformanceCriterion</t>
        </is>
      </c>
    </row>
    <row r="13">
      <c r="A13">
        <f>IF(ISNA(VLOOKUP(B13,Definitions!B$2:B$1839,1,FALSE)),"Not listed","")</f>
        <v/>
      </c>
      <c r="B13" s="20" t="inlineStr">
        <is>
          <t>alignment_deviation</t>
        </is>
      </c>
      <c r="C13" t="inlineStr">
        <is>
          <t>//diggs:parameterName</t>
        </is>
      </c>
      <c r="D13" t="inlineStr">
        <is>
          <t>ancestor::diggs:DesignConformanceCriterion</t>
        </is>
      </c>
    </row>
    <row r="14">
      <c r="A14">
        <f>IF(ISNA(VLOOKUP(B14,Definitions!B$2:B$1839,1,FALSE)),"Not listed","")</f>
        <v/>
      </c>
      <c r="B14" s="20" t="inlineStr">
        <is>
          <t>binding_material_content</t>
        </is>
      </c>
      <c r="C14" t="inlineStr">
        <is>
          <t>//diggs:parameterName</t>
        </is>
      </c>
      <c r="D14" t="inlineStr">
        <is>
          <t>ancestor::diggs:DesignConformanceCriterion</t>
        </is>
      </c>
    </row>
    <row r="15">
      <c r="A15">
        <f>IF(ISNA(VLOOKUP(B15,Definitions!B$2:B$1839,1,FALSE)),"Not listed","")</f>
        <v/>
      </c>
      <c r="B15" s="2" t="inlineStr">
        <is>
          <t>water_binding_material_ratio</t>
        </is>
      </c>
      <c r="C15" t="inlineStr">
        <is>
          <t>//diggs:parameterName</t>
        </is>
      </c>
      <c r="D15" t="inlineStr">
        <is>
          <t>ancestor::diggs:DesignConformanceCriterion</t>
        </is>
      </c>
    </row>
    <row r="16">
      <c r="A16">
        <f>IF(ISNA(VLOOKUP(B16,Definitions!B$2:B$1839,1,FALSE)),"Not listed","")</f>
        <v/>
      </c>
      <c r="B16" s="2" t="inlineStr">
        <is>
          <t>chloride_content_in_concrete</t>
        </is>
      </c>
      <c r="C16" t="inlineStr">
        <is>
          <t>//diggs:parameterName</t>
        </is>
      </c>
      <c r="D16" t="inlineStr">
        <is>
          <t>ancestor::diggs:DesignConformanceCriterion</t>
        </is>
      </c>
    </row>
    <row r="17">
      <c r="A17">
        <f>IF(ISNA(VLOOKUP(B17,Definitions!B$2:B$1839,1,FALSE)),"Not listed","")</f>
        <v/>
      </c>
      <c r="B17" s="2" t="inlineStr">
        <is>
          <t>differential_settlement</t>
        </is>
      </c>
      <c r="C17" t="inlineStr">
        <is>
          <t>//diggs:parameterName</t>
        </is>
      </c>
      <c r="D17" t="inlineStr">
        <is>
          <t>ancestor::diggs:DesignConformanceCriterion</t>
        </is>
      </c>
    </row>
    <row r="18">
      <c r="A18">
        <f>IF(ISNA(VLOOKUP(B18,Definitions!B$2:B$1839,1,FALSE)),"Not listed","")</f>
        <v/>
      </c>
      <c r="B18" s="2" t="inlineStr">
        <is>
          <t>relative_compaction</t>
        </is>
      </c>
      <c r="C18" t="inlineStr">
        <is>
          <t>//diggs:parameterName</t>
        </is>
      </c>
      <c r="D18" t="inlineStr">
        <is>
          <t>ancestor::diggs:DesignConformanceCriterion</t>
        </is>
      </c>
    </row>
    <row r="19">
      <c r="A19">
        <f>IF(ISNA(VLOOKUP(B19,Definitions!B$2:B$1839,1,FALSE)),"Not listed","")</f>
        <v/>
      </c>
      <c r="B19" s="20" t="inlineStr">
        <is>
          <t>installation_sequence</t>
        </is>
      </c>
      <c r="C19" t="inlineStr">
        <is>
          <t>//diggs:parameterName</t>
        </is>
      </c>
      <c r="D19" t="inlineStr">
        <is>
          <t>ancestor::diggs:DesignConformanceCriterion</t>
        </is>
      </c>
    </row>
    <row r="20">
      <c r="A20">
        <f>IF(ISNA(VLOOKUP(B20,Definitions!B$2:B$1839,1,FALSE)),"Not listed","")</f>
        <v/>
      </c>
      <c r="B20" s="20" t="n"/>
    </row>
    <row r="21">
      <c r="A21">
        <f>IF(ISNA(VLOOKUP(B21,Definitions!B$2:B$1839,1,FALSE)),"Not listed","")</f>
        <v/>
      </c>
      <c r="B21" s="20" t="n"/>
    </row>
    <row r="22">
      <c r="A22">
        <f>IF(ISNA(VLOOKUP(B22,Definitions!B$2:B$1839,1,FALSE)),"Not listed","")</f>
        <v/>
      </c>
      <c r="B22" s="20" t="n"/>
    </row>
    <row r="23">
      <c r="A23">
        <f>IF(ISNA(VLOOKUP(B23,Definitions!B$2:B$1839,1,FALSE)),"Not listed","")</f>
        <v/>
      </c>
      <c r="B23" s="20" t="n"/>
    </row>
    <row r="24">
      <c r="A24">
        <f>IF(ISNA(VLOOKUP(B24,Definitions!B$2:B$1839,1,FALSE)),"Not listed","")</f>
        <v/>
      </c>
      <c r="B24" s="2" t="n"/>
    </row>
    <row r="25">
      <c r="A25">
        <f>IF(ISNA(VLOOKUP(B25,Definitions!B$2:B$1839,1,FALSE)),"Not listed","")</f>
        <v/>
      </c>
      <c r="B25" s="2" t="n"/>
    </row>
    <row r="26">
      <c r="A26">
        <f>IF(ISNA(VLOOKUP(B26,Definitions!B$2:B$1839,1,FALSE)),"Not listed","")</f>
        <v/>
      </c>
      <c r="B26" s="2" t="n"/>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water_binding_material_ratio</t>
        </is>
      </c>
      <c r="C2" t="inlineStr">
        <is>
          <t>diggs:GroutBatch</t>
        </is>
      </c>
      <c r="D2" t="inlineStr">
        <is>
          <t>direct</t>
        </is>
      </c>
      <c r="E2" t="inlineStr">
        <is>
          <t>diggs:waterCementRatioOfMix</t>
        </is>
      </c>
    </row>
    <row r="3">
      <c r="A3">
        <f>IF(ISNA(VLOOKUP(B3,Definitions!B$2:B$1839,1,FALSE)),"Not listed","")</f>
        <v/>
      </c>
      <c r="B3" t="inlineStr">
        <is>
          <t>position</t>
        </is>
      </c>
      <c r="D3" t="inlineStr">
        <is>
          <t>horizontal_offset</t>
        </is>
      </c>
      <c r="E3" t="inlineStr">
        <is>
          <t>diggs:referencePoint</t>
        </is>
      </c>
      <c r="F3" t="inlineStr">
        <is>
          <t>diggs:scope/diggs:SFDesignScope/diggs:targetPosition</t>
        </is>
      </c>
      <c r="G3" t="inlineStr">
        <is>
          <t>design</t>
        </is>
      </c>
    </row>
    <row r="4">
      <c r="A4">
        <f>IF(ISNA(VLOOKUP(B4,Definitions!B$2:B$1839,1,FALSE)),"Not listed","")</f>
        <v/>
      </c>
      <c r="B4" t="inlineStr">
        <is>
          <t>position</t>
        </is>
      </c>
      <c r="D4" t="inlineStr">
        <is>
          <t>horizontal_offset</t>
        </is>
      </c>
      <c r="E4" t="inlineStr">
        <is>
          <t>diggs:referencePoint</t>
        </is>
      </c>
      <c r="F4" t="inlineStr">
        <is>
          <t>diggs:scope/diggs:SFDesignScope/diggs:plannedPositions</t>
        </is>
      </c>
      <c r="G4" t="inlineStr">
        <is>
          <t>design</t>
        </is>
      </c>
    </row>
    <row r="5">
      <c r="A5">
        <f>IF(ISNA(VLOOKUP(B5,Definitions!B$2:B$1839,1,FALSE)),"Not listed","")</f>
        <v/>
      </c>
      <c r="B5" t="inlineStr">
        <is>
          <t>verticality</t>
        </is>
      </c>
      <c r="D5" t="inlineStr">
        <is>
          <t>direct</t>
        </is>
      </c>
      <c r="E5" t="inlineStr">
        <is>
          <t>diggs:alignmentDeviation</t>
        </is>
      </c>
    </row>
    <row r="6">
      <c r="A6">
        <f>IF(ISNA(VLOOKUP(B6,Definitions!B$2:B$1839,1,FALSE)),"Not listed","")</f>
        <v/>
      </c>
      <c r="B6" t="inlineStr">
        <is>
          <t>alignment_deviation</t>
        </is>
      </c>
      <c r="D6" t="inlineStr">
        <is>
          <t>direct</t>
        </is>
      </c>
      <c r="E6" t="inlineStr">
        <is>
          <t>diggs:alignmentDeviation</t>
        </is>
      </c>
    </row>
    <row r="7">
      <c r="A7">
        <f>IF(ISNA(VLOOKUP(B7,Definitions!B$2:B$1839,1,FALSE)),"Not listed","")</f>
        <v/>
      </c>
      <c r="B7" t="inlineStr">
        <is>
          <t>alignment_deviation</t>
        </is>
      </c>
      <c r="D7" t="inlineStr">
        <is>
          <t>angular_difference</t>
        </is>
      </c>
      <c r="E7" t="inlineStr">
        <is>
          <t>diggs:plunge</t>
        </is>
      </c>
      <c r="F7" t="inlineStr">
        <is>
          <t>diggs:designPlunge</t>
        </is>
      </c>
      <c r="G7" t="inlineStr">
        <is>
          <t>design</t>
        </is>
      </c>
    </row>
    <row r="8">
      <c r="A8">
        <f>IF(ISNA(VLOOKUP(B8,Definitions!B$2:B$1839,1,FALSE)),"Not listed","")</f>
        <v/>
      </c>
      <c r="B8" t="inlineStr">
        <is>
          <t>diameter</t>
        </is>
      </c>
      <c r="D8" t="inlineStr">
        <is>
          <t>difference</t>
        </is>
      </c>
      <c r="E8" t="inlineStr">
        <is>
          <t>diggs:columnDiameter</t>
        </is>
      </c>
      <c r="F8" t="inlineStr">
        <is>
          <t>diggs:columnDiameter</t>
        </is>
      </c>
      <c r="G8" t="inlineStr">
        <is>
          <t>design</t>
        </is>
      </c>
    </row>
    <row r="9">
      <c r="A9">
        <f>IF(ISNA(VLOOKUP(B9,Definitions!B$2:B$1839,1,FALSE)),"Not listed","")</f>
        <v/>
      </c>
      <c r="B9" t="inlineStr">
        <is>
          <t>length</t>
        </is>
      </c>
      <c r="D9" t="inlineStr">
        <is>
          <t>difference</t>
        </is>
      </c>
      <c r="E9" t="inlineStr">
        <is>
          <t>diggs:columnLength</t>
        </is>
      </c>
      <c r="F9" t="inlineStr">
        <is>
          <t>diggs:columnLength</t>
        </is>
      </c>
      <c r="G9" t="inlineStr">
        <is>
          <t>design</t>
        </is>
      </c>
    </row>
    <row r="10">
      <c r="A10">
        <f>IF(ISNA(VLOOKUP(B10,Definitions!B$2:B$1839,1,FALSE)),"Not listed","")</f>
        <v/>
      </c>
      <c r="B10" t="inlineStr">
        <is>
          <t>bearing_stratum_embedment</t>
        </is>
      </c>
      <c r="D10" t="inlineStr">
        <is>
          <t>reverse_difference</t>
        </is>
      </c>
      <c r="E10" t="inlineStr">
        <is>
          <t>number(tokenize(normalize-space(diggs:centerLine//gml:posList),'\s+')[last()])</t>
        </is>
      </c>
      <c r="F10" t="inlineStr">
        <is>
          <t>diggs:location</t>
        </is>
      </c>
      <c r="G10" t="inlineStr">
        <is>
          <t>evidence</t>
        </is>
      </c>
      <c r="H10" t="inlineStr">
        <is>
          <t>volume_top</t>
        </is>
      </c>
      <c r="I10" t="inlineStr">
        <is>
          <t>diggs:columnDiameter</t>
        </is>
      </c>
    </row>
    <row r="11">
      <c r="A11">
        <f>IF(ISNA(VLOOKUP(B11,Definitions!B$2:B$1839,1,FALSE)),"Not listed","")</f>
        <v/>
      </c>
      <c r="B11" t="inlineStr">
        <is>
          <t>bearing_stratum_embedment</t>
        </is>
      </c>
      <c r="D11" t="inlineStr">
        <is>
          <t>reverse_difference</t>
        </is>
      </c>
      <c r="E11" t="inlineStr">
        <is>
          <t>number(tokenize(normalize-space(diggs:centerLine//gml:posList),'\s+')[last()])</t>
        </is>
      </c>
      <c r="F11" t="inlineStr">
        <is>
          <t>diggs:deref(diggs:bearingUnitRef)/diggs:location</t>
        </is>
      </c>
      <c r="G11" t="inlineStr">
        <is>
          <t>design</t>
        </is>
      </c>
      <c r="H11" t="inlineStr">
        <is>
          <t>volume_top</t>
        </is>
      </c>
      <c r="I11" t="inlineStr">
        <is>
          <t>diggs:columnDiameter</t>
        </is>
      </c>
    </row>
    <row r="12">
      <c r="A12">
        <f>IF(ISNA(VLOOKUP(B12,Definitions!B$2:B$1839,1,FALSE)),"Not listed","")</f>
        <v/>
      </c>
      <c r="B12" t="inlineStr">
        <is>
          <t>bearing_stratum_embedment</t>
        </is>
      </c>
      <c r="D12" t="inlineStr">
        <is>
          <t>reverse_difference</t>
        </is>
      </c>
      <c r="E12" t="inlineStr">
        <is>
          <t>number(tokenize(normalize-space(diggs:centerLine//gml:posList),'\s+')[last()])</t>
        </is>
      </c>
      <c r="F12" t="inlineStr">
        <is>
          <t>(diggs:geoUnitDesignQuantity//diggs:bearingStratumLevel//gml:pos)[1]</t>
        </is>
      </c>
      <c r="G12" t="inlineStr">
        <is>
          <t>design</t>
        </is>
      </c>
      <c r="H12" t="inlineStr">
        <is>
          <t>value</t>
        </is>
      </c>
      <c r="I12" t="inlineStr">
        <is>
          <t>diggs:columnDiameter</t>
        </is>
      </c>
    </row>
    <row r="13">
      <c r="A13">
        <f>IF(ISNA(VLOOKUP(B13,Definitions!B$2:B$1839,1,FALSE)),"Not listed","")</f>
        <v/>
      </c>
      <c r="B13" t="inlineStr">
        <is>
          <t>installation_sequence</t>
        </is>
      </c>
      <c r="C13" t="inlineStr">
        <is>
          <t>diggs:RIColumn</t>
        </is>
      </c>
      <c r="D13" t="inlineStr">
        <is>
          <t>sequence_between</t>
        </is>
      </c>
      <c r="E13" t="inlineStr">
        <is>
          <t>diggs:installationSequenceNumber</t>
        </is>
      </c>
    </row>
    <row r="14">
      <c r="A14">
        <f>IF(ISNA(VLOOKUP(B14,Definitions!B$2:B$1839,1,FALSE)),"Not listed","")</f>
        <v/>
      </c>
      <c r="B14" t="inlineStr">
        <is>
          <t>installation_sequence</t>
        </is>
      </c>
      <c r="C14" t="inlineStr">
        <is>
          <t>diggs:RIColumn</t>
        </is>
      </c>
      <c r="D14" t="inlineStr">
        <is>
          <t>sequence_between</t>
        </is>
      </c>
      <c r="E14" t="inlineStr">
        <is>
          <t>diggs:whenConstructed//diggs:start</t>
        </is>
      </c>
    </row>
    <row r="15">
      <c r="A15">
        <f>IF(ISNA(VLOOKUP(B15,Definitions!B$2:B$1839,1,FALSE)),"Not listed","")</f>
        <v/>
      </c>
      <c r="B15" t="inlineStr">
        <is>
          <t>binding_material_content</t>
        </is>
      </c>
      <c r="C15" t="inlineStr">
        <is>
          <t>diggs:GroutBatch</t>
        </is>
      </c>
      <c r="D15" t="inlineStr">
        <is>
          <t>direct</t>
        </is>
      </c>
      <c r="E15" t="inlineStr">
        <is>
          <t>diggs:bindingMaterialContent</t>
        </is>
      </c>
    </row>
    <row r="16">
      <c r="A16">
        <f>IF(ISNA(VLOOKUP(B16,Definitions!B$2:B$1839,1,FALSE)),"Not listed","")</f>
        <v/>
      </c>
      <c r="B16" t="inlineStr">
        <is>
          <t>chloride_content_in_concrete</t>
        </is>
      </c>
      <c r="C16" t="inlineStr">
        <is>
          <t>diggs:GroutBatch</t>
        </is>
      </c>
      <c r="D16" t="inlineStr">
        <is>
          <t>direct</t>
        </is>
      </c>
      <c r="E16" t="inlineStr">
        <is>
          <t>diggs:chlorideContentOfMix</t>
        </is>
      </c>
    </row>
    <row r="17">
      <c r="A17">
        <f>IF(ISNA(VLOOKUP(B17,Definitions!B$2:B$1839,1,FALSE)),"Not listed","")</f>
        <v/>
      </c>
    </row>
    <row r="18">
      <c r="A18">
        <f>IF(ISNA(VLOOKUP(B18,Definitions!B$2:B$1839,1,FALSE)),"Not listed","")</f>
        <v/>
      </c>
    </row>
    <row r="19">
      <c r="A19">
        <f>IF(ISNA(VLOOKUP(B19,Definitions!B$2:B$1839,1,FALSE)),"Not listed","")</f>
        <v/>
      </c>
    </row>
    <row r="20">
      <c r="A20">
        <f>IF(ISNA(VLOOKUP(B20,Definitions!B$2:B$1839,1,FALSE)),"Not listed","")</f>
        <v/>
      </c>
    </row>
    <row r="21">
      <c r="A21">
        <f>IF(ISNA(VLOOKUP(B21,Definitions!B$2:B$1839,1,FALSE)),"Not listed","")</f>
        <v/>
      </c>
    </row>
    <row r="22">
      <c r="A22">
        <f>IF(ISNA(VLOOKUP(B22,Definitions!B$2:B$1839,1,FALSE)),"Not listed","")</f>
        <v/>
      </c>
    </row>
    <row r="23">
      <c r="A23">
        <f>IF(ISNA(VLOOKUP(B23,Definitions!B$2:B$1839,1,FALSE)),"Not listed","")</f>
        <v/>
      </c>
    </row>
    <row r="24">
      <c r="A24">
        <f>IF(ISNA(VLOOKUP(B24,Definitions!B$2:B$1839,1,FALSE)),"Not listed","")</f>
        <v/>
      </c>
    </row>
    <row r="25">
      <c r="A25">
        <f>IF(ISNA(VLOOKUP(B25,Definitions!B$2:B$1839,1,FALSE)),"Not listed","")</f>
        <v/>
      </c>
    </row>
    <row r="26">
      <c r="A26">
        <f>IF(ISNA(VLOOKUP(B26,Definitions!B$2:B$1839,1,FALSE)),"Not listed","")</f>
        <v/>
      </c>
    </row>
    <row r="27">
      <c r="A27">
        <f>IF(ISNA(VLOOKUP(B27,Definitions!B$2:B$1839,1,FALSE)),"Not listed","")</f>
        <v/>
      </c>
    </row>
    <row r="28">
      <c r="A28">
        <f>IF(ISNA(VLOOKUP(B28,Definitions!B$2:B$1839,1,FALSE)),"Not listed","")</f>
        <v/>
      </c>
    </row>
    <row r="29">
      <c r="A29">
        <f>IF(ISNA(VLOOKUP(B29,Definitions!B$2:B$1839,1,FALSE)),"Not listed","")</f>
        <v/>
      </c>
    </row>
    <row r="30">
      <c r="A30">
        <f>IF(ISNA(VLOOKUP(B30,Definitions!B$2:B$1839,1,FALSE)),"Not listed","")</f>
        <v/>
      </c>
    </row>
    <row r="31">
      <c r="A31">
        <f>IF(ISNA(VLOOKUP(B31,Definitions!B$2:B$1839,1,FALSE)),"Not listed","")</f>
        <v/>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2026-09-30T21:06:26Z</dcterms:modified>
  <cp:lastModifiedBy>Ponti, Daniel J</cp:lastModifiedBy>
</cp:coreProperties>
</file>