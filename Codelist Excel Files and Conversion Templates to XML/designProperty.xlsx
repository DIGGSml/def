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return sort(root(.)//diggs:RIColumnConstruction[diggs:samplingFeatureRef/@xlink:href = $id]/diggs:installationRecord//diggs:timeDomain//(gml:timePosition | gml:endPosition | diggs:end))[last()]</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diggs:whenConstructed//diggs:end</t>
        </is>
      </c>
      <c r="F26" t="inlineStr">
        <is>
          <t>(diggs:samplingDate | diggs:deref(diggs:samplingActivityRef)/diggs:samplingDate)/diggs:TimeInterval/diggs:start</t>
        </is>
      </c>
      <c r="G26" t="inlineStr">
        <is>
          <t>evidence</t>
        </is>
      </c>
    </row>
    <row r="27">
      <c r="A27">
        <f>IF(ISNA(VLOOKUP(B27,Definitions!B$2:B$1839,1,FALSE)),"Not listed","")</f>
        <v/>
      </c>
      <c r="B27" t="inlineStr">
        <is>
          <t>sampling_frequency</t>
        </is>
      </c>
      <c r="C27" t="inlineStr">
        <is>
          <t>diggs:GroutBatch</t>
        </is>
      </c>
      <c r="D27" t="inlineStr">
        <is>
          <t>frequency</t>
        </is>
      </c>
      <c r="E27" t="inlineStr">
        <is>
          <t>distinct-values($evidence//diggs:GroutSpecimen/diggs:extractionTime/normalize-space(.))</t>
        </is>
      </c>
      <c r="I27" t="inlineStr">
        <is>
          <t>diggs:totalBatchVolume</t>
        </is>
      </c>
    </row>
    <row r="28">
      <c r="A28">
        <f>IF(ISNA(VLOOKUP(B28,Definitions!B$2:B$1839,1,FALSE)),"Not listed","")</f>
        <v/>
      </c>
      <c r="B28" t="inlineStr">
        <is>
          <t>sampling_frequency</t>
        </is>
      </c>
      <c r="C28" t="inlineStr">
        <is>
          <t>diggs:GroutBatch</t>
        </is>
      </c>
      <c r="D28" t="inlineStr">
        <is>
          <t>frequency</t>
        </is>
      </c>
      <c r="E28" t="inlineStr">
        <is>
          <t>distinct-values(for $s in $evidence//diggs:GroutSpecimen[diggs:ageAtTest[@uom='d']] return string(xs:date(substring(string($s/ancestor::diggs:MaterialTest/diggs:samplingTime//gml:timePosition), 1, 10)) - xs:dayTimeDuration(concat('P', $s/diggs:ageAtTest, 'D'))))</t>
        </is>
      </c>
      <c r="I28" t="inlineStr">
        <is>
          <t>diggs:totalBatchVolume</t>
        </is>
      </c>
    </row>
    <row r="29">
      <c r="A29">
        <f>IF(ISNA(VLOOKUP(B29,Definitions!B$2:B$1839,1,FALSE)),"Not listed","")</f>
        <v/>
      </c>
      <c r="B29" t="inlineStr">
        <is>
          <t>penetration_over_interval</t>
        </is>
      </c>
      <c r="C29" t="inlineStr">
        <is>
          <t>diggs:RIColumn</t>
        </is>
      </c>
      <c r="D29" t="inlineStr">
        <is>
          <t>change_over_window</t>
        </is>
      </c>
      <c r="E29" t="inlineStr">
        <is>
          <t>diggs:series(($evidence/descendant-or-self::diggs:RIInstallationRecord[.//diggs:propertyClass/@codeSpace[ends-with(., '#depth')]])[1], 'depth')</t>
        </is>
      </c>
      <c r="F29" t="inlineStr">
        <is>
          <t>let $s := diggs:series((descendant-or-self::diggs:RIInstallationRecord[.//diggs:propertyClass/@codeSpace[ends-with(., '#depth')]])[1], 'depth'), $m := max($s ! ?2) return ($s[?2 = $m])[1]?1</t>
        </is>
      </c>
      <c r="G29" t="inlineStr">
        <is>
          <t>evidence</t>
        </is>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2026-10-04T07:34:20Z</dcterms:modified>
  <cp:lastModifiedBy>Ponti, Daniel J</cp:lastModifiedBy>
</cp:coreProperties>
</file>