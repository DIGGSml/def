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propertyClass</t>
        </is>
      </c>
      <c r="C3" s="12" t="inlineStr">
        <is>
          <t>design_factor_properties</t>
        </is>
      </c>
      <c r="D3" s="12" t="inlineStr">
        <is>
          <t>DIGGS Design Factor Properties</t>
        </is>
      </c>
      <c r="E3" s="2" t="inlineStr">
        <is>
          <t>This dictionary defines the factor names carried by the parameterName property of a diggs:DesignFactor object (core/Common.xsd). Two families of entry are present: partial and global safety factors (Design Parameter Analysis Group A row 11) and geosynthetic reduction factors A1-A5 plus the combined material factor f_m (Group G row 65, reused by row 93's durability RF chain). What each factor is applied to is carried separately, by diggs:DesignFactor/appliesTo (see the appliesTo.xml codelist) - splitting factor identity from what it is applied to is the reason diggs:DesignFactor exists rather than a bare AuthorizedParameter array; see DesignFactor's own schema documentation.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partial_factor_permanent_unfavourable</t>
        </is>
      </c>
      <c r="C2" s="13" t="inlineStr">
        <is>
          <t>Partial factor, unfavourable permanent action</t>
        </is>
      </c>
      <c r="D2" s="14" t="inlineStr">
        <is>
          <t>Partial factor applied to an unfavourable (destabilising) permanent action, gamma_G, per a Eurocode 7 or equivalent partial-factor design approach.</t>
        </is>
      </c>
      <c r="E2" s="13" t="inlineStr">
        <is>
          <t>double</t>
        </is>
      </c>
      <c r="F2" s="13" t="inlineStr">
        <is>
          <t>dimensionless</t>
        </is>
      </c>
      <c r="G2" s="9" t="inlineStr">
        <is>
          <t>EN 1997-1</t>
        </is>
      </c>
    </row>
    <row r="3">
      <c r="A3" s="2">
        <f>IF(ISNA(VLOOKUP(B3,AssociatedElements!B$2:B2941,1,FALSE)),"Not used","")</f>
        <v/>
      </c>
      <c r="B3" s="13" t="inlineStr">
        <is>
          <t>partial_factor_permanent_favourable</t>
        </is>
      </c>
      <c r="C3" s="13" t="inlineStr">
        <is>
          <t>Partial factor, favourable permanent action</t>
        </is>
      </c>
      <c r="D3" s="14" t="inlineStr">
        <is>
          <t>Partial factor applied to a favourable (stabilising) permanent action, gamma_G,fav, per a Eurocode 7 or equivalent partial-factor design approach.</t>
        </is>
      </c>
      <c r="E3" s="13" t="inlineStr">
        <is>
          <t>double</t>
        </is>
      </c>
      <c r="F3" s="13" t="inlineStr">
        <is>
          <t>dimensionless</t>
        </is>
      </c>
      <c r="G3" s="9" t="inlineStr">
        <is>
          <t>EN 1997-1</t>
        </is>
      </c>
    </row>
    <row r="4">
      <c r="A4" s="2">
        <f>IF(ISNA(VLOOKUP(B4,AssociatedElements!B$2:B2942,1,FALSE)),"Not used","")</f>
        <v/>
      </c>
      <c r="B4" t="inlineStr">
        <is>
          <t>partial_factor_variable_unfavourable</t>
        </is>
      </c>
      <c r="C4" t="inlineStr">
        <is>
          <t>Partial factor, unfavourable variable action</t>
        </is>
      </c>
      <c r="D4" t="inlineStr">
        <is>
          <t>Partial factor applied to an unfavourable (destabilising) variable action, gamma_Q, per a Eurocode 7 or equivalent partial-factor design approach.</t>
        </is>
      </c>
      <c r="E4" t="inlineStr">
        <is>
          <t>double</t>
        </is>
      </c>
      <c r="F4" t="inlineStr">
        <is>
          <t>dimensionless</t>
        </is>
      </c>
      <c r="G4" s="9" t="inlineStr">
        <is>
          <t>EN 1997-1</t>
        </is>
      </c>
    </row>
    <row r="5">
      <c r="A5" s="2">
        <f>IF(ISNA(VLOOKUP(B5,AssociatedElements!B$2:B2943,1,FALSE)),"Not used","")</f>
        <v/>
      </c>
      <c r="B5" s="13" t="inlineStr">
        <is>
          <t>partial_factor_material_friction_angle</t>
        </is>
      </c>
      <c r="C5" s="13" t="inlineStr">
        <is>
          <t>Partial factor, friction angle</t>
        </is>
      </c>
      <c r="D5" s="14" t="inlineStr">
        <is>
          <t>Partial factor applied to the characteristic soil friction angle (tan phi'), gamma_phi', per a Eurocode 7 Design Approach 3 or equivalent material-factor design approach.</t>
        </is>
      </c>
      <c r="E5" s="13" t="inlineStr">
        <is>
          <t>double</t>
        </is>
      </c>
      <c r="F5" s="13" t="inlineStr">
        <is>
          <t>dimensionless</t>
        </is>
      </c>
      <c r="G5" s="9" t="inlineStr">
        <is>
          <t>EN 1997-1</t>
        </is>
      </c>
    </row>
    <row r="6">
      <c r="A6" s="2">
        <f>IF(ISNA(VLOOKUP(B6,AssociatedElements!B$2:B2944,1,FALSE)),"Not used","")</f>
        <v/>
      </c>
      <c r="B6" t="inlineStr">
        <is>
          <t>partial_factor_material_cohesion</t>
        </is>
      </c>
      <c r="C6" s="16" t="inlineStr">
        <is>
          <t>Partial factor, cohesion</t>
        </is>
      </c>
      <c r="D6" s="16" t="inlineStr">
        <is>
          <t>Partial factor applied to the characteristic soil cohesion or undrained shear strength, gamma_c', per a Eurocode 7 Design Approach 3 or equivalent material-factor design approach.</t>
        </is>
      </c>
      <c r="E6" s="17" t="inlineStr">
        <is>
          <t>double</t>
        </is>
      </c>
      <c r="F6" t="inlineStr">
        <is>
          <t>dimensionless</t>
        </is>
      </c>
      <c r="G6" s="9" t="inlineStr">
        <is>
          <t>EN 1997-1</t>
        </is>
      </c>
    </row>
    <row r="7">
      <c r="A7" s="2">
        <f>IF(ISNA(VLOOKUP(B7,AssociatedElements!B$2:B2945,1,FALSE)),"Not used","")</f>
        <v/>
      </c>
      <c r="B7" t="inlineStr">
        <is>
          <t>partial_factor_resistance</t>
        </is>
      </c>
      <c r="C7" t="inlineStr">
        <is>
          <t>Partial factor, resistance</t>
        </is>
      </c>
      <c r="D7" t="inlineStr">
        <is>
          <t>Partial factor applied to a calculated geotechnical resistance - bearing, sliding or pull-out - gamma_R, per a Eurocode 7 Design Approach 2 or equivalent resistance-factor design approach.</t>
        </is>
      </c>
      <c r="E7" t="inlineStr">
        <is>
          <t>double</t>
        </is>
      </c>
      <c r="F7" t="inlineStr">
        <is>
          <t>dimensionless</t>
        </is>
      </c>
      <c r="G7" s="9" t="inlineStr">
        <is>
          <t>EN 1997-1</t>
        </is>
      </c>
    </row>
    <row r="8">
      <c r="A8" s="2">
        <f>IF(ISNA(VLOOKUP(B8,AssociatedElements!B$2:B2946,1,FALSE)),"Not used","")</f>
        <v/>
      </c>
      <c r="B8" t="inlineStr">
        <is>
          <t>global_factor_of_safety</t>
        </is>
      </c>
      <c r="C8" t="inlineStr">
        <is>
          <t>Global factor of safety</t>
        </is>
      </c>
      <c r="D8" t="inlineStr">
        <is>
          <t>A single global factor of safety applied to an ultimate capacity, per an allowable-stress (working-stress) design approach rather than a partial-factor framework.</t>
        </is>
      </c>
      <c r="E8" t="inlineStr">
        <is>
          <t>double</t>
        </is>
      </c>
      <c r="F8" t="inlineStr">
        <is>
          <t>dimensionless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reduction_factor_creep</t>
        </is>
      </c>
      <c r="C9" s="16" t="inlineStr">
        <is>
          <t>Reduction factor, creep (A1)</t>
        </is>
      </c>
      <c r="D9" s="16" t="inlineStr">
        <is>
          <t>The geosynthetic reduction factor for creep, conventionally labelled A1, applied to the characteristic tensile strength to derive the long-term design strength.</t>
        </is>
      </c>
      <c r="E9" s="17" t="inlineStr">
        <is>
          <t>double</t>
        </is>
      </c>
      <c r="F9" t="inlineStr">
        <is>
          <t>dimensionless</t>
        </is>
      </c>
      <c r="G9" s="9" t="inlineStr">
        <is>
          <t>BS 8006-1:2010+A1:2016</t>
        </is>
      </c>
    </row>
    <row r="10">
      <c r="A10" s="2">
        <f>IF(ISNA(VLOOKUP(B10,AssociatedElements!B$2:B2948,1,FALSE)),"Not used","")</f>
        <v/>
      </c>
      <c r="B10" s="13" t="inlineStr">
        <is>
          <t>reduction_factor_installation_damage</t>
        </is>
      </c>
      <c r="C10" s="13" t="inlineStr">
        <is>
          <t>Reduction factor, installation damage (A2)</t>
        </is>
      </c>
      <c r="D10" s="14" t="inlineStr">
        <is>
          <t>The geosynthetic reduction factor for installation damage, conventionally labelled A2, applied to the characteristic tensile strength to derive the long-term design strength.</t>
        </is>
      </c>
      <c r="E10" s="13" t="inlineStr">
        <is>
          <t>double</t>
        </is>
      </c>
      <c r="F10" s="13" t="inlineStr">
        <is>
          <t>dimensionless</t>
        </is>
      </c>
      <c r="G10" s="9" t="inlineStr">
        <is>
          <t>BS 8006-1:2010+A1:2016</t>
        </is>
      </c>
    </row>
    <row r="11">
      <c r="A11" s="2">
        <f>IF(ISNA(VLOOKUP(B11,AssociatedElements!B$2:B2949,1,FALSE)),"Not used","")</f>
        <v/>
      </c>
      <c r="B11" s="13" t="inlineStr">
        <is>
          <t>reduction_factor_weathering</t>
        </is>
      </c>
      <c r="C11" s="13" t="inlineStr">
        <is>
          <t>Reduction factor, weathering (A3)</t>
        </is>
      </c>
      <c r="D11" s="14" t="inlineStr">
        <is>
          <t>The geosynthetic reduction factor for weathering (environmental/UV degradation prior to burial), conventionally labelled A3, applied to the characteristic tensile strength to derive the long-term design strength.</t>
        </is>
      </c>
      <c r="E11" s="13" t="inlineStr">
        <is>
          <t>double</t>
        </is>
      </c>
      <c r="F11" s="13" t="inlineStr">
        <is>
          <t>dimensionless</t>
        </is>
      </c>
      <c r="G11" s="9" t="inlineStr">
        <is>
          <t>BS 8006-1:2010+A1:2016</t>
        </is>
      </c>
    </row>
    <row r="12">
      <c r="A12" s="2">
        <f>IF(ISNA(VLOOKUP(B12,AssociatedElements!B$2:B2950,1,FALSE)),"Not used","")</f>
        <v/>
      </c>
      <c r="B12" s="13" t="inlineStr">
        <is>
          <t>reduction_factor_chemical_degradation</t>
        </is>
      </c>
      <c r="C12" s="13" t="inlineStr">
        <is>
          <t>Reduction factor, chemical/biological degradation (A4)</t>
        </is>
      </c>
      <c r="D12" s="14" t="inlineStr">
        <is>
          <t>The geosynthetic reduction factor for chemical or biological degradation in service, conventionally labelled A4, applied to the characteristic tensile strength to derive the long-term design strength.</t>
        </is>
      </c>
      <c r="E12" s="13" t="inlineStr">
        <is>
          <t>double</t>
        </is>
      </c>
      <c r="F12" s="13" t="inlineStr">
        <is>
          <t>dimensionless</t>
        </is>
      </c>
      <c r="G12" s="9" t="inlineStr">
        <is>
          <t>BS 8006-1:2010+A1:2016</t>
        </is>
      </c>
    </row>
    <row r="13">
      <c r="A13" s="2">
        <f>IF(ISNA(VLOOKUP(B13,AssociatedElements!B$2:B2951,1,FALSE)),"Not used","")</f>
        <v/>
      </c>
      <c r="B13" s="13" t="inlineStr">
        <is>
          <t>reduction_factor_joints_seams</t>
        </is>
      </c>
      <c r="C13" s="13" t="inlineStr">
        <is>
          <t>Reduction factor, joints and seams (A5)</t>
        </is>
      </c>
      <c r="D13" s="14" t="inlineStr">
        <is>
          <t>The geosynthetic reduction factor for joints and seams, conventionally labelled A5, applied to the characteristic tensile strength to derive the long-term design strength.</t>
        </is>
      </c>
      <c r="E13" s="13" t="inlineStr">
        <is>
          <t>double</t>
        </is>
      </c>
      <c r="F13" s="13" t="inlineStr">
        <is>
          <t>dimensionless</t>
        </is>
      </c>
      <c r="G13" s="9" t="inlineStr">
        <is>
          <t>BS 8006-1:2010+A1:2016</t>
        </is>
      </c>
    </row>
    <row r="14">
      <c r="A14" s="2">
        <f>IF(ISNA(VLOOKUP(B14,AssociatedElements!B$2:B2952,1,FALSE)),"Not used","")</f>
        <v/>
      </c>
      <c r="B14" s="13" t="inlineStr">
        <is>
          <t>material_partial_factor_geosynthetic</t>
        </is>
      </c>
      <c r="C14" s="13" t="inlineStr">
        <is>
          <t>Geosynthetic material partial factor (f_m)</t>
        </is>
      </c>
      <c r="D14" s="14" t="inlineStr">
        <is>
          <t>The combined material partial factor f_m applied to a geosynthetic's long-term design strength, distinct from the individual A1-A5 reduction factors it may be built from.</t>
        </is>
      </c>
      <c r="E14" s="13" t="inlineStr">
        <is>
          <t>double</t>
        </is>
      </c>
      <c r="F14" s="13" t="inlineStr">
        <is>
          <t>dimensionless</t>
        </is>
      </c>
      <c r="G14" s="9" t="inlineStr">
        <is>
          <t>BS 8006-1:2010+A1:2016</t>
        </is>
      </c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partial_factor_permanent_unfavourable</t>
        </is>
      </c>
      <c r="C2" t="inlineStr">
        <is>
          <t>//diggs:parameterName</t>
        </is>
      </c>
      <c r="D2" t="inlineStr">
        <is>
          <t>ancestor::diggs:DesignFactor</t>
        </is>
      </c>
    </row>
    <row r="3">
      <c r="A3">
        <f>IF(ISNA(VLOOKUP(B3,Definitions!B$2:B$1839,1,FALSE)),"Not listed","")</f>
        <v/>
      </c>
      <c r="B3" s="20" t="inlineStr">
        <is>
          <t>partial_factor_permanent_favourable</t>
        </is>
      </c>
      <c r="C3" t="inlineStr">
        <is>
          <t>//diggs:parameterName</t>
        </is>
      </c>
      <c r="D3" t="inlineStr">
        <is>
          <t>ancestor::diggs:DesignFactor</t>
        </is>
      </c>
    </row>
    <row r="4">
      <c r="A4">
        <f>IF(ISNA(VLOOKUP(B4,Definitions!B$2:B$1839,1,FALSE)),"Not listed","")</f>
        <v/>
      </c>
      <c r="B4" s="2" t="inlineStr">
        <is>
          <t>partial_factor_variable_unfavourable</t>
        </is>
      </c>
      <c r="C4" t="inlineStr">
        <is>
          <t>//diggs:parameterName</t>
        </is>
      </c>
      <c r="D4" t="inlineStr">
        <is>
          <t>ancestor::diggs:DesignFactor</t>
        </is>
      </c>
    </row>
    <row r="5">
      <c r="A5">
        <f>IF(ISNA(VLOOKUP(B5,Definitions!B$2:B$1839,1,FALSE)),"Not listed","")</f>
        <v/>
      </c>
      <c r="B5" s="2" t="inlineStr">
        <is>
          <t>partial_factor_material_friction_angle</t>
        </is>
      </c>
      <c r="C5" t="inlineStr">
        <is>
          <t>//diggs:parameterName</t>
        </is>
      </c>
      <c r="D5" t="inlineStr">
        <is>
          <t>ancestor::diggs:DesignFactor</t>
        </is>
      </c>
    </row>
    <row r="6">
      <c r="A6">
        <f>IF(ISNA(VLOOKUP(B6,Definitions!B$2:B$1839,1,FALSE)),"Not listed","")</f>
        <v/>
      </c>
      <c r="B6" s="2" t="inlineStr">
        <is>
          <t>partial_factor_material_cohesion</t>
        </is>
      </c>
      <c r="C6" t="inlineStr">
        <is>
          <t>//diggs:parameterName</t>
        </is>
      </c>
      <c r="D6" t="inlineStr">
        <is>
          <t>ancestor::diggs:DesignFactor</t>
        </is>
      </c>
    </row>
    <row r="7">
      <c r="A7">
        <f>IF(ISNA(VLOOKUP(B7,Definitions!B$2:B$1839,1,FALSE)),"Not listed","")</f>
        <v/>
      </c>
      <c r="B7" s="2" t="inlineStr">
        <is>
          <t>partial_factor_resistance</t>
        </is>
      </c>
      <c r="C7" t="inlineStr">
        <is>
          <t>//diggs:parameterName</t>
        </is>
      </c>
      <c r="D7" t="inlineStr">
        <is>
          <t>ancestor::diggs:DesignFactor</t>
        </is>
      </c>
    </row>
    <row r="8">
      <c r="A8">
        <f>IF(ISNA(VLOOKUP(B8,Definitions!B$2:B$1839,1,FALSE)),"Not listed","")</f>
        <v/>
      </c>
      <c r="B8" s="2" t="inlineStr">
        <is>
          <t>global_factor_of_safety</t>
        </is>
      </c>
      <c r="C8" t="inlineStr">
        <is>
          <t>//diggs:parameterName</t>
        </is>
      </c>
      <c r="D8" t="inlineStr">
        <is>
          <t>ancestor::diggs:DesignFactor</t>
        </is>
      </c>
    </row>
    <row r="9">
      <c r="A9">
        <f>IF(ISNA(VLOOKUP(B9,Definitions!B$2:B$1839,1,FALSE)),"Not listed","")</f>
        <v/>
      </c>
      <c r="B9" s="2" t="inlineStr">
        <is>
          <t>reduction_factor_creep</t>
        </is>
      </c>
      <c r="C9" t="inlineStr">
        <is>
          <t>//diggs:parameterName</t>
        </is>
      </c>
      <c r="D9" t="inlineStr">
        <is>
          <t>ancestor::diggs:DesignFactor</t>
        </is>
      </c>
    </row>
    <row r="10">
      <c r="A10">
        <f>IF(ISNA(VLOOKUP(B10,Definitions!B$2:B$1839,1,FALSE)),"Not listed","")</f>
        <v/>
      </c>
      <c r="B10" s="20" t="inlineStr">
        <is>
          <t>reduction_factor_installation_damage</t>
        </is>
      </c>
      <c r="C10" t="inlineStr">
        <is>
          <t>//diggs:parameterName</t>
        </is>
      </c>
      <c r="D10" t="inlineStr">
        <is>
          <t>ancestor::diggs:DesignFactor</t>
        </is>
      </c>
    </row>
    <row r="11">
      <c r="A11">
        <f>IF(ISNA(VLOOKUP(B11,Definitions!B$2:B$1839,1,FALSE)),"Not listed","")</f>
        <v/>
      </c>
      <c r="B11" s="20" t="inlineStr">
        <is>
          <t>reduction_factor_weathering</t>
        </is>
      </c>
      <c r="C11" t="inlineStr">
        <is>
          <t>//diggs:parameterName</t>
        </is>
      </c>
      <c r="D11" t="inlineStr">
        <is>
          <t>ancestor::diggs:DesignFactor</t>
        </is>
      </c>
    </row>
    <row r="12">
      <c r="A12">
        <f>IF(ISNA(VLOOKUP(B12,Definitions!B$2:B$1839,1,FALSE)),"Not listed","")</f>
        <v/>
      </c>
      <c r="B12" s="20" t="inlineStr">
        <is>
          <t>reduction_factor_chemical_degradation</t>
        </is>
      </c>
      <c r="C12" t="inlineStr">
        <is>
          <t>//diggs:parameterName</t>
        </is>
      </c>
      <c r="D12" t="inlineStr">
        <is>
          <t>ancestor::diggs:DesignFactor</t>
        </is>
      </c>
    </row>
    <row r="13">
      <c r="A13">
        <f>IF(ISNA(VLOOKUP(B13,Definitions!B$2:B$1839,1,FALSE)),"Not listed","")</f>
        <v/>
      </c>
      <c r="B13" s="20" t="inlineStr">
        <is>
          <t>reduction_factor_joints_seams</t>
        </is>
      </c>
      <c r="C13" t="inlineStr">
        <is>
          <t>//diggs:parameterName</t>
        </is>
      </c>
      <c r="D13" t="inlineStr">
        <is>
          <t>ancestor::diggs:DesignFactor</t>
        </is>
      </c>
    </row>
    <row r="14">
      <c r="A14">
        <f>IF(ISNA(VLOOKUP(B14,Definitions!B$2:B$1839,1,FALSE)),"Not listed","")</f>
        <v/>
      </c>
      <c r="B14" s="20" t="inlineStr">
        <is>
          <t>material_partial_factor_geosynthetic</t>
        </is>
      </c>
      <c r="C14" t="inlineStr">
        <is>
          <t>//diggs:parameterName</t>
        </is>
      </c>
      <c r="D14" t="inlineStr">
        <is>
          <t>ancestor::diggs:DesignFactor</t>
        </is>
      </c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2026-08-17T05:26:15Z</dcterms:modified>
  <cp:lastModifiedBy>Ponti, Daniel J</cp:lastModifiedBy>
</cp:coreProperties>
</file>