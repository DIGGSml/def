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dynamicLoadTestMethod</t>
        </is>
      </c>
      <c r="C3" s="12" t="inlineStr">
        <is>
          <t>dynamicLoadTestMethod</t>
        </is>
      </c>
      <c r="D3" s="12" t="inlineStr">
        <is>
          <t>DIGGS Dynamic Load Test Method Codelist Definitions</t>
        </is>
      </c>
      <c r="E3" s="2" t="inlineStr">
        <is>
          <t>Codes classifying the method used to evaluate pile/element compressive resistance from a high-strain dynamic (hammer impact) load test. Used for the value of diggs:DynamicLoadTestType/testMethod. Spans EN ISO 22477-4's four named methods and adds signal_matching for the CAPWAP-style companion analysis US practice under ASTM D4945 names as a distinct step from the base impact measurement.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IF(ISNA(VLOOKUP(B2,AssociatedElements!B$2:B$999,1,FALSE)),"Not used","")</f>
        <v/>
      </c>
      <c r="B2" s="13" t="inlineStr">
        <is>
          <t>dynamic_impact_testing</t>
        </is>
      </c>
      <c r="C2" s="13" t="inlineStr">
        <is>
          <t>Dynamic Impact Testing</t>
        </is>
      </c>
      <c r="D2" s="14" t="inlineStr">
        <is>
          <t>Resistance evaluated from measurements of strain and acceleration (or displacement) at the element head during hammer impact. ASTM D4945; EN ISO 22477-4 method (a).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IF(ISNA(VLOOKUP(B3,AssociatedElements!B$2:B$999,1,FALSE)),"Not used","")</f>
        <v/>
      </c>
      <c r="B3" s="13" t="inlineStr">
        <is>
          <t>signal_matching</t>
        </is>
      </c>
      <c r="C3" s="13" t="inlineStr">
        <is>
          <t>Signal Matching</t>
        </is>
      </c>
      <c r="D3" s="14" t="inlineStr">
        <is>
          <t>Resistance evaluated by matching a computed wave-equation response to the measured force and velocity records from a dynamic impact test, adjusting the soil model until the match is acceptable - CAPWAP or an equivalent signal-matching analysis. The near-universal companion analysis to ASTM D4945 dynamic impact testing in US practice; a form of wave equation analysis under EN ISO 22477-4.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IF(ISNA(VLOOKUP(B4,AssociatedElements!B$2:B$999,1,FALSE)),"Not used","")</f>
        <v/>
      </c>
      <c r="B4" t="inlineStr">
        <is>
          <t>driving_formula</t>
        </is>
      </c>
      <c r="C4" t="inlineStr">
        <is>
          <t>Driving Formula</t>
        </is>
      </c>
      <c r="D4" t="inlineStr">
        <is>
          <t>Resistance evaluated from blow count and hammer energy during driving using an empirical driving formula. EN ISO 22477-4 method (b).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IF(ISNA(VLOOKUP(B5,AssociatedElements!B$2:B$999,1,FALSE)),"Not used","")</f>
        <v/>
      </c>
      <c r="B5" s="13" t="inlineStr">
        <is>
          <t>wave_equation_analysis</t>
        </is>
      </c>
      <c r="C5" s="13" t="inlineStr">
        <is>
          <t>Wave Equation Analysis</t>
        </is>
      </c>
      <c r="D5" s="14" t="inlineStr">
        <is>
          <t>Resistance evaluated from blow count by modelling the pile/element, ground and driving equipment as a wave-propagation system. EN ISO 22477-4 method (c). Distinct from signal_matching, which fits a wave-equation model to MEASURED force and velocity records rather than predicting resistance from blow count alone.</t>
        </is>
      </c>
      <c r="E5" s="13" t="inlineStr">
        <is>
          <t>string</t>
        </is>
      </c>
      <c r="F5" s="13" t="n"/>
      <c r="G5" s="9" t="inlineStr">
        <is>
          <t>DIGGS</t>
        </is>
      </c>
    </row>
    <row r="6">
      <c r="A6" s="2">
        <f>IF(ISNA(VLOOKUP(B6,AssociatedElements!B$2:B$999,1,FALSE)),"Not used","")</f>
        <v/>
      </c>
      <c r="B6" t="inlineStr">
        <is>
          <t>multi_blow_testing</t>
        </is>
      </c>
      <c r="C6" s="16" t="inlineStr">
        <is>
          <t>Multi-Blow Dynamic Testing</t>
        </is>
      </c>
      <c r="D6" s="16" t="inlineStr">
        <is>
          <t>Resistance evaluated from a series of blows producing different levels of element head displacement and velocity. EN ISO 22477-4 method (d).</t>
        </is>
      </c>
      <c r="E6" s="17" t="inlineStr">
        <is>
          <t>string</t>
        </is>
      </c>
      <c r="G6" s="9" t="inlineStr">
        <is>
          <t>DIGGS</t>
        </is>
      </c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IF(ISNA(VLOOKUP(B2,Definitions!B$2:B$999,1,FALSE)),"Not listed","")</f>
        <v/>
      </c>
      <c r="B2" s="2" t="inlineStr">
        <is>
          <t>dynamic_impact_testing</t>
        </is>
      </c>
      <c r="C2" t="inlineStr">
        <is>
          <t>//diggs:DynamicLoadTest/diggs:testMethod</t>
        </is>
      </c>
    </row>
    <row r="3">
      <c r="A3">
        <f>IF(ISNA(VLOOKUP(B3,Definitions!B$2:B$999,1,FALSE)),"Not listed","")</f>
        <v/>
      </c>
      <c r="B3" s="20" t="inlineStr">
        <is>
          <t>signal_matching</t>
        </is>
      </c>
      <c r="C3" t="inlineStr">
        <is>
          <t>//diggs:DynamicLoadTest/diggs:testMethod</t>
        </is>
      </c>
    </row>
    <row r="4">
      <c r="A4">
        <f>IF(ISNA(VLOOKUP(B4,Definitions!B$2:B$999,1,FALSE)),"Not listed","")</f>
        <v/>
      </c>
      <c r="B4" s="2" t="inlineStr">
        <is>
          <t>driving_formula</t>
        </is>
      </c>
      <c r="C4" t="inlineStr">
        <is>
          <t>//diggs:DynamicLoadTest/diggs:testMethod</t>
        </is>
      </c>
    </row>
    <row r="5">
      <c r="A5">
        <f>IF(ISNA(VLOOKUP(B5,Definitions!B$2:B$999,1,FALSE)),"Not listed","")</f>
        <v/>
      </c>
      <c r="B5" s="2" t="inlineStr">
        <is>
          <t>wave_equation_analysis</t>
        </is>
      </c>
      <c r="C5" t="inlineStr">
        <is>
          <t>//diggs:DynamicLoadTest/diggs:testMethod</t>
        </is>
      </c>
    </row>
    <row r="6">
      <c r="A6">
        <f>IF(ISNA(VLOOKUP(B6,Definitions!B$2:B$999,1,FALSE)),"Not listed","")</f>
        <v/>
      </c>
      <c r="B6" s="2" t="inlineStr">
        <is>
          <t>multi_blow_testing</t>
        </is>
      </c>
      <c r="C6" t="inlineStr">
        <is>
          <t>//diggs:DynamicLoadTest/diggs:testMethod</t>
        </is>
      </c>
    </row>
    <row r="7">
      <c r="A7">
        <f>IF(ISNA(VLOOKUP(B7,Definitions!B$2:B$1839,1,FALSE)),"Not listed","")</f>
        <v/>
      </c>
      <c r="B7" s="2" t="n"/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2026-08-31T22:03:55Z</dcterms:modified>
  <cp:lastModifiedBy>Ponti, Daniel J</cp:lastModifiedBy>
</cp:coreProperties>
</file>