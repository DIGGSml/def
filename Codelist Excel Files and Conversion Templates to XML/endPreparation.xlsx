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endPreparation</t>
        </is>
      </c>
      <c r="C3" s="12" t="inlineStr">
        <is>
          <t>endPreparation</t>
        </is>
      </c>
      <c r="D3" s="12" t="inlineStr">
        <is>
          <t>DIGGS Specimen End Preparation Codelist Definitions</t>
        </is>
      </c>
      <c r="E3" s="2" t="inlineStr">
        <is>
          <t>Codes classifying how the loaded end faces of a specimen were prepared before a compression test. Used for the value of diggs:GroutSpecimen/diggs:endPreparation, which repeats where the ends were prepared in more than one way (for example sawed and then capped).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as_molded</t>
        </is>
      </c>
      <c r="C2" s="13" t="inlineStr">
        <is>
          <t>As molded</t>
        </is>
      </c>
      <c r="D2" s="14" t="inlineStr">
        <is>
          <t>End faces left as molded; the load-bearing surfaces of cube specimens are molded. Source: EN 12390-3:2019 7.1.</t>
        </is>
      </c>
      <c r="E2" s="13" t="inlineStr">
        <is>
          <t>string</t>
        </is>
      </c>
      <c r="F2" s="13" t="n"/>
      <c r="G2" s="9" t="inlineStr">
        <is>
          <t>DIGGS</t>
        </is>
      </c>
      <c r="H2" t="inlineStr">
        <is>
          <t>https://diggsml.org/def/registry/DIGGS/0/specifications.xml#en_12390_3</t>
        </is>
      </c>
    </row>
    <row r="3">
      <c r="A3" s="2">
        <f>IF(ISNA(VLOOKUP(B3,AssociatedElements!B$2:B2941,1,FALSE)),"Not used","")</f>
        <v/>
      </c>
      <c r="B3" s="13" t="inlineStr">
        <is>
          <t>sawed</t>
        </is>
      </c>
      <c r="C3" s="13" t="inlineStr">
        <is>
          <t>Sawed</t>
        </is>
      </c>
      <c r="D3" s="14" t="inlineStr">
        <is>
          <t>End faces sawed plane; ends not plane within 0.050 mm are sawed or ground to that tolerance, or capped. Source: ASTM C39/C39M-09a 6.2.</t>
        </is>
      </c>
      <c r="E3" s="13" t="inlineStr">
        <is>
          <t>string</t>
        </is>
      </c>
      <c r="F3" s="13" t="n"/>
      <c r="G3" s="9" t="inlineStr">
        <is>
          <t>DIGGS</t>
        </is>
      </c>
      <c r="H3" t="inlineStr">
        <is>
          <t>https://diggsml.org/def/registry/DIGGS/0/specifications.xml#astm_c39</t>
        </is>
      </c>
    </row>
    <row r="4">
      <c r="A4" s="2">
        <f>IF(ISNA(VLOOKUP(B4,AssociatedElements!B$2:B2942,1,FALSE)),"Not used","")</f>
        <v/>
      </c>
      <c r="B4" t="inlineStr">
        <is>
          <t>ground</t>
        </is>
      </c>
      <c r="C4" t="inlineStr">
        <is>
          <t>Ground</t>
        </is>
      </c>
      <c r="D4" t="inlineStr">
        <is>
          <t>End faces ground plane. Grinding is the reference method for adjusting a specimen outside the dimensional tolerances. Source: ISO 1920-4:2020 4.1; EN 12390-3:2019 Annex A; ASTM C39/C39M-09a 6.2.</t>
        </is>
      </c>
      <c r="E4" t="inlineStr">
        <is>
          <t>string</t>
        </is>
      </c>
      <c r="G4" s="9" t="inlineStr">
        <is>
          <t>DIGGS</t>
        </is>
      </c>
      <c r="H4" t="inlineStr">
        <is>
          <t>https://diggsml.org/def/registry/DIGGS/0/specifications.xml#iso_1920_4</t>
        </is>
      </c>
    </row>
    <row r="5">
      <c r="A5" s="2">
        <f>IF(ISNA(VLOOKUP(B5,AssociatedElements!B$2:B2943,1,FALSE)),"Not used","")</f>
        <v/>
      </c>
      <c r="B5" s="13" t="inlineStr">
        <is>
          <t>capped_bonded</t>
        </is>
      </c>
      <c r="C5" s="13" t="inlineStr">
        <is>
          <t>Capped (bonded caps)</t>
        </is>
      </c>
      <c r="D5" s="14" t="inlineStr">
        <is>
          <t>Bonded caps applied: neat cement on freshly molded cylinders, high-strength gypsum paste or sulfur mortar on hardened cylinders and drilled cores. Source: ASTM C617/C617M.</t>
        </is>
      </c>
      <c r="E5" s="13" t="inlineStr">
        <is>
          <t>string</t>
        </is>
      </c>
      <c r="F5" s="13" t="n"/>
      <c r="G5" s="9" t="inlineStr">
        <is>
          <t>DIGGS</t>
        </is>
      </c>
      <c r="H5" t="inlineStr">
        <is>
          <t>https://diggsml.org/def/registry/DIGGS/0/specifications.xml#astm_c617</t>
        </is>
      </c>
    </row>
    <row r="6">
      <c r="A6" s="2">
        <f>IF(ISNA(VLOOKUP(B6,AssociatedElements!B$2:B2944,1,FALSE)),"Not used","")</f>
        <v/>
      </c>
      <c r="B6" t="inlineStr">
        <is>
          <t>unbonded_caps</t>
        </is>
      </c>
      <c r="C6" s="16" t="inlineStr">
        <is>
          <t>Unbonded caps</t>
        </is>
      </c>
      <c r="D6" s="16" t="inlineStr">
        <is>
          <t>Unbonded caps used in place of bonded caps: an elastomeric pad restrained by plates and rings, reused within the limits of the practice. Source: ASTM C1231/C1231M.</t>
        </is>
      </c>
      <c r="E6" s="17" t="inlineStr">
        <is>
          <t>string</t>
        </is>
      </c>
      <c r="G6" s="9" t="inlineStr">
        <is>
          <t>DIGGS</t>
        </is>
      </c>
      <c r="H6" t="inlineStr">
        <is>
          <t>https://diggsml.org/def/registry/DIGGS/0/specifications.xml#astm_c1231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as_molded</t>
        </is>
      </c>
      <c r="C2" t="inlineStr">
        <is>
          <t>//diggs:GroutSpecimen/diggs:endPreparation</t>
        </is>
      </c>
    </row>
    <row r="3">
      <c r="A3">
        <f>IF(ISNA(VLOOKUP(B3,Definitions!B$2:B$1839,1,FALSE)),"Not listed","")</f>
        <v/>
      </c>
      <c r="B3" s="20" t="inlineStr">
        <is>
          <t>sawed</t>
        </is>
      </c>
      <c r="C3" t="inlineStr">
        <is>
          <t>//diggs:GroutSpecimen/diggs:endPreparation</t>
        </is>
      </c>
    </row>
    <row r="4">
      <c r="A4">
        <f>IF(ISNA(VLOOKUP(B4,Definitions!B$2:B$1839,1,FALSE)),"Not listed","")</f>
        <v/>
      </c>
      <c r="B4" s="2" t="inlineStr">
        <is>
          <t>ground</t>
        </is>
      </c>
      <c r="C4" t="inlineStr">
        <is>
          <t>//diggs:GroutSpecimen/diggs:endPreparation</t>
        </is>
      </c>
    </row>
    <row r="5">
      <c r="A5">
        <f>IF(ISNA(VLOOKUP(B5,Definitions!B$2:B$1839,1,FALSE)),"Not listed","")</f>
        <v/>
      </c>
      <c r="B5" s="2" t="inlineStr">
        <is>
          <t>capped_bonded</t>
        </is>
      </c>
      <c r="C5" t="inlineStr">
        <is>
          <t>//diggs:GroutSpecimen/diggs:endPreparation</t>
        </is>
      </c>
    </row>
    <row r="6">
      <c r="A6">
        <f>IF(ISNA(VLOOKUP(B6,Definitions!B$2:B$1839,1,FALSE)),"Not listed","")</f>
        <v/>
      </c>
      <c r="B6" s="2" t="inlineStr">
        <is>
          <t>unbonded_caps</t>
        </is>
      </c>
      <c r="C6" t="inlineStr">
        <is>
          <t>//diggs:GroutSpecimen/diggs:endPreparation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 offset,difference,reverse difference,angular difference,containment,sequence between,value at,rate,rate per log cycle,within 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 intersection,volume top,volume 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