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xmlns:r="http://schemas.openxmlformats.org/officeDocument/2006/relationships" name="DictionaryName" sheetId="1" state="visible" r:id="rId1"/>
    <sheet xmlns:r="http://schemas.openxmlformats.org/officeDocument/2006/relationships" name="Definitions" sheetId="2" state="visible" r:id="rId2"/>
    <sheet xmlns:r="http://schemas.openxmlformats.org/officeDocument/2006/relationships" name="AssociatedElements" sheetId="3" state="visible" r:id="rId3"/>
    <sheet xmlns:r="http://schemas.openxmlformats.org/officeDocument/2006/relationships" name="AlternateNames" sheetId="4" state="visible" r:id="rId4"/>
    <sheet xmlns:r="http://schemas.openxmlformats.org/officeDocument/2006/relationships"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equipmentClass</t>
        </is>
      </c>
      <c r="C3" s="12" t="inlineStr">
        <is>
          <t>equipmentClass</t>
        </is>
      </c>
      <c r="D3" s="12" t="inlineStr">
        <is>
          <t>DIGGS Equipment Class Codelist Definitions</t>
        </is>
      </c>
      <c r="E3" s="2" t="inlineStr">
        <is>
          <t>Codes that identify what a piece of equipment is. These codes are used for the value of the class property of the generic Equipment and Sensor objects. Where class appears on a specialized equipment feature such as DrillRig or GroutPump it subdivides that feature's own kind rather than naming it, and takes its values from a codelist specific to that feature, not from this one.</t>
        </is>
      </c>
    </row>
    <row r="4" ht="17" customHeight="1">
      <c r="A4" s="2" t="n"/>
      <c r="B4" s="2" t="n"/>
      <c r="D4" s="2" t="n"/>
      <c r="E4" s="2" t="n"/>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IF(ISNA(VLOOKUP(B2,AssociatedElements!B$2:B2940,1,FALSE)),"Not used","")</f>
        <v/>
      </c>
      <c r="B2" s="13" t="inlineStr">
        <is>
          <t>piezometer</t>
        </is>
      </c>
      <c r="C2" s="13" t="inlineStr">
        <is>
          <t>Piezometer</t>
        </is>
      </c>
      <c r="D2" s="14" t="inlineStr">
        <is>
          <t>An instrument that measures pore water pressure, and hence groundwater head, at a point in the ground. Deliberately coarse: the vibrating-wire, pneumatic, standpipe and push-in variants differ in how the pressure is transduced rather than in what is measured, and are better distinguished by the make and modelNumber properties the equipment object already carries than by separate codes here.</t>
        </is>
      </c>
      <c r="E2" s="13" t="n"/>
      <c r="F2" s="13" t="n"/>
      <c r="G2" s="9" t="n"/>
    </row>
    <row r="3">
      <c r="A3" s="2">
        <f>IF(ISNA(VLOOKUP(B3,AssociatedElements!B$2:B2941,1,FALSE)),"Not used","")</f>
        <v/>
      </c>
      <c r="B3" s="13" t="inlineStr">
        <is>
          <t>inclinometer</t>
        </is>
      </c>
      <c r="C3" s="13" t="inlineStr">
        <is>
          <t>Inclinometer</t>
        </is>
      </c>
      <c r="D3" s="14" t="inlineStr">
        <is>
          <t>An instrument that measures the deviation of a cased borehole from vertical, read as a profile down the casing, so that lateral ground movement is obtained as a displacement against depth over time.</t>
        </is>
      </c>
      <c r="E3" s="13" t="n"/>
      <c r="F3" s="13" t="n"/>
      <c r="G3" s="9" t="n"/>
    </row>
    <row r="4">
      <c r="A4" s="2">
        <f>IF(ISNA(VLOOKUP(B4,AssociatedElements!B$2:B2942,1,FALSE)),"Not used","")</f>
        <v/>
      </c>
      <c r="B4" t="inlineStr">
        <is>
          <t>extensometer</t>
        </is>
      </c>
      <c r="C4" t="inlineStr">
        <is>
          <t>Extensometer</t>
        </is>
      </c>
      <c r="D4" t="inlineStr">
        <is>
          <t>An instrument that measures change in distance between two or more anchored points, most commonly along a borehole axis, giving compression or extension of the ground between them.</t>
        </is>
      </c>
      <c r="G4" s="9" t="n"/>
    </row>
    <row r="5">
      <c r="A5" s="2">
        <f>IF(ISNA(VLOOKUP(B5,AssociatedElements!B$2:B2943,1,FALSE)),"Not used","")</f>
        <v/>
      </c>
      <c r="B5" s="13" t="inlineStr">
        <is>
          <t>settlement_cell</t>
        </is>
      </c>
      <c r="C5" s="13" t="inlineStr">
        <is>
          <t>Settlement cell</t>
        </is>
      </c>
      <c r="D5" s="14" t="inlineStr">
        <is>
          <t>A liquid-level or pressure-based instrument that measures vertical settlement at a point remotely, without requiring a surveyor to occupy the point. Distinct from a settlement plate, which is passive hardware read by optical survey and is therefore not a sensor.</t>
        </is>
      </c>
      <c r="E5" s="13" t="n"/>
      <c r="F5" s="13" t="n"/>
      <c r="G5" s="9" t="n"/>
    </row>
    <row r="6">
      <c r="A6" s="2">
        <f>IF(ISNA(VLOOKUP(B6,AssociatedElements!B$2:B2944,1,FALSE)),"Not used","")</f>
        <v/>
      </c>
      <c r="B6" t="inlineStr">
        <is>
          <t>earth_pressure_cell</t>
        </is>
      </c>
      <c r="C6" s="16" t="inlineStr">
        <is>
          <t>Earth pressure cell</t>
        </is>
      </c>
      <c r="D6" s="16" t="inlineStr">
        <is>
          <t>An instrument that measures total stress in the ground or at an interface such as a structure face or a column head. The instrument central to verifying load transfer in a rigid inclusion platform, where the design predicts distinct stresses on the element head and on the soil between heads.</t>
        </is>
      </c>
      <c r="E6" s="17" t="n"/>
      <c r="G6" s="9" t="n"/>
    </row>
    <row r="7">
      <c r="A7" s="2">
        <f>IF(ISNA(VLOOKUP(B7,AssociatedElements!B$2:B2945,1,FALSE)),"Not used","")</f>
        <v/>
      </c>
      <c r="B7" t="inlineStr">
        <is>
          <t>strain_gauge</t>
        </is>
      </c>
      <c r="C7" t="inlineStr">
        <is>
          <t>Strain gauge</t>
        </is>
      </c>
      <c r="D7" t="inlineStr">
        <is>
          <t>An instrument that measures strain in a structural element, from which stress and load are inferred given the element's stiffness and section.</t>
        </is>
      </c>
      <c r="G7" s="9" t="n"/>
    </row>
    <row r="8">
      <c r="A8" s="2">
        <f>IF(ISNA(VLOOKUP(B8,AssociatedElements!B$2:B2946,1,FALSE)),"Not used","")</f>
        <v/>
      </c>
      <c r="B8" t="inlineStr">
        <is>
          <t>load_cell</t>
        </is>
      </c>
      <c r="C8" t="inlineStr">
        <is>
          <t>Load cell</t>
        </is>
      </c>
      <c r="D8" t="inlineStr">
        <is>
          <t>An instrument that measures an applied force directly, used at the head of a tested element, in an anchor or strut, or in a load-test reaction frame.</t>
        </is>
      </c>
      <c r="G8" s="9" t="n"/>
    </row>
    <row r="9">
      <c r="A9" s="2">
        <f>IF(ISNA(VLOOKUP(B9,AssociatedElements!B$2:B2947,1,FALSE)),"Not used","")</f>
        <v/>
      </c>
      <c r="B9" t="inlineStr">
        <is>
          <t>tiltmeter</t>
        </is>
      </c>
      <c r="C9" s="16" t="inlineStr">
        <is>
          <t>Tiltmeter</t>
        </is>
      </c>
      <c r="D9" s="16" t="inlineStr">
        <is>
          <t>An instrument that measures rotation of a structure or of the ground surface about a horizontal axis.</t>
        </is>
      </c>
      <c r="E9" s="17" t="n"/>
      <c r="G9" s="9" t="n"/>
    </row>
    <row r="10">
      <c r="A10" s="2">
        <f>IF(ISNA(VLOOKUP(B10,AssociatedElements!B$2:B2948,1,FALSE)),"Not used","")</f>
        <v/>
      </c>
      <c r="B10" s="13" t="inlineStr">
        <is>
          <t>crackmeter</t>
        </is>
      </c>
      <c r="C10" s="13" t="inlineStr">
        <is>
          <t>Crackmeter</t>
        </is>
      </c>
      <c r="D10" s="14" t="inlineStr">
        <is>
          <t>An instrument that measures change in the width of a joint or crack in a structure, used to monitor whether observed distress is progressing.</t>
        </is>
      </c>
      <c r="E10" s="13" t="n"/>
      <c r="F10" s="13" t="n"/>
      <c r="G10" s="9" t="n"/>
    </row>
    <row r="11">
      <c r="A11" s="2">
        <f>IF(ISNA(VLOOKUP(B11,AssociatedElements!B$2:B2949,1,FALSE)),"Not used","")</f>
        <v/>
      </c>
      <c r="B11" s="13" t="inlineStr">
        <is>
          <t>thermistor</t>
        </is>
      </c>
      <c r="C11" s="13" t="inlineStr">
        <is>
          <t>Thermistor</t>
        </is>
      </c>
      <c r="D11" s="14" t="inlineStr">
        <is>
          <t>A temperature-sensing element, deployed on its own for ground thermal monitoring and embedded in most vibrating-wire instruments for the temperature correction their readings require.</t>
        </is>
      </c>
      <c r="E11" s="13" t="n"/>
      <c r="F11" s="13" t="n"/>
      <c r="G11" s="9" t="n"/>
    </row>
    <row r="12">
      <c r="A12" s="2">
        <f>IF(ISNA(VLOOKUP(B12,AssociatedElements!B$2:B2950,1,FALSE)),"Not used","")</f>
        <v/>
      </c>
      <c r="B12" s="13" t="inlineStr">
        <is>
          <t>accelerometer</t>
        </is>
      </c>
      <c r="C12" s="13" t="inlineStr">
        <is>
          <t>Accelerometer</t>
        </is>
      </c>
      <c r="D12" s="14" t="inlineStr">
        <is>
          <t>An instrument that measures acceleration, used for construction vibration monitoring and for dynamic testing of deep foundation elements.</t>
        </is>
      </c>
      <c r="E12" s="13" t="n"/>
      <c r="F12" s="13" t="n"/>
      <c r="G12" s="9" t="n"/>
    </row>
    <row r="13">
      <c r="A13" s="2">
        <f>IF(ISNA(VLOOKUP(B13,AssociatedElements!B$2:B2951,1,FALSE)),"Not used","")</f>
        <v/>
      </c>
      <c r="B13" s="13" t="inlineStr">
        <is>
          <t>settlement_plate</t>
        </is>
      </c>
      <c r="C13" s="13" t="inlineStr">
        <is>
          <t>Settlement plate</t>
        </is>
      </c>
      <c r="D13" s="14" t="inlineStr">
        <is>
          <t>A plate with a riser installed at a known level and read by optical survey, giving settlement at a point. Passive hardware rather than a sensor: it transduces nothing and produces a reading only when a surveyor occupies it, which is why it is an Equipment and not a Sensor.</t>
        </is>
      </c>
      <c r="E13" s="13" t="n"/>
      <c r="F13" s="13" t="n"/>
      <c r="G13" s="9" t="n"/>
    </row>
    <row r="14">
      <c r="A14" s="2">
        <f>IF(ISNA(VLOOKUP(B14,AssociatedElements!B$2:B2952,1,FALSE)),"Not used","")</f>
        <v/>
      </c>
      <c r="B14" s="13" t="inlineStr">
        <is>
          <t>survey_monument</t>
        </is>
      </c>
      <c r="C14" s="13" t="inlineStr">
        <is>
          <t>Survey monument</t>
        </is>
      </c>
      <c r="D14" s="14" t="inlineStr">
        <is>
          <t>A permanently established point of known position used as a reference for survey observations, including the benchmarks that monitoring readings are reduced against.</t>
        </is>
      </c>
      <c r="E14" s="13" t="n"/>
      <c r="F14" s="13" t="n"/>
      <c r="G14" s="9" t="n"/>
    </row>
    <row r="15">
      <c r="A15" s="2">
        <f>IF(ISNA(VLOOKUP(B15,AssociatedElements!B$2:B2953,1,FALSE)),"Not used","")</f>
        <v/>
      </c>
      <c r="B15" s="13" t="inlineStr">
        <is>
          <t>data_logger</t>
        </is>
      </c>
      <c r="C15" s="18" t="inlineStr">
        <is>
          <t>Data logger</t>
        </is>
      </c>
      <c r="D15" s="19" t="inlineStr">
        <is>
          <t>A device that reads one or more sensors on a schedule and stores or transmits the results. What makes an automated monitoring regime automated, and the thing whose configuration a planned reading frequency actually describes.</t>
        </is>
      </c>
      <c r="E15" s="18" t="n"/>
      <c r="F15" s="18" t="n"/>
      <c r="G15" s="9" t="n"/>
    </row>
    <row r="16">
      <c r="A16" s="2">
        <f>IF(ISNA(VLOOKUP(B16,AssociatedElements!B$2:B2954,1,FALSE)),"Not used","")</f>
        <v/>
      </c>
      <c r="B16" s="13" t="inlineStr">
        <is>
          <t>total_station</t>
        </is>
      </c>
      <c r="C16" s="18" t="inlineStr">
        <is>
          <t>Total station</t>
        </is>
      </c>
      <c r="D16" s="19" t="inlineStr">
        <is>
          <t>A surveying instrument combining electronic distance measurement with angular measurement, used to establish and monitor the position of points to millimetre order.</t>
        </is>
      </c>
      <c r="E16" s="18" t="n"/>
      <c r="F16" s="18" t="n"/>
      <c r="G16" s="9" t="n"/>
    </row>
    <row r="17">
      <c r="A17" s="2">
        <f>IF(ISNA(VLOOKUP(B17,AssociatedElements!B$2:B2955,1,FALSE)),"Not used","")</f>
        <v/>
      </c>
      <c r="B17" s="13" t="inlineStr">
        <is>
          <t>excavator</t>
        </is>
      </c>
      <c r="C17" s="18" t="inlineStr">
        <is>
          <t>Excavator</t>
        </is>
      </c>
      <c r="D17" s="19" t="inlineStr">
        <is>
          <t>A tracked or wheeled machine with a boom-mounted bucket, used for excavation, trial pitting and material handling.</t>
        </is>
      </c>
      <c r="E17" s="18" t="n"/>
      <c r="F17" s="18" t="n"/>
      <c r="G17" s="9" t="n"/>
    </row>
    <row r="18">
      <c r="A18" s="2">
        <f>IF(ISNA(VLOOKUP(B18,AssociatedElements!B$2:B2956,1,FALSE)),"Not used","")</f>
        <v/>
      </c>
      <c r="B18" s="13" t="inlineStr">
        <is>
          <t>dozer</t>
        </is>
      </c>
      <c r="C18" s="18" t="inlineStr">
        <is>
          <t>Dozer</t>
        </is>
      </c>
      <c r="D18" s="19" t="inlineStr">
        <is>
          <t>A tracked machine with a front-mounted blade, used for spreading and grading fill, including working platform and load transfer platform construction.</t>
        </is>
      </c>
      <c r="E18" s="18" t="n"/>
      <c r="F18" s="18" t="n"/>
      <c r="G18" s="9" t="n"/>
    </row>
    <row r="19">
      <c r="A19" s="2">
        <f>IF(ISNA(VLOOKUP(B19,AssociatedElements!B$2:B2957,1,FALSE)),"Not used","")</f>
        <v/>
      </c>
      <c r="B19" s="13" t="inlineStr">
        <is>
          <t>vibratory_roller</t>
        </is>
      </c>
      <c r="C19" s="18" t="inlineStr">
        <is>
          <t>Vibratory roller</t>
        </is>
      </c>
      <c r="D19" s="19" t="inlineStr">
        <is>
          <t>A self-propelled compaction machine with one or more vibrating drums, the usual means of compacting a granular platform in layers and the equipment a target relative compaction is achieved with.</t>
        </is>
      </c>
      <c r="E19" s="18" t="n"/>
      <c r="F19" s="18" t="n"/>
      <c r="G19" s="9" t="n"/>
    </row>
    <row r="20">
      <c r="A20" s="2">
        <f>IF(ISNA(VLOOKUP(B20,AssociatedElements!B$2:B2958,1,FALSE)),"Not used","")</f>
        <v/>
      </c>
      <c r="B20" s="13" t="inlineStr">
        <is>
          <t>plate_compactor</t>
        </is>
      </c>
      <c r="C20" s="18" t="inlineStr">
        <is>
          <t>Plate compactor</t>
        </is>
      </c>
      <c r="D20" s="19" t="inlineStr">
        <is>
          <t>A hand-guided vibrating plate used to compact fill in confined areas where a roller cannot work.</t>
        </is>
      </c>
      <c r="E20" s="18" t="n"/>
      <c r="F20" s="18" t="n"/>
      <c r="G20" s="9" t="n"/>
    </row>
    <row r="21">
      <c r="A21" s="2">
        <f>IF(ISNA(VLOOKUP(B21,AssociatedElements!B$2:B2959,1,FALSE)),"Not used","")</f>
        <v/>
      </c>
      <c r="B21" s="13" t="inlineStr">
        <is>
          <t>crane</t>
        </is>
      </c>
      <c r="C21" s="18" t="inlineStr">
        <is>
          <t>Crane</t>
        </is>
      </c>
      <c r="D21" s="19" t="inlineStr">
        <is>
          <t>A lifting machine used to place reinforcement cages, precast elements, test frames and plant.</t>
        </is>
      </c>
      <c r="E21" s="18" t="n"/>
      <c r="F21" s="18" t="n"/>
      <c r="G21" s="9" t="n"/>
    </row>
    <row r="22">
      <c r="A22" s="2">
        <f>IF(ISNA(VLOOKUP(B22,AssociatedElements!B$2:B2960,1,FALSE)),"Not used","")</f>
        <v/>
      </c>
      <c r="B22" s="13" t="inlineStr">
        <is>
          <t>concrete_batch_plant</t>
        </is>
      </c>
      <c r="C22" s="18" t="inlineStr">
        <is>
          <t>Concrete batch plant</t>
        </is>
      </c>
      <c r="D22" s="19" t="inlineStr">
        <is>
          <t>A fixed or mobile installation that proportions and mixes concrete or grout on site. Where the plant is specifically a grout plant, DIGGS has a diggs:GroutPlant feature and that should be used in preference to a generic Equipment carrying this code.</t>
        </is>
      </c>
      <c r="E22" s="18" t="n"/>
      <c r="F22" s="18" t="n"/>
      <c r="G22" s="9" t="n"/>
    </row>
    <row r="23">
      <c r="A23" s="2">
        <f>IF(ISNA(VLOOKUP(B23,AssociatedElements!B$2:B2961,1,FALSE)),"Not used","")</f>
        <v/>
      </c>
      <c r="B23" s="13" t="inlineStr">
        <is>
          <t>load_test_reaction_frame</t>
        </is>
      </c>
      <c r="C23" s="18" t="inlineStr">
        <is>
          <t>Load test reaction frame</t>
        </is>
      </c>
      <c r="D23" s="19" t="inlineStr">
        <is>
          <t>The reaction system a static load test jacks against - a kentledge stack, a reaction beam on tension piles, a ground anchor arrangement, or an adjacent test element pushed against in a two-element lateral test arrangement. Recorded as equipment because the reaction arrangement bears on how a test result is interpreted.</t>
        </is>
      </c>
      <c r="E23" s="18" t="n"/>
      <c r="F23" s="18" t="n"/>
      <c r="G23" s="9" t="n"/>
    </row>
    <row r="24">
      <c r="A24" s="2">
        <f>IF(ISNA(VLOOKUP(B24,AssociatedElements!B$2:B2962,1,FALSE)),"Not used","")</f>
        <v/>
      </c>
      <c r="B24" t="inlineStr">
        <is>
          <t>hydraulic_jack</t>
        </is>
      </c>
      <c r="C24" t="inlineStr">
        <is>
          <t>Hydraulic jack</t>
        </is>
      </c>
      <c r="D24" s="16" t="inlineStr">
        <is>
          <t>The actuator that applies load in a static load test, normally paired with a load cell that measures what it actually delivered.</t>
        </is>
      </c>
      <c r="G24" s="9" t="n"/>
    </row>
    <row r="25">
      <c r="A25" s="2">
        <f>IF(ISNA(VLOOKUP(B25,AssociatedElements!B$2:B2963,1,FALSE)),"Not used","")</f>
        <v/>
      </c>
      <c r="B25" s="13" t="inlineStr">
        <is>
          <t>shape_array</t>
        </is>
      </c>
      <c r="C25" s="13" t="inlineStr">
        <is>
          <t>Shape Array (SAA)</t>
        </is>
      </c>
      <c r="D25" t="inlineStr">
        <is>
          <t>A multi-segment in-place inclinometer-type instrument (for example a Shape Accel Array) that measures its own 3-D shape continuously along its length, giving a displacement profile against depth over time without the manual probe traverses a conventional inclinometer requires. Distinct from inclinometer: functionally close enough that inclinometer may be an acceptable stand-in where a shape array is not separately identified, but this entry lets an instrument genuinely of this kind be named precisely (V2 Post-installation row 32: LTP shear-deformation monitoring).</t>
        </is>
      </c>
      <c r="E25" s="13" t="n"/>
      <c r="F25" s="13" t="n"/>
      <c r="G25" s="9" t="n"/>
    </row>
    <row r="26">
      <c r="A26" s="2">
        <f>IF(ISNA(VLOOKUP(B26,AssociatedElements!B$2:B2964,1,FALSE)),"Not used","")</f>
        <v/>
      </c>
      <c r="B26" s="13" t="inlineStr">
        <is>
          <t>grout_pump</t>
        </is>
      </c>
      <c r="C26" s="13" t="inlineStr">
        <is>
          <t>Grout pump</t>
        </is>
      </c>
      <c r="D26" t="inlineStr">
        <is>
          <t>A pump delivering grout or cemented aggregate to the tool during column formation; a piston pump is typical for grouted rigid inclusions.</t>
        </is>
      </c>
      <c r="E26" s="13" t="n"/>
      <c r="F26" s="13" t="n"/>
      <c r="G26" s="9" t="n"/>
    </row>
    <row r="27">
      <c r="A27" s="2">
        <f>IF(ISNA(VLOOKUP(B27,AssociatedElements!B$2:B2965,1,FALSE)),"Not used","")</f>
        <v/>
      </c>
      <c r="B27" s="13" t="inlineStr">
        <is>
          <t>concrete_pump</t>
        </is>
      </c>
      <c r="C27" s="13" t="inlineStr">
        <is>
          <t>Concrete pump</t>
        </is>
      </c>
      <c r="D27" s="15" t="inlineStr">
        <is>
          <t>A pump delivering ready-mixed concrete to the tool during column formation, typical of controlled-modulus-column practice.</t>
        </is>
      </c>
      <c r="E27" s="13" t="n"/>
      <c r="F27" s="13" t="n"/>
      <c r="G27" s="9" t="n"/>
    </row>
    <row r="28">
      <c r="A28" s="2">
        <f>IF(ISNA(VLOOKUP(B28,AssociatedElements!B$2:B2966,1,FALSE)),"Not used","")</f>
        <v/>
      </c>
      <c r="B28" s="13" t="inlineStr">
        <is>
          <t>rapid_load_device</t>
        </is>
      </c>
      <c r="C28" s="13" t="inlineStr">
        <is>
          <t>Rapid Load Test Device</t>
        </is>
      </c>
      <c r="D28" s="14" t="inlineStr">
        <is>
          <t>The pneumatic or hydraulic force-pulse generator used to apply the load in a rapid load test - a Statnamic device or an equivalent force-pulse actuator, per ASTM D7383 or EN ISO 22477-10.</t>
        </is>
      </c>
      <c r="E28" s="13" t="inlineStr">
        <is>
          <t>string</t>
        </is>
      </c>
      <c r="F28" s="13" t="n"/>
      <c r="G28" s="9" t="inlineStr">
        <is>
          <t>DIGGS</t>
        </is>
      </c>
    </row>
    <row r="29">
      <c r="A29" s="2">
        <f>IF(ISNA(VLOOKUP(B29,AssociatedElements!B$2:B2967,1,FALSE)),"Not used","")</f>
        <v/>
      </c>
      <c r="B29" s="13" t="inlineStr">
        <is>
          <t>dynamic_test_hammer</t>
        </is>
      </c>
      <c r="C29" s="13" t="inlineStr">
        <is>
          <t>Dynamic Load Test Hammer</t>
        </is>
      </c>
      <c r="D29" s="14" t="inlineStr">
        <is>
          <t>The impact hammer used to apply the blow(s) in a high-strain dynamic load test, per ASTM D4945 or EN ISO 22477-4.</t>
        </is>
      </c>
      <c r="E29" s="13" t="inlineStr">
        <is>
          <t>string</t>
        </is>
      </c>
      <c r="F29" s="13" t="n"/>
      <c r="G29" s="9" t="inlineStr">
        <is>
          <t>DIGGS</t>
        </is>
      </c>
    </row>
    <row r="30">
      <c r="A30" s="2">
        <f>IF(ISNA(VLOOKUP(B30,AssociatedElements!B$2:B2968,1,FALSE)),"Not used","")</f>
        <v/>
      </c>
      <c r="B30" s="13" t="inlineStr">
        <is>
          <t>low_strain_impact_hammer</t>
        </is>
      </c>
      <c r="C30" s="13" t="inlineStr">
        <is>
          <t>Low-Strain Impact Hammer</t>
        </is>
      </c>
      <c r="D30" s="14" t="inlineStr">
        <is>
          <t>The small handheld hammer (typically plastic- or rubber-tipped) used to apply the impact in a low-strain integrity test, per ASTM D5882 or NF P94-160-2/-4. Distinct from equipmentClass.xml#dynamic_test_hammer, the much larger drop or diesel hammer used to apply a high-strain blow in ASTM D4945 dynamic load testing - the two tests use different equipment at entirely different energy scales.</t>
        </is>
      </c>
      <c r="E30" s="13" t="inlineStr">
        <is>
          <t>string</t>
        </is>
      </c>
      <c r="F30" s="13" t="n"/>
      <c r="G30" s="9" t="inlineStr">
        <is>
          <t>DIGGS</t>
        </is>
      </c>
    </row>
    <row r="31">
      <c r="A31" s="2">
        <f>IF(ISNA(VLOOKUP(B31,AssociatedElements!B$2:B$999,1,FALSE)),"Not used","")</f>
        <v/>
      </c>
      <c r="B31" s="13" t="inlineStr">
        <is>
          <t>thermal_integrity_probe</t>
        </is>
      </c>
      <c r="C31" s="18" t="inlineStr">
        <is>
          <t>Thermal Integrity Profiling Probe</t>
        </is>
      </c>
      <c r="D31" s="19" t="inlineStr">
        <is>
          <t>The probe lowered into access ducts to take temperature readings in ASTM D7949 Method A thermal integrity profiling. Distinct from equipmentClass.xml#thermistor, which is the embedded sensor Method B uses instead - the two methods use different equipment classes for the same underlying measurement.</t>
        </is>
      </c>
      <c r="E31" s="18" t="inlineStr">
        <is>
          <t>string</t>
        </is>
      </c>
      <c r="F31" s="18" t="n"/>
      <c r="G31" s="9" t="inlineStr">
        <is>
          <t>DIGGS</t>
        </is>
      </c>
    </row>
    <row r="32">
      <c r="A32" s="2">
        <f>IF(ISNA(VLOOKUP(B32,AssociatedElements!B$2:B$999,1,FALSE)),"Not used","")</f>
        <v/>
      </c>
      <c r="B32" s="13" t="inlineStr">
        <is>
          <t>embedded_fiber_optic_cable</t>
        </is>
      </c>
      <c r="C32" s="18" t="inlineStr">
        <is>
          <t>Embedded Fiber-Optic Cable</t>
        </is>
      </c>
      <c r="D32" s="19" t="inlineStr">
        <is>
          <t>The fiber-optic cable attached to the reinforcing cage and cast into the concrete for ASTM D7949 Method C thermal integrity profiling, giving effectively continuous temperature coverage along the element's length.</t>
        </is>
      </c>
      <c r="E32" s="18" t="inlineStr">
        <is>
          <t>string</t>
        </is>
      </c>
      <c r="F32" s="18" t="n"/>
      <c r="G32" s="9" t="inlineStr">
        <is>
          <t>DIGGS</t>
        </is>
      </c>
    </row>
    <row r="33">
      <c r="A33" s="2">
        <f>IF(ISNA(VLOOKUP(B33,AssociatedElements!B$2:B2971,1,FALSE)),"Not used","")</f>
        <v/>
      </c>
      <c r="B33" s="13" t="n"/>
      <c r="C33" s="18" t="n"/>
      <c r="D33" s="19" t="n"/>
      <c r="E33" s="18" t="n"/>
      <c r="F33" s="18" t="n"/>
      <c r="G33" s="9" t="n"/>
    </row>
    <row r="34">
      <c r="A34" s="2">
        <f>IF(ISNA(VLOOKUP(B34,AssociatedElements!B$2:B2972,1,FALSE)),"Not used","")</f>
        <v/>
      </c>
      <c r="B34" s="13" t="n"/>
      <c r="C34" s="18" t="n"/>
      <c r="D34" s="19" t="n"/>
      <c r="E34" s="18" t="n"/>
      <c r="F34" s="18" t="n"/>
      <c r="G34" s="9" t="n"/>
    </row>
    <row r="35">
      <c r="A35" s="2">
        <f>IF(ISNA(VLOOKUP(B35,AssociatedElements!B$2:B2973,1,FALSE)),"Not used","")</f>
        <v/>
      </c>
      <c r="B35" s="13" t="n"/>
      <c r="C35" s="18" t="n"/>
      <c r="D35" s="19" t="n"/>
      <c r="E35" s="18" t="n"/>
      <c r="F35" s="18" t="n"/>
      <c r="G35" s="9" t="n"/>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IF(ISNA(VLOOKUP(#REF!,Definitions!B$2:B$1839,1,FALSE)),"Not listed","")</f>
        <v/>
      </c>
      <c r="B2" s="2" t="inlineStr">
        <is>
          <t>piezometer</t>
        </is>
      </c>
      <c r="C2" t="inlineStr">
        <is>
          <t>//diggs:Sensor/diggs:class</t>
        </is>
      </c>
    </row>
    <row r="3">
      <c r="A3">
        <f>IF(ISNA(VLOOKUP(B3,Definitions!B$2:B$1839,1,FALSE)),"Not listed","")</f>
        <v/>
      </c>
      <c r="B3" s="20" t="inlineStr">
        <is>
          <t>inclinometer</t>
        </is>
      </c>
      <c r="C3" t="inlineStr">
        <is>
          <t>//diggs:Sensor/diggs:class</t>
        </is>
      </c>
    </row>
    <row r="4">
      <c r="A4">
        <f>IF(ISNA(VLOOKUP(B4,Definitions!B$2:B$1839,1,FALSE)),"Not listed","")</f>
        <v/>
      </c>
      <c r="B4" s="2" t="inlineStr">
        <is>
          <t>extensometer</t>
        </is>
      </c>
      <c r="C4" t="inlineStr">
        <is>
          <t>//diggs:Sensor/diggs:class</t>
        </is>
      </c>
    </row>
    <row r="5">
      <c r="A5">
        <f>IF(ISNA(VLOOKUP(B5,Definitions!B$2:B$1839,1,FALSE)),"Not listed","")</f>
        <v/>
      </c>
      <c r="B5" s="2" t="inlineStr">
        <is>
          <t>settlement_cell</t>
        </is>
      </c>
      <c r="C5" t="inlineStr">
        <is>
          <t>//diggs:Sensor/diggs:class</t>
        </is>
      </c>
    </row>
    <row r="6">
      <c r="A6">
        <f>IF(ISNA(VLOOKUP(B6,Definitions!B$2:B$1839,1,FALSE)),"Not listed","")</f>
        <v/>
      </c>
      <c r="B6" s="2" t="inlineStr">
        <is>
          <t>earth_pressure_cell</t>
        </is>
      </c>
      <c r="C6" t="inlineStr">
        <is>
          <t>//diggs:Sensor/diggs:class</t>
        </is>
      </c>
    </row>
    <row r="7">
      <c r="A7">
        <f>IF(ISNA(VLOOKUP(B7,Definitions!B$2:B$1839,1,FALSE)),"Not listed","")</f>
        <v/>
      </c>
      <c r="B7" s="2" t="inlineStr">
        <is>
          <t>strain_gauge</t>
        </is>
      </c>
      <c r="C7" t="inlineStr">
        <is>
          <t>//diggs:Sensor/diggs:class</t>
        </is>
      </c>
    </row>
    <row r="8">
      <c r="A8">
        <f>IF(ISNA(VLOOKUP(B8,Definitions!B$2:B$1839,1,FALSE)),"Not listed","")</f>
        <v/>
      </c>
      <c r="B8" s="2" t="inlineStr">
        <is>
          <t>load_cell</t>
        </is>
      </c>
      <c r="C8" t="inlineStr">
        <is>
          <t>//diggs:Sensor/diggs:class</t>
        </is>
      </c>
    </row>
    <row r="9">
      <c r="A9">
        <f>IF(ISNA(VLOOKUP(B9,Definitions!B$2:B$1839,1,FALSE)),"Not listed","")</f>
        <v/>
      </c>
      <c r="B9" s="2" t="inlineStr">
        <is>
          <t>tiltmeter</t>
        </is>
      </c>
      <c r="C9" t="inlineStr">
        <is>
          <t>//diggs:Sensor/diggs:class</t>
        </is>
      </c>
    </row>
    <row r="10">
      <c r="A10">
        <f>IF(ISNA(VLOOKUP(B10,Definitions!B$2:B$1839,1,FALSE)),"Not listed","")</f>
        <v/>
      </c>
      <c r="B10" s="20" t="inlineStr">
        <is>
          <t>crackmeter</t>
        </is>
      </c>
      <c r="C10" t="inlineStr">
        <is>
          <t>//diggs:Sensor/diggs:class</t>
        </is>
      </c>
    </row>
    <row r="11">
      <c r="A11">
        <f>IF(ISNA(VLOOKUP(B11,Definitions!B$2:B$1839,1,FALSE)),"Not listed","")</f>
        <v/>
      </c>
      <c r="B11" s="20" t="inlineStr">
        <is>
          <t>thermistor</t>
        </is>
      </c>
      <c r="C11" t="inlineStr">
        <is>
          <t>//diggs:Sensor/diggs:class</t>
        </is>
      </c>
    </row>
    <row r="12">
      <c r="A12">
        <f>IF(ISNA(VLOOKUP(B12,Definitions!B$2:B$1839,1,FALSE)),"Not listed","")</f>
        <v/>
      </c>
      <c r="B12" s="20" t="inlineStr">
        <is>
          <t>accelerometer</t>
        </is>
      </c>
      <c r="C12" t="inlineStr">
        <is>
          <t>//diggs:Sensor/diggs:class</t>
        </is>
      </c>
    </row>
    <row r="13">
      <c r="A13">
        <f>IF(ISNA(VLOOKUP(B13,Definitions!B$2:B$1839,1,FALSE)),"Not listed","")</f>
        <v/>
      </c>
      <c r="B13" s="20" t="inlineStr">
        <is>
          <t>settlement_plate</t>
        </is>
      </c>
      <c r="C13" t="inlineStr">
        <is>
          <t>//diggs:Equipment/diggs:class</t>
        </is>
      </c>
    </row>
    <row r="14">
      <c r="A14">
        <f>IF(ISNA(VLOOKUP(B14,Definitions!B$2:B$1839,1,FALSE)),"Not listed","")</f>
        <v/>
      </c>
      <c r="B14" s="20" t="inlineStr">
        <is>
          <t>survey_monument</t>
        </is>
      </c>
      <c r="C14" t="inlineStr">
        <is>
          <t>//diggs:Equipment/diggs:class</t>
        </is>
      </c>
    </row>
    <row r="15">
      <c r="A15">
        <f>IF(ISNA(VLOOKUP(B15,Definitions!B$2:B$1839,1,FALSE)),"Not listed","")</f>
        <v/>
      </c>
      <c r="B15" s="2" t="inlineStr">
        <is>
          <t>data_logger</t>
        </is>
      </c>
      <c r="C15" t="inlineStr">
        <is>
          <t>//diggs:Equipment/diggs:class</t>
        </is>
      </c>
    </row>
    <row r="16">
      <c r="A16">
        <f>IF(ISNA(VLOOKUP(B16,Definitions!B$2:B$1839,1,FALSE)),"Not listed","")</f>
        <v/>
      </c>
      <c r="B16" s="2" t="inlineStr">
        <is>
          <t>total_station</t>
        </is>
      </c>
      <c r="C16" t="inlineStr">
        <is>
          <t>//diggs:Equipment/diggs:class</t>
        </is>
      </c>
    </row>
    <row r="17">
      <c r="A17">
        <f>IF(ISNA(VLOOKUP(B17,Definitions!B$2:B$1839,1,FALSE)),"Not listed","")</f>
        <v/>
      </c>
      <c r="B17" s="2" t="inlineStr">
        <is>
          <t>excavator</t>
        </is>
      </c>
      <c r="C17" t="inlineStr">
        <is>
          <t>//diggs:Equipment/diggs:class</t>
        </is>
      </c>
    </row>
    <row r="18">
      <c r="A18">
        <f>IF(ISNA(VLOOKUP(B18,Definitions!B$2:B$1839,1,FALSE)),"Not listed","")</f>
        <v/>
      </c>
      <c r="B18" s="2" t="inlineStr">
        <is>
          <t>dozer</t>
        </is>
      </c>
      <c r="C18" t="inlineStr">
        <is>
          <t>//diggs:Equipment/diggs:class</t>
        </is>
      </c>
    </row>
    <row r="19">
      <c r="A19">
        <f>IF(ISNA(VLOOKUP(B19,Definitions!B$2:B$1839,1,FALSE)),"Not listed","")</f>
        <v/>
      </c>
      <c r="B19" s="20" t="inlineStr">
        <is>
          <t>vibratory_roller</t>
        </is>
      </c>
      <c r="C19" t="inlineStr">
        <is>
          <t>//diggs:Equipment/diggs:class</t>
        </is>
      </c>
    </row>
    <row r="20">
      <c r="A20">
        <f>IF(ISNA(VLOOKUP(B20,Definitions!B$2:B$1839,1,FALSE)),"Not listed","")</f>
        <v/>
      </c>
      <c r="B20" s="20" t="inlineStr">
        <is>
          <t>plate_compactor</t>
        </is>
      </c>
      <c r="C20" t="inlineStr">
        <is>
          <t>//diggs:Equipment/diggs:class</t>
        </is>
      </c>
    </row>
    <row r="21">
      <c r="A21">
        <f>IF(ISNA(VLOOKUP(B21,Definitions!B$2:B$1839,1,FALSE)),"Not listed","")</f>
        <v/>
      </c>
      <c r="B21" s="20" t="inlineStr">
        <is>
          <t>crane</t>
        </is>
      </c>
      <c r="C21" t="inlineStr">
        <is>
          <t>//diggs:Equipment/diggs:class</t>
        </is>
      </c>
    </row>
    <row r="22">
      <c r="A22">
        <f>IF(ISNA(VLOOKUP(B22,Definitions!B$2:B$1839,1,FALSE)),"Not listed","")</f>
        <v/>
      </c>
      <c r="B22" s="20" t="inlineStr">
        <is>
          <t>concrete_batch_plant</t>
        </is>
      </c>
      <c r="C22" t="inlineStr">
        <is>
          <t>//diggs:Equipment/diggs:class</t>
        </is>
      </c>
    </row>
    <row r="23">
      <c r="A23">
        <f>IF(ISNA(VLOOKUP(B23,Definitions!B$2:B$1839,1,FALSE)),"Not listed","")</f>
        <v/>
      </c>
      <c r="B23" s="20" t="inlineStr">
        <is>
          <t>load_test_reaction_frame</t>
        </is>
      </c>
      <c r="C23" t="inlineStr">
        <is>
          <t>//diggs:Equipment/diggs:class</t>
        </is>
      </c>
    </row>
    <row r="24">
      <c r="A24">
        <f>IF(ISNA(VLOOKUP(B24,Definitions!B$2:B$1839,1,FALSE)),"Not listed","")</f>
        <v/>
      </c>
      <c r="B24" s="2" t="inlineStr">
        <is>
          <t>hydraulic_jack</t>
        </is>
      </c>
      <c r="C24" t="inlineStr">
        <is>
          <t>//diggs:Equipment/diggs:class</t>
        </is>
      </c>
    </row>
    <row r="25">
      <c r="A25">
        <f>IF(ISNA(VLOOKUP(B25,Definitions!B$2:B$1839,1,FALSE)),"Not listed","")</f>
        <v/>
      </c>
      <c r="B25" s="2" t="inlineStr">
        <is>
          <t>shape_array</t>
        </is>
      </c>
      <c r="C25" t="inlineStr">
        <is>
          <t>//diggs:Sensor/diggs:class</t>
        </is>
      </c>
    </row>
    <row r="26">
      <c r="A26">
        <f>IF(ISNA(VLOOKUP(B26,Definitions!B$2:B$1839,1,FALSE)),"Not listed","")</f>
        <v/>
      </c>
      <c r="B26" s="2" t="inlineStr">
        <is>
          <t>grout_pump</t>
        </is>
      </c>
      <c r="C26" t="inlineStr">
        <is>
          <t>//diggs:Equipment/diggs:class</t>
        </is>
      </c>
    </row>
    <row r="27">
      <c r="A27">
        <f>IF(ISNA(VLOOKUP(B27,Definitions!B$2:B$1839,1,FALSE)),"Not listed","")</f>
        <v/>
      </c>
      <c r="B27" s="13" t="inlineStr">
        <is>
          <t>concrete_pump</t>
        </is>
      </c>
      <c r="C27" t="inlineStr">
        <is>
          <t>//diggs:Equipment/diggs:class</t>
        </is>
      </c>
    </row>
    <row r="28">
      <c r="A28">
        <f>IF(ISNA(VLOOKUP(B28,Definitions!B$2:B$1839,1,FALSE)),"Not listed","")</f>
        <v/>
      </c>
      <c r="B28" s="13" t="inlineStr">
        <is>
          <t>rapid_load_device</t>
        </is>
      </c>
      <c r="C28" t="inlineStr">
        <is>
          <t>//diggs:Equipment/diggs:class</t>
        </is>
      </c>
    </row>
    <row r="29">
      <c r="A29">
        <f>IF(ISNA(VLOOKUP(B29,Definitions!B$2:B$1839,1,FALSE)),"Not listed","")</f>
        <v/>
      </c>
      <c r="B29" s="13" t="inlineStr">
        <is>
          <t>dynamic_test_hammer</t>
        </is>
      </c>
      <c r="C29" t="inlineStr">
        <is>
          <t>//diggs:Equipment/diggs:class</t>
        </is>
      </c>
    </row>
    <row r="30">
      <c r="A30">
        <f>IF(ISNA(VLOOKUP(B30,Definitions!B$2:B$1839,1,FALSE)),"Not listed","")</f>
        <v/>
      </c>
      <c r="B30" s="13" t="inlineStr">
        <is>
          <t>low_strain_impact_hammer</t>
        </is>
      </c>
      <c r="C30" t="inlineStr">
        <is>
          <t>//diggs:Equipment/diggs:class</t>
        </is>
      </c>
    </row>
    <row r="31">
      <c r="A31">
        <f>IF(ISNA(VLOOKUP(B31,Definitions!B$2:B$999,1,FALSE)),"Not listed","")</f>
        <v/>
      </c>
      <c r="B31" s="13" t="inlineStr">
        <is>
          <t>thermal_integrity_probe</t>
        </is>
      </c>
      <c r="C31" t="inlineStr">
        <is>
          <t>//diggs:Equipment/diggs:class</t>
        </is>
      </c>
    </row>
    <row r="32">
      <c r="A32">
        <f>IF(ISNA(VLOOKUP(B32,Definitions!B$2:B$999,1,FALSE)),"Not listed","")</f>
        <v/>
      </c>
      <c r="B32" s="13" t="inlineStr">
        <is>
          <t>embedded_fiber_optic_cable</t>
        </is>
      </c>
      <c r="C32" t="inlineStr">
        <is>
          <t>//diggs:Equipment/diggs:class</t>
        </is>
      </c>
    </row>
    <row r="33">
      <c r="A33">
        <f>IF(ISNA(VLOOKUP(B33,Definitions!B$2:B$1839,1,FALSE)),"Not listed","")</f>
        <v/>
      </c>
      <c r="B33" s="13" t="n"/>
    </row>
    <row r="34">
      <c r="A34">
        <f>IF(ISNA(VLOOKUP(B34,Definitions!B$2:B$1839,1,FALSE)),"Not listed","")</f>
        <v/>
      </c>
      <c r="B34" s="13" t="n"/>
    </row>
    <row r="35">
      <c r="A35">
        <f>IF(ISNA(VLOOKUP(B35,Definitions!B$2:B$1839,1,FALSE)),"Not listed","")</f>
        <v/>
      </c>
      <c r="B35" s="13" t="n"/>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C2" s="3" t="n"/>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2018-10-28T20:07:54Z</dcterms:created>
  <dcterms:modified xmlns:dcterms="http://purl.org/dc/terms/" xmlns:xsi="http://www.w3.org/2001/XMLSchema-instance" xsi:type="dcterms:W3CDTF">2026-10-04T10:06:48Z</dcterms:modified>
  <cp:lastModifiedBy>Ponti, Daniel J</cp:lastModifiedBy>
</cp:coreProperties>
</file>