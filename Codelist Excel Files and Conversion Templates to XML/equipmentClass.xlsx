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or a ground anchor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inlineStr">
        <is>
          <t>displacement_auger</t>
        </is>
      </c>
      <c r="C26" s="13" t="inlineStr">
        <is>
          <t>Displacement auger</t>
        </is>
      </c>
      <c r="D26" t="inlineStr">
        <is>
          <t>A shaped auger that forms a rigid inclusion by displacing soil laterally rather than removing it, generating no spoil. Proprietary tool geometries in common use include APGD, Atlas, De Waal, Fundex, Olivier, Omega, SVB and SVV.</t>
        </is>
      </c>
      <c r="E26" s="13" t="n"/>
      <c r="F26" s="13" t="n"/>
      <c r="G26" s="9" t="n"/>
    </row>
    <row r="27">
      <c r="A27" s="2">
        <f>IF(ISNA(VLOOKUP(B27,AssociatedElements!B$2:B2965,1,FALSE)),"Not used","")</f>
        <v/>
      </c>
      <c r="B27" s="13" t="inlineStr">
        <is>
          <t>traction_compacting_tool</t>
        </is>
      </c>
      <c r="C27" s="13" t="inlineStr">
        <is>
          <t>Traction compacting tool</t>
        </is>
      </c>
      <c r="D27" s="15" t="inlineStr">
        <is>
          <t>A displacement tool that advances by traction and compacts soil on both insertion and extraction, typically about half on each. Offered by Keller / Hayward Baker as an alternative to a single-pass displacement auger.</t>
        </is>
      </c>
      <c r="E27" s="13" t="n"/>
      <c r="F27" s="13" t="n"/>
      <c r="G27" s="9" t="n"/>
    </row>
    <row r="28">
      <c r="A28" s="2">
        <f>IF(ISNA(VLOOKUP(B28,AssociatedElements!B$2:B2966,1,FALSE)),"Not used","")</f>
        <v/>
      </c>
      <c r="B28" s="13" t="inlineStr">
        <is>
          <t>vibratory_displacement_tool</t>
        </is>
      </c>
      <c r="C28" s="13" t="inlineStr">
        <is>
          <t>Vibratory displacement tool</t>
        </is>
      </c>
      <c r="D28" s="14" t="inlineStr">
        <is>
          <t>A displacement tool advanced by vibration rather than by rotary drilling or static push.</t>
        </is>
      </c>
      <c r="E28" s="13" t="n"/>
      <c r="F28" s="13" t="n"/>
      <c r="G28" s="9" t="n"/>
    </row>
    <row r="29">
      <c r="A29" s="2">
        <f>IF(ISNA(VLOOKUP(B29,AssociatedElements!B$2:B2967,1,FALSE)),"Not used","")</f>
        <v/>
      </c>
      <c r="B29" s="13" t="inlineStr">
        <is>
          <t>grout_pump</t>
        </is>
      </c>
      <c r="C29" s="13" t="inlineStr">
        <is>
          <t>Grout pump</t>
        </is>
      </c>
      <c r="D29" s="14" t="inlineStr">
        <is>
          <t>A pump delivering grout or cemented aggregate to the tool during column formation; a piston pump is typical for grouted rigid inclusions.</t>
        </is>
      </c>
      <c r="E29" s="13" t="n"/>
      <c r="F29" s="13" t="n"/>
      <c r="G29" s="9" t="n"/>
    </row>
    <row r="30">
      <c r="A30" s="2">
        <f>IF(ISNA(VLOOKUP(B30,AssociatedElements!B$2:B2968,1,FALSE)),"Not used","")</f>
        <v/>
      </c>
      <c r="B30" s="13" t="inlineStr">
        <is>
          <t>concrete_pump</t>
        </is>
      </c>
      <c r="C30" s="13" t="inlineStr">
        <is>
          <t>Concrete pump</t>
        </is>
      </c>
      <c r="D30" s="14" t="inlineStr">
        <is>
          <t>A pump delivering ready-mixed concrete to the tool during column formation, typical of controlled-modulus-column practice.</t>
        </is>
      </c>
      <c r="E30" s="13" t="n"/>
      <c r="F30" s="13" t="n"/>
      <c r="G30" s="9" t="n"/>
    </row>
    <row r="31">
      <c r="A31" s="2">
        <f>IF(ISNA(VLOOKUP(B31,AssociatedElements!B$2:B$999,1,FALSE)),"Not used","")</f>
        <v/>
      </c>
      <c r="B31" s="13" t="inlineStr">
        <is>
          <t>rapid_load_device</t>
        </is>
      </c>
      <c r="C31" s="18" t="inlineStr">
        <is>
          <t>Rapid Load Test Device</t>
        </is>
      </c>
      <c r="D31" s="19" t="inlineStr">
        <is>
          <t>The pneumatic or hydraulic force-pulse generator used to apply the load in a rapid load test - a Statnamic device or an equivalent force-pulse actuator, per ASTM D7383 or EN ISO 22477-10.</t>
        </is>
      </c>
      <c r="E31" s="18" t="inlineStr">
        <is>
          <t>string</t>
        </is>
      </c>
      <c r="F31" s="18" t="n"/>
      <c r="G31" s="9" t="inlineStr">
        <is>
          <t>DIGGS</t>
        </is>
      </c>
    </row>
    <row r="32">
      <c r="A32" s="2">
        <f>IF(ISNA(VLOOKUP(B32,AssociatedElements!B$2:B$999,1,FALSE)),"Not used","")</f>
        <v/>
      </c>
      <c r="B32" s="13" t="inlineStr">
        <is>
          <t>dynamic_test_hammer</t>
        </is>
      </c>
      <c r="C32" s="18" t="inlineStr">
        <is>
          <t>Dynamic Load Test Hammer</t>
        </is>
      </c>
      <c r="D32" s="19" t="inlineStr">
        <is>
          <t>The impact hammer used to apply the blow(s) in a high-strain dynamic load test, per ASTM D4945 or EN ISO 22477-4.</t>
        </is>
      </c>
      <c r="E32" s="18" t="inlineStr">
        <is>
          <t>string</t>
        </is>
      </c>
      <c r="F32" s="18" t="n"/>
      <c r="G32" s="9" t="inlineStr">
        <is>
          <t>DIGGS</t>
        </is>
      </c>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inlineStr">
        <is>
          <t>displacement_auger</t>
        </is>
      </c>
      <c r="C26" t="inlineStr">
        <is>
          <t>//diggs:Equipment/diggs:class</t>
        </is>
      </c>
    </row>
    <row r="27">
      <c r="A27">
        <f>IF(ISNA(VLOOKUP(B27,Definitions!B$2:B$1839,1,FALSE)),"Not listed","")</f>
        <v/>
      </c>
      <c r="B27" s="13" t="inlineStr">
        <is>
          <t>traction_compacting_tool</t>
        </is>
      </c>
      <c r="C27" t="inlineStr">
        <is>
          <t>//diggs:Equipment/diggs:class</t>
        </is>
      </c>
    </row>
    <row r="28">
      <c r="A28">
        <f>IF(ISNA(VLOOKUP(B28,Definitions!B$2:B$1839,1,FALSE)),"Not listed","")</f>
        <v/>
      </c>
      <c r="B28" s="13" t="inlineStr">
        <is>
          <t>vibratory_displacement_tool</t>
        </is>
      </c>
      <c r="C28" t="inlineStr">
        <is>
          <t>//diggs:Equipment/diggs:class</t>
        </is>
      </c>
    </row>
    <row r="29">
      <c r="A29">
        <f>IF(ISNA(VLOOKUP(B29,Definitions!B$2:B$1839,1,FALSE)),"Not listed","")</f>
        <v/>
      </c>
      <c r="B29" s="13" t="inlineStr">
        <is>
          <t>grout_pump</t>
        </is>
      </c>
      <c r="C29" t="inlineStr">
        <is>
          <t>//diggs:Equipment/diggs:class</t>
        </is>
      </c>
    </row>
    <row r="30">
      <c r="A30">
        <f>IF(ISNA(VLOOKUP(B30,Definitions!B$2:B$1839,1,FALSE)),"Not listed","")</f>
        <v/>
      </c>
      <c r="B30" s="13" t="inlineStr">
        <is>
          <t>concrete_pump</t>
        </is>
      </c>
      <c r="C30" t="inlineStr">
        <is>
          <t>//diggs:Equipment/diggs:class</t>
        </is>
      </c>
    </row>
    <row r="31">
      <c r="A31">
        <f>IF(ISNA(VLOOKUP(B31,Definitions!B$2:B$999,1,FALSE)),"Not listed","")</f>
        <v/>
      </c>
      <c r="B31" s="13" t="inlineStr">
        <is>
          <t>rapid_load_device</t>
        </is>
      </c>
      <c r="C31" t="inlineStr">
        <is>
          <t>//diggs:Equipment/diggs:class</t>
        </is>
      </c>
    </row>
    <row r="32">
      <c r="A32">
        <f>IF(ISNA(VLOOKUP(B32,Definitions!B$2:B$999,1,FALSE)),"Not listed","")</f>
        <v/>
      </c>
      <c r="B32" s="13" t="inlineStr">
        <is>
          <t>dynamic_test_hammer</t>
        </is>
      </c>
      <c r="C32" t="inlineStr">
        <is>
          <t>//diggs:Equipment/diggs:class</t>
        </is>
      </c>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2026-08-31T22:04:35Z</dcterms:modified>
  <cp:lastModifiedBy>Ponti, Daniel J</cp:lastModifiedBy>
</cp:coreProperties>
</file>