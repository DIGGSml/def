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a ground anchor arrangement, or an adjacent test element pushed against in a two-element lateral test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inlineStr">
        <is>
          <t>shape_array</t>
        </is>
      </c>
      <c r="C25" s="13" t="inlineStr">
        <is>
          <t>Shape Array (SAA)</t>
        </is>
      </c>
      <c r="D25" t="inlineStr">
        <is>
          <t>A multi-segment in-place inclinometer-type instrument (for example a Shape Accel Array) that measures its own 3-D shape continuously along its length, giving a displacement profile against depth over time without the manual probe traverses a conventional inclinometer requires. Distinct from inclinometer: functionally close enough that inclinometer may be an acceptable stand-in where a shape array is not separately identified, but this entry lets an instrument genuinely of this kind be named precisely (V2 Post-installation row 32: LTP shear-deformation monitoring).</t>
        </is>
      </c>
      <c r="E25" s="13" t="n"/>
      <c r="F25" s="13" t="n"/>
      <c r="G25" s="9" t="n"/>
    </row>
    <row r="26">
      <c r="A26" s="2">
        <f>IF(ISNA(VLOOKUP(B26,AssociatedElements!B$2:B2964,1,FALSE)),"Not used","")</f>
        <v/>
      </c>
      <c r="B26" s="13" t="inlineStr">
        <is>
          <t>grout_pump</t>
        </is>
      </c>
      <c r="C26" s="13" t="inlineStr">
        <is>
          <t>Grout pump</t>
        </is>
      </c>
      <c r="D26" t="inlineStr">
        <is>
          <t>A pump delivering grout or cemented aggregate to the tool during column formation; a piston pump is typical for grouted rigid inclusions.</t>
        </is>
      </c>
      <c r="E26" s="13" t="n"/>
      <c r="F26" s="13" t="n"/>
      <c r="G26" s="9" t="n"/>
    </row>
    <row r="27">
      <c r="A27" s="2">
        <f>IF(ISNA(VLOOKUP(B27,AssociatedElements!B$2:B2965,1,FALSE)),"Not used","")</f>
        <v/>
      </c>
      <c r="B27" s="13" t="inlineStr">
        <is>
          <t>concrete_pump</t>
        </is>
      </c>
      <c r="C27" s="13" t="inlineStr">
        <is>
          <t>Concrete pump</t>
        </is>
      </c>
      <c r="D27" s="15" t="inlineStr">
        <is>
          <t>A pump delivering ready-mixed concrete to the tool during column formation, typical of controlled-modulus-column practice.</t>
        </is>
      </c>
      <c r="E27" s="13" t="n"/>
      <c r="F27" s="13" t="n"/>
      <c r="G27" s="9" t="n"/>
    </row>
    <row r="28">
      <c r="A28" s="2">
        <f>IF(ISNA(VLOOKUP(B28,AssociatedElements!B$2:B2966,1,FALSE)),"Not used","")</f>
        <v/>
      </c>
      <c r="B28" s="13" t="inlineStr">
        <is>
          <t>rapid_load_device</t>
        </is>
      </c>
      <c r="C28" s="13" t="inlineStr">
        <is>
          <t>Rapid Load Test Device</t>
        </is>
      </c>
      <c r="D28" s="14" t="inlineStr">
        <is>
          <t>The pneumatic or hydraulic force-pulse generator used to apply the load in a rapid load test - a Statnamic device or an equivalent force-pulse actuator, per ASTM D7383 or EN ISO 22477-10.</t>
        </is>
      </c>
      <c r="E28" s="13" t="inlineStr">
        <is>
          <t>string</t>
        </is>
      </c>
      <c r="F28" s="13" t="n"/>
      <c r="G28" s="9" t="inlineStr">
        <is>
          <t>DIGGS</t>
        </is>
      </c>
    </row>
    <row r="29">
      <c r="A29" s="2">
        <f>IF(ISNA(VLOOKUP(B29,AssociatedElements!B$2:B2967,1,FALSE)),"Not used","")</f>
        <v/>
      </c>
      <c r="B29" s="13" t="inlineStr">
        <is>
          <t>dynamic_test_hammer</t>
        </is>
      </c>
      <c r="C29" s="13" t="inlineStr">
        <is>
          <t>Dynamic Load Test Hammer</t>
        </is>
      </c>
      <c r="D29" s="14" t="inlineStr">
        <is>
          <t>The impact hammer used to apply the blow(s) in a high-strain dynamic load test, per ASTM D4945 or EN ISO 22477-4.</t>
        </is>
      </c>
      <c r="E29" s="13" t="inlineStr">
        <is>
          <t>string</t>
        </is>
      </c>
      <c r="F29" s="13" t="n"/>
      <c r="G29" s="9" t="inlineStr">
        <is>
          <t>DIGGS</t>
        </is>
      </c>
    </row>
    <row r="30">
      <c r="A30" s="2">
        <f>IF(ISNA(VLOOKUP(B30,AssociatedElements!B$2:B2968,1,FALSE)),"Not used","")</f>
        <v/>
      </c>
      <c r="B30" s="13" t="inlineStr">
        <is>
          <t>low_strain_impact_hammer</t>
        </is>
      </c>
      <c r="C30" s="13" t="inlineStr">
        <is>
          <t>Low-Strain Impact Hammer</t>
        </is>
      </c>
      <c r="D30" s="14" t="inlineStr">
        <is>
          <t>The small handheld hammer (typically plastic- or rubber-tipped) used to apply the impact in a low-strain integrity test, per ASTM D5882 or NF P94-160-2/-4. Distinct from equipmentClass.xml#dynamic_test_hammer, the much larger drop or diesel hammer used to apply a high-strain blow in ASTM D4945 dynamic load testing - the two tests use different equipment at entirely different energy scales.</t>
        </is>
      </c>
      <c r="E30" s="13" t="inlineStr">
        <is>
          <t>string</t>
        </is>
      </c>
      <c r="F30" s="13" t="n"/>
      <c r="G30" s="9" t="inlineStr">
        <is>
          <t>DIGGS</t>
        </is>
      </c>
    </row>
    <row r="31">
      <c r="A31" s="2">
        <f>IF(ISNA(VLOOKUP(B31,AssociatedElements!B$2:B$999,1,FALSE)),"Not used","")</f>
        <v/>
      </c>
      <c r="B31" s="13" t="inlineStr">
        <is>
          <t>thermal_integrity_probe</t>
        </is>
      </c>
      <c r="C31" s="18" t="inlineStr">
        <is>
          <t>Thermal Integrity Profiling Probe</t>
        </is>
      </c>
      <c r="D31" s="19" t="inlineStr">
        <is>
          <t>The probe lowered into access ducts to take temperature readings in ASTM D7949 Method A thermal integrity profiling. Distinct from equipmentClass.xml#thermistor, which is the embedded sensor Method B uses instead - the two methods use different equipment classes for the same underlying measurement.</t>
        </is>
      </c>
      <c r="E31" s="18" t="inlineStr">
        <is>
          <t>string</t>
        </is>
      </c>
      <c r="F31" s="18" t="n"/>
      <c r="G31" s="9" t="inlineStr">
        <is>
          <t>DIGGS</t>
        </is>
      </c>
    </row>
    <row r="32">
      <c r="A32" s="2">
        <f>IF(ISNA(VLOOKUP(B32,AssociatedElements!B$2:B$999,1,FALSE)),"Not used","")</f>
        <v/>
      </c>
      <c r="B32" s="13" t="inlineStr">
        <is>
          <t>embedded_fiber_optic_cable</t>
        </is>
      </c>
      <c r="C32" s="18" t="inlineStr">
        <is>
          <t>Embedded Fiber-Optic Cable</t>
        </is>
      </c>
      <c r="D32" s="19" t="inlineStr">
        <is>
          <t>The fiber-optic cable attached to the reinforcing cage and cast into the concrete for ASTM D7949 Method C thermal integrity profiling, giving effectively continuous temperature coverage along the element's length.</t>
        </is>
      </c>
      <c r="E32" s="18" t="inlineStr">
        <is>
          <t>string</t>
        </is>
      </c>
      <c r="F32" s="18" t="n"/>
      <c r="G32" s="9" t="inlineStr">
        <is>
          <t>DIGGS</t>
        </is>
      </c>
    </row>
    <row r="33">
      <c r="A33" s="2">
        <f>IF(ISNA(VLOOKUP(B33,AssociatedElements!B$2:B2971,1,FALSE)),"Not used","")</f>
        <v/>
      </c>
      <c r="B33" s="13" t="inlineStr">
        <is>
          <t>dial_gauge</t>
        </is>
      </c>
      <c r="C33" s="18" t="inlineStr">
        <is>
          <t>Dial gauge</t>
        </is>
      </c>
      <c r="D33" s="19" t="inlineStr">
        <is>
          <t>A mechanical or digital indicator that reads a displacement directly, mounted on a reference beam to measure the settlement of a test plate or pile head.</t>
        </is>
      </c>
      <c r="E33" s="18" t="n"/>
      <c r="F33" s="18" t="n"/>
      <c r="G33" s="9" t="n"/>
    </row>
    <row r="34">
      <c r="A34" s="2">
        <f>IF(ISNA(VLOOKUP(B34,AssociatedElements!B$2:B2972,1,FALSE)),"Not used","")</f>
        <v/>
      </c>
      <c r="B34" s="13" t="inlineStr">
        <is>
          <t>pressure_gauge</t>
        </is>
      </c>
      <c r="C34" s="18" t="inlineStr">
        <is>
          <t>Pressure gauge</t>
        </is>
      </c>
      <c r="D34" s="19" t="inlineStr">
        <is>
          <t>A gauge that reads fluid pressure, for example the Bourdon-tube gauge on a hydraulic jack that gives the load applied in a static load test.</t>
        </is>
      </c>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inlineStr">
        <is>
          <t>shape_array</t>
        </is>
      </c>
      <c r="C25" t="inlineStr">
        <is>
          <t>//diggs:Sensor/diggs:class</t>
        </is>
      </c>
    </row>
    <row r="26">
      <c r="A26">
        <f>IF(ISNA(VLOOKUP(B26,Definitions!B$2:B$1839,1,FALSE)),"Not listed","")</f>
        <v/>
      </c>
      <c r="B26" s="2" t="inlineStr">
        <is>
          <t>grout_pump</t>
        </is>
      </c>
      <c r="C26" t="inlineStr">
        <is>
          <t>//diggs:Equipment/diggs:class</t>
        </is>
      </c>
    </row>
    <row r="27">
      <c r="A27">
        <f>IF(ISNA(VLOOKUP(B27,Definitions!B$2:B$1839,1,FALSE)),"Not listed","")</f>
        <v/>
      </c>
      <c r="B27" s="13" t="inlineStr">
        <is>
          <t>concrete_pump</t>
        </is>
      </c>
      <c r="C27" t="inlineStr">
        <is>
          <t>//diggs:Equipment/diggs:class</t>
        </is>
      </c>
    </row>
    <row r="28">
      <c r="A28">
        <f>IF(ISNA(VLOOKUP(B28,Definitions!B$2:B$1839,1,FALSE)),"Not listed","")</f>
        <v/>
      </c>
      <c r="B28" s="13" t="inlineStr">
        <is>
          <t>rapid_load_device</t>
        </is>
      </c>
      <c r="C28" t="inlineStr">
        <is>
          <t>//diggs:Equipment/diggs:class</t>
        </is>
      </c>
    </row>
    <row r="29">
      <c r="A29">
        <f>IF(ISNA(VLOOKUP(B29,Definitions!B$2:B$1839,1,FALSE)),"Not listed","")</f>
        <v/>
      </c>
      <c r="B29" s="13" t="inlineStr">
        <is>
          <t>dynamic_test_hammer</t>
        </is>
      </c>
      <c r="C29" t="inlineStr">
        <is>
          <t>//diggs:Equipment/diggs:class</t>
        </is>
      </c>
    </row>
    <row r="30">
      <c r="A30">
        <f>IF(ISNA(VLOOKUP(B30,Definitions!B$2:B$1839,1,FALSE)),"Not listed","")</f>
        <v/>
      </c>
      <c r="B30" s="13" t="inlineStr">
        <is>
          <t>low_strain_impact_hammer</t>
        </is>
      </c>
      <c r="C30" t="inlineStr">
        <is>
          <t>//diggs:Equipment/diggs:class</t>
        </is>
      </c>
    </row>
    <row r="31">
      <c r="A31">
        <f>IF(ISNA(VLOOKUP(B31,Definitions!B$2:B$999,1,FALSE)),"Not listed","")</f>
        <v/>
      </c>
      <c r="B31" s="13" t="inlineStr">
        <is>
          <t>thermal_integrity_probe</t>
        </is>
      </c>
      <c r="C31" t="inlineStr">
        <is>
          <t>//diggs:Equipment/diggs:class</t>
        </is>
      </c>
    </row>
    <row r="32">
      <c r="A32">
        <f>IF(ISNA(VLOOKUP(B32,Definitions!B$2:B$999,1,FALSE)),"Not listed","")</f>
        <v/>
      </c>
      <c r="B32" s="13" t="inlineStr">
        <is>
          <t>embedded_fiber_optic_cable</t>
        </is>
      </c>
      <c r="C32" t="inlineStr">
        <is>
          <t>//diggs:Equipment/diggs:class</t>
        </is>
      </c>
    </row>
    <row r="33">
      <c r="A33">
        <f>IF(ISNA(VLOOKUP(B33,Definitions!B$2:B$1839,1,FALSE)),"Not listed","")</f>
        <v/>
      </c>
      <c r="B33" s="13" t="inlineStr">
        <is>
          <t>dial_gauge</t>
        </is>
      </c>
      <c r="C33" t="inlineStr">
        <is>
          <t>//diggs:Equipment/diggs:class</t>
        </is>
      </c>
    </row>
    <row r="34">
      <c r="A34">
        <f>IF(ISNA(VLOOKUP(B34,Definitions!B$2:B$1839,1,FALSE)),"Not listed","")</f>
        <v/>
      </c>
      <c r="B34" s="13" t="inlineStr">
        <is>
          <t>pressure_gauge</t>
        </is>
      </c>
      <c r="C34" t="inlineStr">
        <is>
          <t>//diggs:Equipment/diggs:class</t>
        </is>
      </c>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2026-10-05T10:09:09Z</dcterms:modified>
  <cp:lastModifiedBy>Ponti, Daniel J</cp:lastModifiedBy>
</cp:coreProperties>
</file>