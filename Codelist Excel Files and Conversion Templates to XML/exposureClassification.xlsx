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9200" yWindow="3280" windowWidth="39400" windowHeight="24940" tabRatio="500" firstSheet="0" activeTab="4" autoFilterDateGrouping="1"/>
  </bookViews>
  <sheets>
    <sheet name="DictionaryName" sheetId="1" state="visible" r:id="rId1"/>
    <sheet name="Definitions" sheetId="2" state="visible" r:id="rId2"/>
    <sheet name="AssociatedElements" sheetId="3" state="visible" r:id="rId3"/>
    <sheet name="AlternateNames" sheetId="4" state="visible" r:id="rId4"/>
    <sheet name="Lists" sheetId="5" state="visible" r:id="rId5"/>
  </sheets>
  <definedNames/>
  <calcPr calcId="191029" fullCalcOnLoad="1"/>
</workbook>
</file>

<file path=xl/styles.xml><?xml version="1.0" encoding="utf-8"?>
<styleSheet xmlns="http://schemas.openxmlformats.org/spreadsheetml/2006/main">
  <numFmts count="0"/>
  <fonts count="15">
    <font>
      <name val="Calibri"/>
      <family val="2"/>
      <color theme="1"/>
      <sz val="12"/>
      <scheme val="minor"/>
    </font>
    <font>
      <name val="Calibri"/>
      <family val="2"/>
      <b val="1"/>
      <color theme="1"/>
      <sz val="12"/>
      <scheme val="minor"/>
    </font>
    <font>
      <name val="Calibri"/>
      <family val="2"/>
      <color theme="10"/>
      <sz val="12"/>
      <u val="single"/>
      <scheme val="minor"/>
    </font>
    <font>
      <name val="Calibri"/>
      <family val="2"/>
      <color theme="11"/>
      <sz val="12"/>
      <u val="single"/>
      <scheme val="minor"/>
    </font>
    <font>
      <name val="Calibri"/>
      <family val="2"/>
      <sz val="12"/>
      <scheme val="minor"/>
    </font>
    <font>
      <name val="Calibri"/>
      <family val="2"/>
      <b val="1"/>
      <color theme="0"/>
      <sz val="12"/>
      <scheme val="minor"/>
    </font>
    <font>
      <name val="Calibri"/>
      <family val="2"/>
      <color theme="0"/>
      <sz val="12"/>
      <scheme val="minor"/>
    </font>
    <font>
      <name val="Verdana"/>
      <family val="2"/>
      <b val="1"/>
      <color theme="0"/>
      <sz val="10"/>
    </font>
    <font>
      <name val="Calibri"/>
      <family val="2"/>
      <b val="1"/>
      <color rgb="FFFFFFFF"/>
      <sz val="12"/>
      <scheme val="minor"/>
    </font>
    <font>
      <name val="Calibri"/>
      <family val="2"/>
      <color rgb="FFC00000"/>
      <sz val="12"/>
      <scheme val="minor"/>
    </font>
    <font>
      <name val="Calibri"/>
      <family val="2"/>
      <color theme="1"/>
      <sz val="12"/>
      <scheme val="minor"/>
    </font>
    <font>
      <name val="Calibri"/>
      <family val="2"/>
      <color rgb="FF000000"/>
      <sz val="12"/>
      <scheme val="minor"/>
    </font>
    <font>
      <name val="Aptos Narrow"/>
      <family val="2"/>
      <color rgb="FF000000"/>
      <sz val="12"/>
    </font>
    <font>
      <name val="Calibri"/>
      <family val="2"/>
      <color theme="3"/>
      <sz val="12"/>
      <scheme val="minor"/>
    </font>
    <font>
      <name val="Calibri"/>
      <family val="2"/>
      <sz val="8"/>
      <scheme val="minor"/>
    </font>
  </fonts>
  <fills count="4">
    <fill>
      <patternFill/>
    </fill>
    <fill>
      <patternFill patternType="gray125"/>
    </fill>
    <fill>
      <patternFill patternType="solid">
        <fgColor rgb="FF4472C4"/>
        <bgColor rgb="FF4472C4"/>
      </patternFill>
    </fill>
    <fill>
      <patternFill patternType="solid">
        <fgColor rgb="FFDBE5F1"/>
        <bgColor indexed="64"/>
      </patternFill>
    </fill>
  </fills>
  <borders count="3">
    <border>
      <left/>
      <right/>
      <top/>
      <bottom/>
      <diagonal/>
    </border>
    <border>
      <left style="thin">
        <color rgb="FFFFFFFF"/>
      </left>
      <right style="thin">
        <color rgb="FFFFFFFF"/>
      </right>
      <top/>
      <bottom style="thick">
        <color rgb="FFFFFFFF"/>
      </bottom>
      <diagonal/>
    </border>
    <border>
      <left style="thin">
        <color rgb="FFFFFFFF"/>
      </left>
      <right style="thin">
        <color rgb="FFFFFFFF"/>
      </right>
      <top style="thin">
        <color rgb="FFFFFFFF"/>
      </top>
      <bottom style="thin">
        <color rgb="FFFFFFFF"/>
      </bottom>
      <diagonal/>
    </border>
  </borders>
  <cellStyleXfs count="3">
    <xf numFmtId="0" fontId="10" fillId="0" borderId="0"/>
    <xf numFmtId="0" fontId="2" fillId="0" borderId="0"/>
    <xf numFmtId="0" fontId="3" fillId="0" borderId="0"/>
  </cellStyleXfs>
  <cellXfs count="21">
    <xf numFmtId="0" fontId="0" fillId="0" borderId="0" pivotButton="0" quotePrefix="0" xfId="0"/>
    <xf numFmtId="0" fontId="1" fillId="0" borderId="0" applyAlignment="1" pivotButton="0" quotePrefix="0" xfId="0">
      <alignment vertical="center" wrapText="1"/>
    </xf>
    <xf numFmtId="0" fontId="0" fillId="0" borderId="0" applyAlignment="1" pivotButton="0" quotePrefix="0" xfId="0">
      <alignment vertical="center" wrapText="1"/>
    </xf>
    <xf numFmtId="0" fontId="4" fillId="0" borderId="0" pivotButton="0" quotePrefix="0" xfId="0"/>
    <xf numFmtId="0" fontId="7" fillId="0" borderId="0" pivotButton="0" quotePrefix="0" xfId="0"/>
    <xf numFmtId="0" fontId="5" fillId="0" borderId="0" pivotButton="0" quotePrefix="0" xfId="0"/>
    <xf numFmtId="0" fontId="6" fillId="0" borderId="0" pivotButton="0" quotePrefix="0" xfId="0"/>
    <xf numFmtId="0" fontId="9" fillId="0" borderId="0" pivotButton="0" quotePrefix="0" xfId="0"/>
    <xf numFmtId="0" fontId="0" fillId="0" borderId="0" applyAlignment="1" pivotButton="0" quotePrefix="0" xfId="0">
      <alignment wrapText="1"/>
    </xf>
    <xf numFmtId="0" fontId="4" fillId="0" borderId="0" applyAlignment="1" pivotButton="0" quotePrefix="0" xfId="0">
      <alignment horizontal="left" vertical="center"/>
    </xf>
    <xf numFmtId="0" fontId="1" fillId="0" borderId="0" applyAlignment="1" pivotButton="0" quotePrefix="0" xfId="0">
      <alignment wrapText="1"/>
    </xf>
    <xf numFmtId="0" fontId="8" fillId="2" borderId="1" applyAlignment="1" pivotButton="0" quotePrefix="0" xfId="0">
      <alignment wrapText="1"/>
    </xf>
    <xf numFmtId="0" fontId="0" fillId="0" borderId="0" applyAlignment="1" pivotButton="0" quotePrefix="0" xfId="0">
      <alignment vertical="center"/>
    </xf>
    <xf numFmtId="0" fontId="12" fillId="0" borderId="0" applyAlignment="1" pivotButton="0" quotePrefix="0" xfId="0">
      <alignment vertical="center" wrapText="1"/>
    </xf>
    <xf numFmtId="0" fontId="11" fillId="0" borderId="0" applyAlignment="1" pivotButton="0" quotePrefix="0" xfId="0">
      <alignment vertical="center" wrapText="1"/>
    </xf>
    <xf numFmtId="0" fontId="11" fillId="0" borderId="2" applyAlignment="1" pivotButton="0" quotePrefix="0" xfId="0">
      <alignment vertical="center" wrapText="1"/>
    </xf>
    <xf numFmtId="0" fontId="4" fillId="3" borderId="0" applyAlignment="1" pivotButton="0" quotePrefix="0" xfId="0">
      <alignment vertical="center" wrapText="1"/>
    </xf>
    <xf numFmtId="0" fontId="4" fillId="0" borderId="0" applyAlignment="1" pivotButton="0" quotePrefix="0" xfId="0">
      <alignment vertical="center" wrapText="1"/>
    </xf>
    <xf numFmtId="0" fontId="12" fillId="0" borderId="0" applyAlignment="1" pivotButton="0" quotePrefix="0" xfId="0">
      <alignment vertical="center"/>
    </xf>
    <xf numFmtId="0" fontId="10" fillId="0" borderId="0" applyAlignment="1" pivotButton="0" quotePrefix="0" xfId="0">
      <alignment vertical="center" wrapText="1"/>
    </xf>
    <xf numFmtId="0" fontId="13" fillId="0" borderId="0" applyAlignment="1" pivotButton="0" quotePrefix="0" xfId="0">
      <alignment vertical="center" wrapText="1"/>
    </xf>
  </cellXfs>
  <cellStyles count="3">
    <cellStyle name="Normal" xfId="0" builtinId="0"/>
    <cellStyle name="Hyperlink" xfId="1" builtinId="8" hidden="1"/>
    <cellStyle name="Followed Hyperlink" xfId="2" builtinId="9" hidden="1"/>
  </cellStyles>
  <dxfs count="25">
    <dxf>
      <font>
        <name val="Calibri"/>
        <strike val="0"/>
        <outline val="0"/>
        <shadow val="0"/>
        <condense val="0"/>
        <color auto="1"/>
        <extend val="0"/>
        <sz val="12"/>
        <vertAlign val="baseline"/>
        <scheme val="minor"/>
      </font>
      <fill>
        <patternFill>
          <fgColor indexed="64"/>
          <bgColor indexed="65"/>
        </patternFill>
      </fill>
      <alignment horizontal="general" vertical="bottom"/>
    </dxf>
    <dxf>
      <fill>
        <patternFill>
          <fgColor indexed="64"/>
          <bgColor indexed="65"/>
        </patternFill>
      </fill>
      <alignment horizontal="general" vertical="bottom" wrapText="1"/>
    </dxf>
    <dxf>
      <numFmt numFmtId="0" formatCode="General"/>
      <fill>
        <patternFill>
          <fgColor indexed="64"/>
          <bgColor indexed="65"/>
        </patternFill>
      </fill>
      <alignment horizontal="general" vertical="bottom"/>
    </dxf>
    <dxf>
      <font>
        <strike val="0"/>
        <outline val="0"/>
        <shadow val="0"/>
        <color theme="0"/>
        <vertAlign val="baseline"/>
      </font>
    </dxf>
    <dxf>
      <font>
        <name val="Calibri"/>
        <strike val="0"/>
        <outline val="0"/>
        <shadow val="0"/>
        <condense val="0"/>
        <color auto="1"/>
        <extend val="0"/>
        <sz val="12"/>
        <vertAlign val="baseline"/>
        <scheme val="minor"/>
      </font>
      <fill>
        <patternFill>
          <fgColor indexed="64"/>
          <bgColor indexed="65"/>
        </patternFill>
      </fill>
      <alignment horizontal="general" vertical="bottom"/>
    </dxf>
    <dxf>
      <fill>
        <patternFill>
          <fgColor indexed="64"/>
          <bgColor indexed="65"/>
        </patternFill>
      </fill>
      <alignment horizontal="general" vertical="center" wrapText="1"/>
    </dxf>
    <dxf>
      <numFmt numFmtId="0" formatCode="General"/>
      <fill>
        <patternFill>
          <fgColor indexed="64"/>
          <bgColor indexed="65"/>
        </patternFill>
      </fill>
      <alignment horizontal="general" vertical="bottom"/>
    </dxf>
    <dxf>
      <font>
        <strike val="0"/>
        <outline val="0"/>
        <shadow val="0"/>
        <color theme="0"/>
        <vertAlign val="baseline"/>
      </font>
    </dxf>
    <dxf>
      <alignment horizontal="general" vertical="center" wrapText="1"/>
    </dxf>
    <dxf>
      <font>
        <color auto="1"/>
      </font>
      <alignment horizontal="left" vertical="center"/>
    </dxf>
    <dxf>
      <font>
        <name val="Aptos Narrow"/>
        <family val="2"/>
        <color rgb="FF000000"/>
      </font>
      <alignment horizontal="general" vertical="center"/>
    </dxf>
    <dxf>
      <font>
        <name val="Aptos Narrow"/>
        <family val="2"/>
        <color rgb="FF000000"/>
      </font>
      <alignment horizontal="general" vertical="center"/>
    </dxf>
    <dxf>
      <font>
        <name val="Calibri"/>
        <strike val="0"/>
        <outline val="0"/>
        <shadow val="0"/>
        <color auto="1"/>
        <sz val="12"/>
        <vertAlign val="baseline"/>
        <scheme val="minor"/>
      </font>
      <fill>
        <patternFill patternType="solid">
          <fgColor indexed="64"/>
          <bgColor rgb="FFDBE5F1"/>
        </patternFill>
      </fill>
      <alignment horizontal="general" vertical="bottom" wrapText="1"/>
      <border outline="0">
        <left/>
        <right style="thin">
          <color rgb="FFFFFFFF"/>
        </right>
        <top/>
        <bottom style="thin">
          <color rgb="FFFFFFFF"/>
        </bottom>
      </border>
    </dxf>
    <dxf>
      <font>
        <color auto="1"/>
      </font>
      <fill>
        <patternFill patternType="solid">
          <fgColor indexed="64"/>
          <bgColor rgb="FFDBE5F1"/>
        </patternFill>
      </fill>
      <alignment horizontal="general" vertical="center"/>
      <border outline="0">
        <left/>
        <right style="thin">
          <color rgb="FFFFFFFF"/>
        </right>
        <top/>
        <bottom style="thin">
          <color rgb="FFFFFFFF"/>
        </bottom>
      </border>
    </dxf>
    <dxf>
      <font>
        <name val="Aptos Narrow"/>
        <family val="2"/>
        <color rgb="FF000000"/>
      </font>
      <alignment horizontal="general" vertical="center" wrapText="1"/>
    </dxf>
    <dxf>
      <numFmt numFmtId="0" formatCode="General"/>
      <alignment horizontal="general" vertical="center" wrapText="1"/>
    </dxf>
    <dxf>
      <alignment horizontal="general" vertical="center" wrapText="1"/>
    </dxf>
    <dxf>
      <font>
        <name val="Calibri"/>
        <b val="1"/>
        <strike val="0"/>
        <outline val="0"/>
        <shadow val="0"/>
        <condense val="0"/>
        <color theme="1"/>
        <extend val="0"/>
        <sz val="12"/>
        <vertAlign val="baseline"/>
        <scheme val="minor"/>
      </font>
      <alignment horizontal="general" vertical="center" wrapText="1"/>
    </dxf>
    <dxf>
      <alignment horizontal="general" vertical="center" wrapText="1"/>
    </dxf>
    <dxf>
      <alignment horizontal="general" vertical="center" wrapText="1"/>
    </dxf>
    <dxf>
      <alignment horizontal="general" wrapText="1"/>
    </dxf>
    <dxf>
      <alignment horizontal="general" vertical="center" wrapText="1"/>
    </dxf>
    <dxf>
      <alignment horizontal="general" vertical="center" wrapText="1"/>
    </dxf>
    <dxf>
      <alignment horizontal="general" vertical="center" wrapText="1"/>
    </dxf>
    <dxf>
      <font>
        <name val="Calibri"/>
        <b val="1"/>
        <strike val="0"/>
        <outline val="0"/>
        <shadow val="0"/>
        <condense val="0"/>
        <color theme="1"/>
        <extend val="0"/>
        <sz val="12"/>
        <vertAlign val="baseline"/>
        <scheme val="minor"/>
      </font>
      <alignment horizontal="general" wrapText="1"/>
    </dxf>
  </dxfs>
  <tableStyles count="0" defaultTableStyle="TableStyleMedium9" defaultPivotStyle="PivotStyleMedium7"/>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DictionaryName" displayName="DictionaryName" ref="A1:E4" headerRowCount="1" totalsRowShown="0" headerRowDxfId="24" dataDxfId="23">
  <autoFilter ref="A1:E4"/>
  <tableColumns count="5">
    <tableColumn id="1" name="Start" dataDxfId="22"/>
    <tableColumn id="4" name="Dictionary ID" dataDxfId="21"/>
    <tableColumn id="5" name="DictionaryFile" dataDxfId="20"/>
    <tableColumn id="2" name="DictionaryName" dataDxfId="19"/>
    <tableColumn id="3" name="Description" dataDxfId="18"/>
  </tableColumns>
  <tableStyleInfo name="TableStyleMedium9" showFirstColumn="0" showLastColumn="0" showRowStripes="1" showColumnStripes="0"/>
</table>
</file>

<file path=xl/tables/table2.xml><?xml version="1.0" encoding="utf-8"?>
<table xmlns="http://schemas.openxmlformats.org/spreadsheetml/2006/main" id="2" name="Definitions" displayName="Definitions" ref="A1:H37" headerRowCount="1" totalsRowShown="0" headerRowDxfId="17" dataDxfId="16">
  <autoFilter ref="A1:H37"/>
  <sortState ref="A2:H37">
    <sortCondition ref="A1:A37"/>
  </sortState>
  <tableColumns count="8">
    <tableColumn id="1" name="Start" dataDxfId="15">
      <calculatedColumnFormula>IF(ISNA(VLOOKUP(B2,AssociatedElements!B$2:B2940,1,FALSE)),"Not used","")</calculatedColumnFormula>
    </tableColumn>
    <tableColumn id="10" name="ID" dataDxfId="14"/>
    <tableColumn id="7" name="Name" dataDxfId="13"/>
    <tableColumn id="3" name="Description" dataDxfId="12"/>
    <tableColumn id="4" name="DataType" dataDxfId="11"/>
    <tableColumn id="5" name="QuantityClass" dataDxfId="10"/>
    <tableColumn id="6" name="Authority" dataDxfId="9"/>
    <tableColumn id="9" name="Reference" dataDxfId="8"/>
  </tableColumns>
  <tableStyleInfo name="TableStyleMedium9" showFirstColumn="0" showLastColumn="0" showRowStripes="1" showColumnStripes="0"/>
</table>
</file>

<file path=xl/tables/table3.xml><?xml version="1.0" encoding="utf-8"?>
<table xmlns="http://schemas.openxmlformats.org/spreadsheetml/2006/main" id="3" name="AssociatedElements" displayName="AssociatedElements" ref="A1:D37" headerRowCount="1" totalsRowShown="0" headerRowDxfId="7">
  <autoFilter ref="A1:D37"/>
  <sortState ref="A2:C2">
    <sortCondition ref="C1:C2"/>
  </sortState>
  <tableColumns count="4">
    <tableColumn id="1" name="Start" dataDxfId="6">
      <calculatedColumnFormula>IF(ISNA(VLOOKUP(B2,Definitions!B$2:B$1839,1,FALSE)),"Not listed","")</calculatedColumnFormula>
    </tableColumn>
    <tableColumn id="4" name="ID" dataDxfId="5"/>
    <tableColumn id="2" name="SourceElement" dataDxfId="4"/>
    <tableColumn id="3" name="ConditionalElement"/>
  </tableColumns>
  <tableStyleInfo name="TableStyleMedium9" showFirstColumn="0" showLastColumn="0" showRowStripes="1" showColumnStripes="0"/>
</table>
</file>

<file path=xl/tables/table4.xml><?xml version="1.0" encoding="utf-8"?>
<table xmlns="http://schemas.openxmlformats.org/spreadsheetml/2006/main" id="4" name="AssociatedElements5" displayName="AssociatedElements5" ref="A1:D2" headerRowCount="1" totalsRowShown="0" headerRowDxfId="3">
  <autoFilter ref="A1:D2"/>
  <sortState ref="A2:C2">
    <sortCondition ref="C1:C2"/>
  </sortState>
  <tableColumns count="4">
    <tableColumn id="1" name="Start" dataDxfId="2">
      <calculatedColumnFormula>IF(ISNA(VLOOKUP(B2,Definitions!B$2:B$1839,1,FALSE)),"Not listed","")</calculatedColumnFormula>
    </tableColumn>
    <tableColumn id="4" name="ID" dataDxfId="1"/>
    <tableColumn id="2" name="Name" dataDxfId="0"/>
    <tableColumn id="3" name="codeSpace"/>
  </tableColumns>
  <tableStyleInfo name="TableStyleMedium9" showFirstColumn="0" showLastColumn="0" showRowStripes="1" showColumnStripes="0"/>
</table>
</file>

<file path=xl/tables/table5.xml><?xml version="1.0" encoding="utf-8"?>
<table xmlns="http://schemas.openxmlformats.org/spreadsheetml/2006/main" id="5" name="Table6" displayName="Table6" ref="A1:E188" headerRowCount="1" totalsRowShown="0">
  <autoFilter ref="A1:E188"/>
  <sortState ref="A2:C187">
    <sortCondition ref="C1:C187"/>
  </sortState>
  <tableColumns count="5">
    <tableColumn id="1" name="DataType"/>
    <tableColumn id="2" name="DataType2"/>
    <tableColumn id="3" name="QuantityClass"/>
    <tableColumn id="5" name="Column2"/>
    <tableColumn id="4" name="Column3"/>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sheet1.xml><?xml version="1.0" encoding="utf-8"?>
<worksheet xmlns="http://schemas.openxmlformats.org/spreadsheetml/2006/main">
  <sheetPr codeName="Sheet1">
    <outlinePr summaryBelow="1" summaryRight="1"/>
    <pageSetUpPr/>
  </sheetPr>
  <dimension ref="A1:E4"/>
  <sheetViews>
    <sheetView workbookViewId="0">
      <selection activeCell="E3" sqref="E3"/>
    </sheetView>
  </sheetViews>
  <sheetFormatPr baseColWidth="10" defaultColWidth="11" defaultRowHeight="16"/>
  <cols>
    <col width="7.5" customWidth="1" style="8" min="1" max="1"/>
    <col width="41.33203125" customWidth="1" style="8" min="2" max="2"/>
    <col width="26.33203125" customWidth="1" style="8" min="3" max="3"/>
    <col width="35.6640625" customWidth="1" style="8" min="4" max="4"/>
    <col width="76" customWidth="1" style="8" min="5" max="5"/>
    <col width="11" customWidth="1" style="8" min="6" max="16384"/>
  </cols>
  <sheetData>
    <row r="1" ht="18" customFormat="1" customHeight="1" s="10" thickBot="1">
      <c r="A1" s="10" t="inlineStr">
        <is>
          <t>Start</t>
        </is>
      </c>
      <c r="B1" s="10" t="inlineStr">
        <is>
          <t>Dictionary ID</t>
        </is>
      </c>
      <c r="C1" s="11" t="inlineStr">
        <is>
          <t>DictionaryFile</t>
        </is>
      </c>
      <c r="D1" s="10" t="inlineStr">
        <is>
          <t>DictionaryName</t>
        </is>
      </c>
      <c r="E1" s="10" t="inlineStr">
        <is>
          <t>Description</t>
        </is>
      </c>
    </row>
    <row r="2" ht="18" customFormat="1" customHeight="1" s="10" thickTop="1">
      <c r="A2" s="1" t="n"/>
      <c r="B2" s="1" t="n"/>
      <c r="C2" s="1" t="n"/>
      <c r="D2" s="1" t="n"/>
      <c r="E2" s="1" t="inlineStr">
        <is>
          <t>Leave this line blank</t>
        </is>
      </c>
    </row>
    <row r="3" ht="154" customFormat="1" customHeight="1" s="2">
      <c r="B3" s="2" t="inlineStr">
        <is>
          <t>exposureClassification</t>
        </is>
      </c>
      <c r="C3" s="12" t="inlineStr">
        <is>
          <t>exposureClassification</t>
        </is>
      </c>
      <c r="D3" s="12" t="inlineStr">
        <is>
          <t>DIGGS Ground Exposure and Aggressivity Classification Codelist Definitions</t>
        </is>
      </c>
      <c r="E3" s="2" t="inlineStr">
        <is>
          <t>Codes classifying the aggressivity of the ground to buried concrete, grout and embedded steel, used for the value of the exposureClassification property of diggs:RIProgramBasis. CODES ARE SCOPED TO THEIR AUTHORITY AND ARE NOT INTERCHANGEABLE. Four independent schemes are carried here, and several of them use the same severity words - 'severe', 'very severe' - on completely different criteria: EN 206 grades chemical attack on sulfate, acidity, CO2, ammonium and magnesium; ACI 318 grades sulfate (S) and chloride-driven reinforcement corrosion (C) separately; BS 8500 derives an ACEC class from sulfate and magnesium via BRE Special Digest 1; Palmer (1974) grades corrosion risk to buried metal from electrical resistivity alone. A bare 'severe' therefore states nothing, which is why every code names its scheme. TWO AXES, ONE PROPERTY. Chemical attack on concrete and electrical corrosivity to embedded steel are different measurements, but both are ground aggressivity adopted as a design premise, and exposureClassification is repeatable so a site may state one of each - as the Jazera site does, being Very Severe on the client's chemical scheme and Very Severe on Palmer's resistivity scheme for unrelated reasons. BUILT AT R10 from the Jazera project record (GBL-24136 geotechnical report) plus the three international schemes; see docs/build/R10/NOTES.md. SME REVIEW EXPECTED - additions, deletions and threshold corrections are anticipated, particularly the BS 8500 suffixed variants which are deliberately omitted.</t>
        </is>
      </c>
    </row>
    <row r="4" ht="17" customHeight="1">
      <c r="A4" s="2" t="n"/>
      <c r="B4" s="2" t="n"/>
      <c r="D4" s="2" t="n"/>
      <c r="E4" s="2" t="inlineStr">
        <is>
          <t> </t>
        </is>
      </c>
    </row>
  </sheetData>
  <pageMargins left="0.7" right="0.7" top="0.75" bottom="0.75" header="0.3" footer="0.3"/>
  <pageSetup orientation="portrait" horizontalDpi="0" verticalDpi="0"/>
  <tableParts count="1">
    <tablePart xmlns:r="http://schemas.openxmlformats.org/officeDocument/2006/relationships" r:id="rId1"/>
  </tableParts>
</worksheet>
</file>

<file path=xl/worksheets/sheet2.xml><?xml version="1.0" encoding="utf-8"?>
<worksheet xmlns="http://schemas.openxmlformats.org/spreadsheetml/2006/main">
  <sheetPr codeName="Sheet2">
    <outlinePr summaryBelow="1" summaryRight="1"/>
    <pageSetUpPr/>
  </sheetPr>
  <dimension ref="A1:H37"/>
  <sheetViews>
    <sheetView zoomScale="150" zoomScaleNormal="150" workbookViewId="0">
      <selection activeCell="B7" sqref="B7"/>
    </sheetView>
  </sheetViews>
  <sheetFormatPr baseColWidth="10" defaultColWidth="10.83203125" defaultRowHeight="16"/>
  <cols>
    <col width="7" customWidth="1" style="2" min="1" max="1"/>
    <col width="25.83203125" customWidth="1" style="2" min="2" max="2"/>
    <col width="31.6640625" customWidth="1" style="2" min="3" max="3"/>
    <col width="84.6640625" customWidth="1" style="2" min="4" max="4"/>
    <col width="11.1640625" customWidth="1" style="2" min="5" max="5"/>
    <col width="25.6640625" bestFit="1" customWidth="1" style="2" min="6" max="6"/>
    <col width="17.83203125" customWidth="1" style="2" min="7" max="7"/>
    <col width="20.83203125" customWidth="1" style="2" min="8" max="8"/>
    <col width="10.83203125" customWidth="1" style="2" min="9" max="16384"/>
  </cols>
  <sheetData>
    <row r="1" ht="17" customFormat="1" customHeight="1" s="1">
      <c r="A1" s="1" t="inlineStr">
        <is>
          <t>Start</t>
        </is>
      </c>
      <c r="B1" s="1" t="inlineStr">
        <is>
          <t>ID</t>
        </is>
      </c>
      <c r="C1" s="1" t="inlineStr">
        <is>
          <t>Name</t>
        </is>
      </c>
      <c r="D1" s="1" t="inlineStr">
        <is>
          <t>Description</t>
        </is>
      </c>
      <c r="E1" s="1" t="inlineStr">
        <is>
          <t>DataType</t>
        </is>
      </c>
      <c r="F1" s="1" t="inlineStr">
        <is>
          <t>QuantityClass</t>
        </is>
      </c>
      <c r="G1" s="1" t="inlineStr">
        <is>
          <t>Authority</t>
        </is>
      </c>
      <c r="H1" s="1" t="inlineStr">
        <is>
          <t>Reference</t>
        </is>
      </c>
    </row>
    <row r="2">
      <c r="A2" s="2">
        <f>IF(ISNA(VLOOKUP(B2,AssociatedElements!B$2:B2940,1,FALSE)),"Not used","")</f>
        <v/>
      </c>
      <c r="B2" s="13" t="inlineStr">
        <is>
          <t>en206_xa1</t>
        </is>
      </c>
      <c r="C2" s="13" t="inlineStr">
        <is>
          <t>XA1 - slightly aggressive chemical environment</t>
        </is>
      </c>
      <c r="D2" s="14" t="inlineStr">
        <is>
          <t>EN 206 exposure class XA1: a slightly aggressive chemical environment in natural soil or ground water. EN 206 grades chemical attack on the basis of sulfate, acidity (H+), and - for ground water - aggressive CO2, ammonium and MAGNESIUM ion content. DISTINCT CODE PER AUTHORITY: the EN 206, ACI 318, BS 8500 and project-specific ladders in this dictionary use overlapping severity WORDS on entirely different criteria, so a code names one class of one standard and is never interchangeable with a similarly-worded class of another.</t>
        </is>
      </c>
      <c r="E2" s="13" t="inlineStr">
        <is>
          <t>string</t>
        </is>
      </c>
      <c r="F2" s="13" t="n"/>
      <c r="G2" s="9" t="inlineStr">
        <is>
          <t>EN 206</t>
        </is>
      </c>
    </row>
    <row r="3">
      <c r="A3" s="2">
        <f>IF(ISNA(VLOOKUP(B3,AssociatedElements!B$2:B2941,1,FALSE)),"Not used","")</f>
        <v/>
      </c>
      <c r="B3" s="13" t="inlineStr">
        <is>
          <t>en206_xa2</t>
        </is>
      </c>
      <c r="C3" s="13" t="inlineStr">
        <is>
          <t>XA2 - moderately aggressive chemical environment</t>
        </is>
      </c>
      <c r="D3" s="14" t="inlineStr">
        <is>
          <t>EN 206 exposure class XA2: a moderately aggressive chemical environment in natural soil or ground water. See en206_xa1 for the parameters EN 206 grades on and for why codes are authority-scoped.</t>
        </is>
      </c>
      <c r="E3" s="13" t="inlineStr">
        <is>
          <t>string</t>
        </is>
      </c>
      <c r="F3" s="13" t="n"/>
      <c r="G3" s="9" t="inlineStr">
        <is>
          <t>EN 206</t>
        </is>
      </c>
    </row>
    <row r="4">
      <c r="A4" s="2">
        <f>IF(ISNA(VLOOKUP(B4,AssociatedElements!B$2:B2942,1,FALSE)),"Not used","")</f>
        <v/>
      </c>
      <c r="B4" t="inlineStr">
        <is>
          <t>en206_xa3</t>
        </is>
      </c>
      <c r="C4" t="inlineStr">
        <is>
          <t>XA3 - highly aggressive chemical environment</t>
        </is>
      </c>
      <c r="D4" t="inlineStr">
        <is>
          <t>EN 206 exposure class XA3: a highly aggressive chemical environment in natural soil or ground water, the most severe of the three EN 206 chemical-attack classes. See en206_xa1.</t>
        </is>
      </c>
      <c r="E4" t="inlineStr">
        <is>
          <t>string</t>
        </is>
      </c>
      <c r="G4" s="9" t="inlineStr">
        <is>
          <t>EN 206</t>
        </is>
      </c>
    </row>
    <row r="5">
      <c r="A5" s="2">
        <f>IF(ISNA(VLOOKUP(B5,AssociatedElements!B$2:B2943,1,FALSE)),"Not used","")</f>
        <v/>
      </c>
      <c r="B5" s="13" t="inlineStr">
        <is>
          <t>aci318_s0</t>
        </is>
      </c>
      <c r="C5" s="13" t="inlineStr">
        <is>
          <t>ACI 318 Exposure Class S0 - sulfate exposure not applicable</t>
        </is>
      </c>
      <c r="D5" s="14" t="inlineStr">
        <is>
          <t>ACI 318 sulfate exposure class S0: water-soluble sulfate in soil or in water low enough that no sulfate-related requirement applies. NOT equivalent to any EN 206, BS 8500 or project class of similar wording - ACI's thresholds and its cement-type and w/cm responses are its own.</t>
        </is>
      </c>
      <c r="E5" s="13" t="inlineStr">
        <is>
          <t>string</t>
        </is>
      </c>
      <c r="F5" s="13" t="n"/>
      <c r="G5" s="9" t="inlineStr">
        <is>
          <t>ACI 318</t>
        </is>
      </c>
    </row>
    <row r="6">
      <c r="A6" s="2">
        <f>IF(ISNA(VLOOKUP(B6,AssociatedElements!B$2:B2944,1,FALSE)),"Not used","")</f>
        <v/>
      </c>
      <c r="B6" t="inlineStr">
        <is>
          <t>aci318_s1</t>
        </is>
      </c>
      <c r="C6" s="16" t="inlineStr">
        <is>
          <t>ACI 318 Exposure Class S1 - moderate sulfate exposure</t>
        </is>
      </c>
      <c r="D6" s="16" t="inlineStr">
        <is>
          <t>ACI 318 sulfate exposure class S1: moderate water-soluble sulfate exposure. See aci318_s0 on non-equivalence across authorities.</t>
        </is>
      </c>
      <c r="E6" s="17" t="inlineStr">
        <is>
          <t>string</t>
        </is>
      </c>
      <c r="G6" s="9" t="inlineStr">
        <is>
          <t>ACI 318</t>
        </is>
      </c>
    </row>
    <row r="7">
      <c r="A7" s="2">
        <f>IF(ISNA(VLOOKUP(B7,AssociatedElements!B$2:B2945,1,FALSE)),"Not used","")</f>
        <v/>
      </c>
      <c r="B7" t="inlineStr">
        <is>
          <t>aci318_s2</t>
        </is>
      </c>
      <c r="C7" t="inlineStr">
        <is>
          <t>ACI 318 Exposure Class S2 - severe sulfate exposure</t>
        </is>
      </c>
      <c r="D7" t="inlineStr">
        <is>
          <t>ACI 318 sulfate exposure class S2: severe water-soluble sulfate exposure. See aci318_s0.</t>
        </is>
      </c>
      <c r="E7" t="inlineStr">
        <is>
          <t>string</t>
        </is>
      </c>
      <c r="G7" s="9" t="inlineStr">
        <is>
          <t>ACI 318</t>
        </is>
      </c>
    </row>
    <row r="8">
      <c r="A8" s="2">
        <f>IF(ISNA(VLOOKUP(B8,AssociatedElements!B$2:B2946,1,FALSE)),"Not used","")</f>
        <v/>
      </c>
      <c r="B8" t="inlineStr">
        <is>
          <t>aci318_s3</t>
        </is>
      </c>
      <c r="C8" t="inlineStr">
        <is>
          <t>ACI 318 Exposure Class S3 - very severe sulfate exposure</t>
        </is>
      </c>
      <c r="D8" t="inlineStr">
        <is>
          <t>ACI 318 sulfate exposure class S3: very severe water-soluble sulfate exposure, the most severe of the ACI sulfate classes. NOTE THE TRAP THIS DICTIONARY EXISTS TO AVOID: ACI's S3 is also worded 'very severe', as are a BS 8500 AC-5, a Palmer very severe corrosivity rating and a 70-TMSS-03 very severe exposure - four different statements on four different criteria. They are four codes.</t>
        </is>
      </c>
      <c r="E8" t="inlineStr">
        <is>
          <t>string</t>
        </is>
      </c>
      <c r="G8" s="9" t="inlineStr">
        <is>
          <t>ACI 318</t>
        </is>
      </c>
    </row>
    <row r="9">
      <c r="A9" s="2">
        <f>IF(ISNA(VLOOKUP(B9,AssociatedElements!B$2:B2947,1,FALSE)),"Not used","")</f>
        <v/>
      </c>
      <c r="B9" t="inlineStr">
        <is>
          <t>aci318_c0</t>
        </is>
      </c>
      <c r="C9" s="16" t="inlineStr">
        <is>
          <t>ACI 318 Exposure Class C0 - dry or protected from moisture</t>
        </is>
      </c>
      <c r="D9" s="16" t="inlineStr">
        <is>
          <t>ACI 318 corrosion-protection exposure class C0: concrete dry or protected from moisture, so no chloride-related requirement for protection of reinforcement applies. The ACI C series grades the risk to EMBEDDED STEEL rather than chemical attack on the concrete itself, which is the same half of ground aggressivity the Palmer corrosivity codes in this dictionary address by a different measurement.</t>
        </is>
      </c>
      <c r="E9" s="17" t="inlineStr">
        <is>
          <t>string</t>
        </is>
      </c>
      <c r="G9" s="9" t="inlineStr">
        <is>
          <t>ACI 318</t>
        </is>
      </c>
    </row>
    <row r="10">
      <c r="A10" s="2">
        <f>IF(ISNA(VLOOKUP(B10,AssociatedElements!B$2:B2948,1,FALSE)),"Not used","")</f>
        <v/>
      </c>
      <c r="B10" s="13" t="inlineStr">
        <is>
          <t>aci318_c1</t>
        </is>
      </c>
      <c r="C10" s="13" t="inlineStr">
        <is>
          <t>ACI 318 Exposure Class C1 - moisture but no external chlorides</t>
        </is>
      </c>
      <c r="D10" s="14" t="inlineStr">
        <is>
          <t>ACI 318 corrosion-protection exposure class C1: concrete exposed to moisture but not to an external source of chlorides. See aci318_c0.</t>
        </is>
      </c>
      <c r="E10" s="13" t="inlineStr">
        <is>
          <t>string</t>
        </is>
      </c>
      <c r="F10" s="13" t="n"/>
      <c r="G10" s="9" t="inlineStr">
        <is>
          <t>ACI 318</t>
        </is>
      </c>
    </row>
    <row r="11">
      <c r="A11" s="2">
        <f>IF(ISNA(VLOOKUP(B11,AssociatedElements!B$2:B2949,1,FALSE)),"Not used","")</f>
        <v/>
      </c>
      <c r="B11" s="13" t="inlineStr">
        <is>
          <t>aci318_c2</t>
        </is>
      </c>
      <c r="C11" s="13" t="inlineStr">
        <is>
          <t>ACI 318 Exposure Class C2 - moisture plus external chlorides</t>
        </is>
      </c>
      <c r="D11" s="14" t="inlineStr">
        <is>
          <t>ACI 318 corrosion-protection exposure class C2: concrete exposed to moisture and to an external source of chlorides - deicing chemicals, salt, brackish water, seawater or spray from these. See aci318_c0.</t>
        </is>
      </c>
      <c r="E11" s="13" t="inlineStr">
        <is>
          <t>string</t>
        </is>
      </c>
      <c r="F11" s="13" t="n"/>
      <c r="G11" s="9" t="inlineStr">
        <is>
          <t>ACI 318</t>
        </is>
      </c>
    </row>
    <row r="12">
      <c r="A12" s="2">
        <f>IF(ISNA(VLOOKUP(B12,AssociatedElements!B$2:B2950,1,FALSE)),"Not used","")</f>
        <v/>
      </c>
      <c r="B12" s="13" t="inlineStr">
        <is>
          <t>bs8500_ac1</t>
        </is>
      </c>
      <c r="C12" s="13" t="inlineStr">
        <is>
          <t>BS 8500 ACEC Class AC-1</t>
        </is>
      </c>
      <c r="D12" s="14" t="inlineStr">
        <is>
          <t>BS 8500-1 Aggressive Chemical Environment for Concrete (ACEC) class AC-1, the mildest of the ACEC ladder. BS 8500 derives the ACEC class from the ground's sulfate AND MAGNESIUM content together with acidity, following the assessment procedure of BRE Special Digest 1. BS 8500 also defines suffixed variants (for example AC-1s, AC-2z) distinguishing static from mobile ground water and brownfield conditions; those are DELIBERATELY NOT ENUMERATED HERE pending SME confirmation of which are needed, rather than guessed at.</t>
        </is>
      </c>
      <c r="E12" s="13" t="inlineStr">
        <is>
          <t>string</t>
        </is>
      </c>
      <c r="F12" s="13" t="n"/>
      <c r="G12" s="9" t="inlineStr">
        <is>
          <t>BS 8500-1</t>
        </is>
      </c>
    </row>
    <row r="13">
      <c r="A13" s="2">
        <f>IF(ISNA(VLOOKUP(B13,AssociatedElements!B$2:B2951,1,FALSE)),"Not used","")</f>
        <v/>
      </c>
      <c r="B13" s="13" t="inlineStr">
        <is>
          <t>bs8500_ac2</t>
        </is>
      </c>
      <c r="C13" s="13" t="inlineStr">
        <is>
          <t>BS 8500 ACEC Class AC-2</t>
        </is>
      </c>
      <c r="D13" s="14" t="inlineStr">
        <is>
          <t>BS 8500-1 ACEC class AC-2. See bs8500_ac1 for how the class is derived and for the omitted suffixed variants.</t>
        </is>
      </c>
      <c r="E13" s="13" t="inlineStr">
        <is>
          <t>string</t>
        </is>
      </c>
      <c r="F13" s="13" t="n"/>
      <c r="G13" s="9" t="inlineStr">
        <is>
          <t>BS 8500-1</t>
        </is>
      </c>
    </row>
    <row r="14">
      <c r="A14" s="2">
        <f>IF(ISNA(VLOOKUP(B14,AssociatedElements!B$2:B2952,1,FALSE)),"Not used","")</f>
        <v/>
      </c>
      <c r="B14" s="13" t="inlineStr">
        <is>
          <t>bs8500_ac3</t>
        </is>
      </c>
      <c r="C14" s="13" t="inlineStr">
        <is>
          <t>BS 8500 ACEC Class AC-3</t>
        </is>
      </c>
      <c r="D14" s="14" t="inlineStr">
        <is>
          <t>BS 8500-1 ACEC class AC-3. See bs8500_ac1.</t>
        </is>
      </c>
      <c r="E14" s="13" t="inlineStr">
        <is>
          <t>string</t>
        </is>
      </c>
      <c r="F14" s="13" t="n"/>
      <c r="G14" s="9" t="inlineStr">
        <is>
          <t>BS 8500-1</t>
        </is>
      </c>
    </row>
    <row r="15">
      <c r="A15" s="2">
        <f>IF(ISNA(VLOOKUP(B15,AssociatedElements!B$2:B2953,1,FALSE)),"Not used","")</f>
        <v/>
      </c>
      <c r="B15" s="13" t="inlineStr">
        <is>
          <t>bs8500_ac4</t>
        </is>
      </c>
      <c r="C15" s="18" t="inlineStr">
        <is>
          <t>BS 8500 ACEC Class AC-4</t>
        </is>
      </c>
      <c r="D15" s="19" t="inlineStr">
        <is>
          <t>BS 8500-1 ACEC class AC-4. See bs8500_ac1.</t>
        </is>
      </c>
      <c r="E15" s="18" t="inlineStr">
        <is>
          <t>string</t>
        </is>
      </c>
      <c r="F15" s="18" t="n"/>
      <c r="G15" s="9" t="inlineStr">
        <is>
          <t>BS 8500-1</t>
        </is>
      </c>
    </row>
    <row r="16">
      <c r="A16" s="2">
        <f>IF(ISNA(VLOOKUP(B16,AssociatedElements!B$2:B2954,1,FALSE)),"Not used","")</f>
        <v/>
      </c>
      <c r="B16" s="13" t="inlineStr">
        <is>
          <t>bs8500_ac5</t>
        </is>
      </c>
      <c r="C16" s="18" t="inlineStr">
        <is>
          <t>BS 8500 ACEC Class AC-5</t>
        </is>
      </c>
      <c r="D16" s="19" t="inlineStr">
        <is>
          <t>BS 8500-1 ACEC class AC-5, the most aggressive of the ACEC ladder. See bs8500_ac1.</t>
        </is>
      </c>
      <c r="E16" s="18" t="inlineStr">
        <is>
          <t>string</t>
        </is>
      </c>
      <c r="F16" s="18" t="n"/>
      <c r="G16" s="9" t="inlineStr">
        <is>
          <t>BS 8500-1</t>
        </is>
      </c>
    </row>
    <row r="17">
      <c r="A17" s="2">
        <f>IF(ISNA(VLOOKUP(B17,AssociatedElements!B$2:B2955,1,FALSE)),"Not used","")</f>
        <v/>
      </c>
      <c r="B17" s="13" t="inlineStr">
        <is>
          <t>sec_tmss_moderate</t>
        </is>
      </c>
      <c r="C17" s="18" t="inlineStr">
        <is>
          <t>70-TMSS-03 Moderate exposure</t>
        </is>
      </c>
      <c r="D17" s="19" t="inlineStr">
        <is>
          <t>Moderate exposure class of Saudi Electricity Company standard 70-TMSS-03 (Normal Weight Ready Mixed Cement Concrete), Rev. 02. A CLIENT/UTILITY STANDARD, NOT AN INTERNATIONAL ONE - included because it is the scheme a real project record cites (the Jazera ground investigation, GBL-24136), and a data standard must be able to record the classification a project actually used. Its concrete response at this level is Type II or Type I cement with C3A 5-8%, or Type V, with a maximum w/BM of 0.40 and minimum binding material of 350 kg/m3.</t>
        </is>
      </c>
      <c r="E17" s="18" t="inlineStr">
        <is>
          <t>string</t>
        </is>
      </c>
      <c r="F17" s="18" t="n"/>
      <c r="G17" s="9" t="inlineStr">
        <is>
          <t>SEC 70-TMSS-03 Rev. 02</t>
        </is>
      </c>
    </row>
    <row r="18">
      <c r="A18" s="2">
        <f>IF(ISNA(VLOOKUP(B18,AssociatedElements!B$2:B2956,1,FALSE)),"Not used","")</f>
        <v/>
      </c>
      <c r="B18" s="13" t="inlineStr">
        <is>
          <t>sec_tmss_severe</t>
        </is>
      </c>
      <c r="C18" s="18" t="inlineStr">
        <is>
          <t>70-TMSS-03 Severe exposure</t>
        </is>
      </c>
      <c r="D18" s="19" t="inlineStr">
        <is>
          <t>Severe exposure class of Saudi Electricity Company standard 70-TMSS-03 Rev. 02. See sec_tmss_moderate on why a client standard is carried here. Its response calls for Type I cement with C3A 8-14% with a pozzolanic admixture, or Type V with fly ash, maximum w/BM 0.36-0.40 and minimum binding material 390 kg/m3.</t>
        </is>
      </c>
      <c r="E18" s="18" t="inlineStr">
        <is>
          <t>string</t>
        </is>
      </c>
      <c r="F18" s="18" t="n"/>
      <c r="G18" s="9" t="inlineStr">
        <is>
          <t>SEC 70-TMSS-03 Rev. 02</t>
        </is>
      </c>
    </row>
    <row r="19">
      <c r="A19" s="2">
        <f>IF(ISNA(VLOOKUP(B19,AssociatedElements!B$2:B2957,1,FALSE)),"Not used","")</f>
        <v/>
      </c>
      <c r="B19" s="13" t="inlineStr">
        <is>
          <t>sec_tmss_very_severe</t>
        </is>
      </c>
      <c r="C19" s="18" t="inlineStr">
        <is>
          <t>70-TMSS-03 Very Severe exposure</t>
        </is>
      </c>
      <c r="D19" s="19" t="inlineStr">
        <is>
          <t>Very Severe exposure class of Saudi Electricity Company standard 70-TMSS-03 Rev. 02 - the class assigned to the Jazera site, whose ground carried 5810-8515 ppm sulfate, 0.51-0.705 percent chloride, 571-954 ppm magnesium at pH 7.9-8.2. Calls for Type I cement with C3A 8-14% plus fly ash or silica fume, maximum w/BM 0.36-0.40, minimum binding material 390 kg/m3, maximum 0.1 percent chloride in the concrete, minimum f'c of 38 MPa, and waterproofing of foundations and external surfaces. THE SOURCE TABLE'S MAGNESIUM THRESHOLDS ARE INTERNALLY INCONSISTENT as extracted (it qualifies both a Very Severe and a Severe row with Mg&gt;1000), so no magnesium threshold is asserted here; the class names are recorded, the numeric trigger is not.</t>
        </is>
      </c>
      <c r="E19" s="18" t="inlineStr">
        <is>
          <t>string</t>
        </is>
      </c>
      <c r="F19" s="18" t="n"/>
      <c r="G19" s="9" t="inlineStr">
        <is>
          <t>SEC 70-TMSS-03 Rev. 02</t>
        </is>
      </c>
    </row>
    <row r="20">
      <c r="A20" s="2">
        <f>IF(ISNA(VLOOKUP(B20,AssociatedElements!B$2:B2958,1,FALSE)),"Not used","")</f>
        <v/>
      </c>
      <c r="B20" s="13" t="inlineStr">
        <is>
          <t>palmer_very_mild</t>
        </is>
      </c>
      <c r="C20" s="18" t="inlineStr">
        <is>
          <t>Palmer very mild soil corrosivity</t>
        </is>
      </c>
      <c r="D20" s="19" t="inlineStr">
        <is>
          <t>Soil corrosivity rated VERY MILD on electrical resistivity, after J. D. Palmer (Materials Performance 13(1), 1974), corresponding to a resistivity above about 100 ohm-metres. A DIFFERENT AXIS FROM THE CHEMICAL CLASSES ABOVE: these codes grade the risk of corrosion to buried metal from the ground's electrical resistivity, not chemical attack on concrete from its sulfate and magnesium content. Both are ground aggressivity and both are recorded through exposureClassification, which is repeatable so a site may state one of each; the codes are kept distinct so a consumer always knows which axis a rating is on.</t>
        </is>
      </c>
      <c r="E20" s="18" t="inlineStr">
        <is>
          <t>string</t>
        </is>
      </c>
      <c r="F20" s="18" t="n"/>
      <c r="G20" s="9" t="inlineStr">
        <is>
          <t>Palmer 1974</t>
        </is>
      </c>
    </row>
    <row r="21">
      <c r="A21" s="2">
        <f>IF(ISNA(VLOOKUP(B21,AssociatedElements!B$2:B2959,1,FALSE)),"Not used","")</f>
        <v/>
      </c>
      <c r="B21" s="13" t="inlineStr">
        <is>
          <t>palmer_mild</t>
        </is>
      </c>
      <c r="C21" s="18" t="inlineStr">
        <is>
          <t>Palmer mild soil corrosivity</t>
        </is>
      </c>
      <c r="D21" s="19" t="inlineStr">
        <is>
          <t>Soil corrosivity rated MILD after Palmer (1974), corresponding to a resistivity of about 51-100 ohm-metres. See palmer_very_mild.</t>
        </is>
      </c>
      <c r="E21" s="18" t="inlineStr">
        <is>
          <t>string</t>
        </is>
      </c>
      <c r="F21" s="18" t="n"/>
      <c r="G21" s="9" t="inlineStr">
        <is>
          <t>Palmer 1974</t>
        </is>
      </c>
    </row>
    <row r="22">
      <c r="A22" s="2">
        <f>IF(ISNA(VLOOKUP(B22,AssociatedElements!B$2:B2960,1,FALSE)),"Not used","")</f>
        <v/>
      </c>
      <c r="B22" s="13" t="inlineStr">
        <is>
          <t>palmer_moderate</t>
        </is>
      </c>
      <c r="C22" s="18" t="inlineStr">
        <is>
          <t>Palmer moderate soil corrosivity</t>
        </is>
      </c>
      <c r="D22" s="19" t="inlineStr">
        <is>
          <t>Soil corrosivity rated MODERATE after Palmer (1974), corresponding to a resistivity of about 21-50 ohm-metres. See palmer_very_mild.</t>
        </is>
      </c>
      <c r="E22" s="18" t="inlineStr">
        <is>
          <t>string</t>
        </is>
      </c>
      <c r="F22" s="18" t="n"/>
      <c r="G22" s="9" t="inlineStr">
        <is>
          <t>Palmer 1974</t>
        </is>
      </c>
    </row>
    <row r="23">
      <c r="A23" s="2">
        <f>IF(ISNA(VLOOKUP(B23,AssociatedElements!B$2:B2961,1,FALSE)),"Not used","")</f>
        <v/>
      </c>
      <c r="B23" s="13" t="inlineStr">
        <is>
          <t>palmer_severe</t>
        </is>
      </c>
      <c r="C23" s="18" t="inlineStr">
        <is>
          <t>Palmer severe soil corrosivity</t>
        </is>
      </c>
      <c r="D23" s="19" t="inlineStr">
        <is>
          <t>Soil corrosivity rated SEVERE after Palmer (1974), corresponding to a resistivity of about 11-20 ohm-metres. See palmer_very_mild.</t>
        </is>
      </c>
      <c r="E23" s="18" t="inlineStr">
        <is>
          <t>string</t>
        </is>
      </c>
      <c r="F23" s="18" t="n"/>
      <c r="G23" s="9" t="inlineStr">
        <is>
          <t>Palmer 1974</t>
        </is>
      </c>
    </row>
    <row r="24">
      <c r="A24" s="2">
        <f>IF(ISNA(VLOOKUP(B24,AssociatedElements!B$2:B2962,1,FALSE)),"Not used","")</f>
        <v/>
      </c>
      <c r="B24" t="inlineStr">
        <is>
          <t>palmer_very_severe</t>
        </is>
      </c>
      <c r="C24" t="inlineStr">
        <is>
          <t>Palmer very severe soil corrosivity</t>
        </is>
      </c>
      <c r="D24" s="16" t="inlineStr">
        <is>
          <t>Soil corrosivity rated VERY SEVERE after Palmer (1974), corresponding to a resistivity below about 10 ohm-metres - the rating returned by all six ERT arrays at the Jazera site, whose apparent resistivities were below 0.25 ohm-metres. See palmer_very_mild.</t>
        </is>
      </c>
      <c r="E24" t="inlineStr">
        <is>
          <t>string</t>
        </is>
      </c>
      <c r="G24" s="9" t="inlineStr">
        <is>
          <t>Palmer 1974</t>
        </is>
      </c>
    </row>
    <row r="25">
      <c r="A25" s="2">
        <f>IF(ISNA(VLOOKUP(B25,AssociatedElements!B$2:B2963,1,FALSE)),"Not used","")</f>
        <v/>
      </c>
      <c r="B25" s="13" t="n"/>
      <c r="C25" s="13" t="n"/>
      <c r="E25" s="13" t="n"/>
      <c r="F25" s="13" t="n"/>
      <c r="G25" s="9" t="n"/>
    </row>
    <row r="26">
      <c r="A26" s="2">
        <f>IF(ISNA(VLOOKUP(B26,AssociatedElements!B$2:B2964,1,FALSE)),"Not used","")</f>
        <v/>
      </c>
      <c r="B26" s="13" t="n"/>
      <c r="C26" s="13" t="n"/>
      <c r="E26" s="13" t="n"/>
      <c r="F26" s="13" t="n"/>
      <c r="G26" s="9" t="n"/>
    </row>
    <row r="27">
      <c r="A27" s="2">
        <f>IF(ISNA(VLOOKUP(B27,AssociatedElements!B$2:B2965,1,FALSE)),"Not used","")</f>
        <v/>
      </c>
      <c r="B27" s="13" t="n"/>
      <c r="C27" s="13" t="n"/>
      <c r="D27" s="15" t="n"/>
      <c r="E27" s="13" t="n"/>
      <c r="F27" s="13" t="n"/>
      <c r="G27" s="9" t="n"/>
    </row>
    <row r="28">
      <c r="A28" s="2">
        <f>IF(ISNA(VLOOKUP(B28,AssociatedElements!B$2:B2966,1,FALSE)),"Not used","")</f>
        <v/>
      </c>
      <c r="B28" s="13" t="n"/>
      <c r="C28" s="13" t="n"/>
      <c r="D28" s="14" t="n"/>
      <c r="E28" s="13" t="n"/>
      <c r="F28" s="13" t="n"/>
      <c r="G28" s="9" t="n"/>
    </row>
    <row r="29">
      <c r="A29" s="2">
        <f>IF(ISNA(VLOOKUP(B29,AssociatedElements!B$2:B2967,1,FALSE)),"Not used","")</f>
        <v/>
      </c>
      <c r="B29" s="13" t="n"/>
      <c r="C29" s="13" t="n"/>
      <c r="D29" s="14" t="n"/>
      <c r="E29" s="13" t="n"/>
      <c r="F29" s="13" t="n"/>
      <c r="G29" s="9" t="n"/>
    </row>
    <row r="30">
      <c r="A30" s="2">
        <f>IF(ISNA(VLOOKUP(B30,AssociatedElements!B$2:B2968,1,FALSE)),"Not used","")</f>
        <v/>
      </c>
      <c r="B30" s="13" t="n"/>
      <c r="C30" s="13" t="n"/>
      <c r="D30" s="14" t="n"/>
      <c r="E30" s="13" t="n"/>
      <c r="F30" s="13" t="n"/>
      <c r="G30" s="9" t="n"/>
    </row>
    <row r="31">
      <c r="A31" s="2">
        <f>IF(ISNA(VLOOKUP(B31,AssociatedElements!B$2:B2969,1,FALSE)),"Not used","")</f>
        <v/>
      </c>
      <c r="B31" s="13" t="n"/>
      <c r="C31" s="18" t="n"/>
      <c r="D31" s="19" t="n"/>
      <c r="E31" s="18" t="n"/>
      <c r="F31" s="18" t="n"/>
      <c r="G31" s="9" t="n"/>
    </row>
    <row r="32">
      <c r="A32" s="2">
        <f>IF(ISNA(VLOOKUP(B32,AssociatedElements!B$2:B2970,1,FALSE)),"Not used","")</f>
        <v/>
      </c>
      <c r="B32" s="13" t="n"/>
      <c r="C32" s="18" t="n"/>
      <c r="D32" s="19" t="n"/>
      <c r="E32" s="18" t="n"/>
      <c r="F32" s="18" t="n"/>
      <c r="G32" s="9" t="n"/>
    </row>
    <row r="33">
      <c r="A33" s="2">
        <f>IF(ISNA(VLOOKUP(B33,AssociatedElements!B$2:B2971,1,FALSE)),"Not used","")</f>
        <v/>
      </c>
      <c r="B33" s="13" t="n"/>
      <c r="C33" s="18" t="n"/>
      <c r="D33" s="19" t="n"/>
      <c r="E33" s="18" t="n"/>
      <c r="F33" s="18" t="n"/>
      <c r="G33" s="9" t="n"/>
    </row>
    <row r="34">
      <c r="A34" s="2">
        <f>IF(ISNA(VLOOKUP(B34,AssociatedElements!B$2:B2972,1,FALSE)),"Not used","")</f>
        <v/>
      </c>
      <c r="B34" s="13" t="n"/>
      <c r="C34" s="18" t="n"/>
      <c r="D34" s="19" t="n"/>
      <c r="E34" s="18" t="n"/>
      <c r="F34" s="18" t="n"/>
      <c r="G34" s="9" t="n"/>
    </row>
    <row r="35">
      <c r="A35" s="2">
        <f>IF(ISNA(VLOOKUP(B35,AssociatedElements!B$2:B2973,1,FALSE)),"Not used","")</f>
        <v/>
      </c>
      <c r="B35" s="13" t="n"/>
      <c r="C35" s="18" t="n"/>
      <c r="D35" s="19" t="n"/>
      <c r="E35" s="18" t="n"/>
      <c r="F35" s="18" t="n"/>
      <c r="G35" s="9" t="n"/>
    </row>
    <row r="36">
      <c r="A36" s="2">
        <f>IF(ISNA(VLOOKUP(B36,AssociatedElements!B$2:B2974,1,FALSE)),"Not used","")</f>
        <v/>
      </c>
      <c r="B36" s="13" t="n"/>
      <c r="C36" s="18" t="n"/>
      <c r="D36" s="19" t="n"/>
      <c r="E36" s="18" t="n"/>
      <c r="F36" s="18" t="n"/>
      <c r="G36" s="9" t="n"/>
    </row>
    <row r="37">
      <c r="A37" s="2">
        <f>IF(ISNA(VLOOKUP(B37,AssociatedElements!B$2:B2975,1,FALSE)),"Not used","")</f>
        <v/>
      </c>
      <c r="G37" s="9" t="n"/>
    </row>
  </sheetData>
  <pageMargins left="0.7" right="0.7" top="0.75" bottom="0.75" header="0.3" footer="0.3"/>
  <pageSetup orientation="portrait"/>
  <tableParts count="1">
    <tablePart xmlns:r="http://schemas.openxmlformats.org/officeDocument/2006/relationships" r:id="rId1"/>
  </tableParts>
</worksheet>
</file>

<file path=xl/worksheets/sheet3.xml><?xml version="1.0" encoding="utf-8"?>
<worksheet xmlns="http://schemas.openxmlformats.org/spreadsheetml/2006/main">
  <sheetPr codeName="Sheet3">
    <outlinePr summaryBelow="1" summaryRight="1"/>
    <pageSetUpPr/>
  </sheetPr>
  <dimension ref="A1:D37"/>
  <sheetViews>
    <sheetView zoomScale="120" zoomScaleNormal="120" workbookViewId="0">
      <pane ySplit="1" topLeftCell="A2" activePane="bottomLeft" state="frozen"/>
      <selection pane="bottomLeft" activeCell="C19" sqref="C19"/>
    </sheetView>
  </sheetViews>
  <sheetFormatPr baseColWidth="10" defaultColWidth="10.83203125" defaultRowHeight="16"/>
  <cols>
    <col width="6.83203125" customWidth="1" min="1" max="1"/>
    <col width="31.6640625" customWidth="1" min="2" max="2"/>
    <col width="86.1640625" customWidth="1" style="3" min="3" max="3"/>
    <col width="93" customWidth="1" min="4" max="4"/>
  </cols>
  <sheetData>
    <row r="1" customFormat="1" s="6">
      <c r="A1" s="4" t="inlineStr">
        <is>
          <t>Start</t>
        </is>
      </c>
      <c r="B1" s="4" t="inlineStr">
        <is>
          <t>ID</t>
        </is>
      </c>
      <c r="C1" s="5" t="inlineStr">
        <is>
          <t>SourceElement</t>
        </is>
      </c>
      <c r="D1" s="6" t="inlineStr">
        <is>
          <t>ConditionalElement</t>
        </is>
      </c>
    </row>
    <row r="2">
      <c r="A2">
        <f>IF(ISNA(VLOOKUP(#REF!,Definitions!B$2:B$1839,1,FALSE)),"Not listed","")</f>
        <v/>
      </c>
      <c r="B2" s="2" t="inlineStr">
        <is>
          <t>en206_xa1</t>
        </is>
      </c>
      <c r="C2" t="inlineStr">
        <is>
          <t>//diggs:RIProgramBasis/diggs:exposureClassification</t>
        </is>
      </c>
    </row>
    <row r="3">
      <c r="A3">
        <f>IF(ISNA(VLOOKUP(B3,Definitions!B$2:B$1839,1,FALSE)),"Not listed","")</f>
        <v/>
      </c>
      <c r="B3" s="20" t="inlineStr">
        <is>
          <t>en206_xa2</t>
        </is>
      </c>
      <c r="C3" t="inlineStr">
        <is>
          <t>//diggs:RIProgramBasis/diggs:exposureClassification</t>
        </is>
      </c>
    </row>
    <row r="4">
      <c r="A4">
        <f>IF(ISNA(VLOOKUP(B4,Definitions!B$2:B$1839,1,FALSE)),"Not listed","")</f>
        <v/>
      </c>
      <c r="B4" s="2" t="inlineStr">
        <is>
          <t>en206_xa3</t>
        </is>
      </c>
      <c r="C4" t="inlineStr">
        <is>
          <t>//diggs:RIProgramBasis/diggs:exposureClassification</t>
        </is>
      </c>
    </row>
    <row r="5">
      <c r="A5">
        <f>IF(ISNA(VLOOKUP(B5,Definitions!B$2:B$1839,1,FALSE)),"Not listed","")</f>
        <v/>
      </c>
      <c r="B5" s="2" t="inlineStr">
        <is>
          <t>aci318_s0</t>
        </is>
      </c>
      <c r="C5" t="inlineStr">
        <is>
          <t>//diggs:RIProgramBasis/diggs:exposureClassification</t>
        </is>
      </c>
    </row>
    <row r="6">
      <c r="A6">
        <f>IF(ISNA(VLOOKUP(B6,Definitions!B$2:B$1839,1,FALSE)),"Not listed","")</f>
        <v/>
      </c>
      <c r="B6" s="2" t="inlineStr">
        <is>
          <t>aci318_s1</t>
        </is>
      </c>
      <c r="C6" t="inlineStr">
        <is>
          <t>//diggs:RIProgramBasis/diggs:exposureClassification</t>
        </is>
      </c>
    </row>
    <row r="7">
      <c r="A7">
        <f>IF(ISNA(VLOOKUP(B7,Definitions!B$2:B$1839,1,FALSE)),"Not listed","")</f>
        <v/>
      </c>
      <c r="B7" s="2" t="inlineStr">
        <is>
          <t>aci318_s2</t>
        </is>
      </c>
      <c r="C7" t="inlineStr">
        <is>
          <t>//diggs:RIProgramBasis/diggs:exposureClassification</t>
        </is>
      </c>
    </row>
    <row r="8">
      <c r="A8">
        <f>IF(ISNA(VLOOKUP(B8,Definitions!B$2:B$1839,1,FALSE)),"Not listed","")</f>
        <v/>
      </c>
      <c r="B8" s="2" t="inlineStr">
        <is>
          <t>aci318_s3</t>
        </is>
      </c>
      <c r="C8" t="inlineStr">
        <is>
          <t>//diggs:RIProgramBasis/diggs:exposureClassification</t>
        </is>
      </c>
    </row>
    <row r="9">
      <c r="A9">
        <f>IF(ISNA(VLOOKUP(B9,Definitions!B$2:B$1839,1,FALSE)),"Not listed","")</f>
        <v/>
      </c>
      <c r="B9" s="2" t="inlineStr">
        <is>
          <t>aci318_c0</t>
        </is>
      </c>
      <c r="C9" t="inlineStr">
        <is>
          <t>//diggs:RIProgramBasis/diggs:exposureClassification</t>
        </is>
      </c>
    </row>
    <row r="10">
      <c r="A10">
        <f>IF(ISNA(VLOOKUP(B10,Definitions!B$2:B$1839,1,FALSE)),"Not listed","")</f>
        <v/>
      </c>
      <c r="B10" s="20" t="inlineStr">
        <is>
          <t>aci318_c1</t>
        </is>
      </c>
      <c r="C10" t="inlineStr">
        <is>
          <t>//diggs:RIProgramBasis/diggs:exposureClassification</t>
        </is>
      </c>
    </row>
    <row r="11">
      <c r="A11">
        <f>IF(ISNA(VLOOKUP(B11,Definitions!B$2:B$1839,1,FALSE)),"Not listed","")</f>
        <v/>
      </c>
      <c r="B11" s="20" t="inlineStr">
        <is>
          <t>aci318_c2</t>
        </is>
      </c>
      <c r="C11" t="inlineStr">
        <is>
          <t>//diggs:RIProgramBasis/diggs:exposureClassification</t>
        </is>
      </c>
    </row>
    <row r="12">
      <c r="A12">
        <f>IF(ISNA(VLOOKUP(B12,Definitions!B$2:B$1839,1,FALSE)),"Not listed","")</f>
        <v/>
      </c>
      <c r="B12" s="20" t="inlineStr">
        <is>
          <t>bs8500_ac1</t>
        </is>
      </c>
      <c r="C12" t="inlineStr">
        <is>
          <t>//diggs:RIProgramBasis/diggs:exposureClassification</t>
        </is>
      </c>
    </row>
    <row r="13">
      <c r="A13">
        <f>IF(ISNA(VLOOKUP(B13,Definitions!B$2:B$1839,1,FALSE)),"Not listed","")</f>
        <v/>
      </c>
      <c r="B13" s="20" t="inlineStr">
        <is>
          <t>bs8500_ac2</t>
        </is>
      </c>
      <c r="C13" t="inlineStr">
        <is>
          <t>//diggs:RIProgramBasis/diggs:exposureClassification</t>
        </is>
      </c>
    </row>
    <row r="14">
      <c r="A14">
        <f>IF(ISNA(VLOOKUP(B14,Definitions!B$2:B$1839,1,FALSE)),"Not listed","")</f>
        <v/>
      </c>
      <c r="B14" s="20" t="inlineStr">
        <is>
          <t>bs8500_ac3</t>
        </is>
      </c>
      <c r="C14" t="inlineStr">
        <is>
          <t>//diggs:RIProgramBasis/diggs:exposureClassification</t>
        </is>
      </c>
    </row>
    <row r="15">
      <c r="A15">
        <f>IF(ISNA(VLOOKUP(B15,Definitions!B$2:B$1839,1,FALSE)),"Not listed","")</f>
        <v/>
      </c>
      <c r="B15" s="2" t="inlineStr">
        <is>
          <t>bs8500_ac4</t>
        </is>
      </c>
      <c r="C15" t="inlineStr">
        <is>
          <t>//diggs:RIProgramBasis/diggs:exposureClassification</t>
        </is>
      </c>
    </row>
    <row r="16">
      <c r="A16">
        <f>IF(ISNA(VLOOKUP(B16,Definitions!B$2:B$1839,1,FALSE)),"Not listed","")</f>
        <v/>
      </c>
      <c r="B16" s="2" t="inlineStr">
        <is>
          <t>bs8500_ac5</t>
        </is>
      </c>
      <c r="C16" t="inlineStr">
        <is>
          <t>//diggs:RIProgramBasis/diggs:exposureClassification</t>
        </is>
      </c>
    </row>
    <row r="17">
      <c r="A17">
        <f>IF(ISNA(VLOOKUP(B17,Definitions!B$2:B$1839,1,FALSE)),"Not listed","")</f>
        <v/>
      </c>
      <c r="B17" s="2" t="inlineStr">
        <is>
          <t>sec_tmss_moderate</t>
        </is>
      </c>
      <c r="C17" t="inlineStr">
        <is>
          <t>//diggs:RIProgramBasis/diggs:exposureClassification</t>
        </is>
      </c>
    </row>
    <row r="18">
      <c r="A18">
        <f>IF(ISNA(VLOOKUP(B18,Definitions!B$2:B$1839,1,FALSE)),"Not listed","")</f>
        <v/>
      </c>
      <c r="B18" s="2" t="inlineStr">
        <is>
          <t>sec_tmss_severe</t>
        </is>
      </c>
      <c r="C18" t="inlineStr">
        <is>
          <t>//diggs:RIProgramBasis/diggs:exposureClassification</t>
        </is>
      </c>
    </row>
    <row r="19">
      <c r="A19">
        <f>IF(ISNA(VLOOKUP(B19,Definitions!B$2:B$1839,1,FALSE)),"Not listed","")</f>
        <v/>
      </c>
      <c r="B19" s="20" t="inlineStr">
        <is>
          <t>sec_tmss_very_severe</t>
        </is>
      </c>
      <c r="C19" t="inlineStr">
        <is>
          <t>//diggs:RIProgramBasis/diggs:exposureClassification</t>
        </is>
      </c>
    </row>
    <row r="20">
      <c r="A20">
        <f>IF(ISNA(VLOOKUP(B20,Definitions!B$2:B$1839,1,FALSE)),"Not listed","")</f>
        <v/>
      </c>
      <c r="B20" s="20" t="inlineStr">
        <is>
          <t>palmer_very_mild</t>
        </is>
      </c>
      <c r="C20" t="inlineStr">
        <is>
          <t>//diggs:RIProgramBasis/diggs:exposureClassification</t>
        </is>
      </c>
    </row>
    <row r="21">
      <c r="A21">
        <f>IF(ISNA(VLOOKUP(B21,Definitions!B$2:B$1839,1,FALSE)),"Not listed","")</f>
        <v/>
      </c>
      <c r="B21" s="20" t="inlineStr">
        <is>
          <t>palmer_mild</t>
        </is>
      </c>
      <c r="C21" t="inlineStr">
        <is>
          <t>//diggs:RIProgramBasis/diggs:exposureClassification</t>
        </is>
      </c>
    </row>
    <row r="22">
      <c r="A22">
        <f>IF(ISNA(VLOOKUP(B22,Definitions!B$2:B$1839,1,FALSE)),"Not listed","")</f>
        <v/>
      </c>
      <c r="B22" s="20" t="inlineStr">
        <is>
          <t>palmer_moderate</t>
        </is>
      </c>
      <c r="C22" t="inlineStr">
        <is>
          <t>//diggs:RIProgramBasis/diggs:exposureClassification</t>
        </is>
      </c>
    </row>
    <row r="23">
      <c r="A23">
        <f>IF(ISNA(VLOOKUP(B23,Definitions!B$2:B$1839,1,FALSE)),"Not listed","")</f>
        <v/>
      </c>
      <c r="B23" s="20" t="inlineStr">
        <is>
          <t>palmer_severe</t>
        </is>
      </c>
      <c r="C23" t="inlineStr">
        <is>
          <t>//diggs:RIProgramBasis/diggs:exposureClassification</t>
        </is>
      </c>
    </row>
    <row r="24">
      <c r="A24">
        <f>IF(ISNA(VLOOKUP(B24,Definitions!B$2:B$1839,1,FALSE)),"Not listed","")</f>
        <v/>
      </c>
      <c r="B24" s="2" t="inlineStr">
        <is>
          <t>palmer_very_severe</t>
        </is>
      </c>
      <c r="C24" t="inlineStr">
        <is>
          <t>//diggs:RIProgramBasis/diggs:exposureClassification</t>
        </is>
      </c>
    </row>
    <row r="25">
      <c r="A25">
        <f>IF(ISNA(VLOOKUP(B25,Definitions!B$2:B$1839,1,FALSE)),"Not listed","")</f>
        <v/>
      </c>
      <c r="B25" s="2" t="n"/>
    </row>
    <row r="26">
      <c r="A26">
        <f>IF(ISNA(VLOOKUP(B26,Definitions!B$2:B$1839,1,FALSE)),"Not listed","")</f>
        <v/>
      </c>
      <c r="B26" s="2" t="n"/>
    </row>
    <row r="27">
      <c r="A27">
        <f>IF(ISNA(VLOOKUP(B27,Definitions!B$2:B$1839,1,FALSE)),"Not listed","")</f>
        <v/>
      </c>
      <c r="B27" s="13" t="n"/>
    </row>
    <row r="28">
      <c r="A28">
        <f>IF(ISNA(VLOOKUP(B28,Definitions!B$2:B$1839,1,FALSE)),"Not listed","")</f>
        <v/>
      </c>
      <c r="B28" s="13" t="n"/>
    </row>
    <row r="29">
      <c r="A29">
        <f>IF(ISNA(VLOOKUP(B29,Definitions!B$2:B$1839,1,FALSE)),"Not listed","")</f>
        <v/>
      </c>
      <c r="B29" s="13" t="n"/>
    </row>
    <row r="30">
      <c r="A30">
        <f>IF(ISNA(VLOOKUP(B30,Definitions!B$2:B$1839,1,FALSE)),"Not listed","")</f>
        <v/>
      </c>
      <c r="B30" s="13" t="n"/>
    </row>
    <row r="31">
      <c r="A31">
        <f>IF(ISNA(VLOOKUP(B31,Definitions!B$2:B$1839,1,FALSE)),"Not listed","")</f>
        <v/>
      </c>
      <c r="B31" s="13" t="n"/>
    </row>
    <row r="32">
      <c r="A32">
        <f>IF(ISNA(VLOOKUP(B32,Definitions!B$2:B$1839,1,FALSE)),"Not listed","")</f>
        <v/>
      </c>
      <c r="B32" s="13" t="n"/>
    </row>
    <row r="33">
      <c r="A33">
        <f>IF(ISNA(VLOOKUP(B33,Definitions!B$2:B$1839,1,FALSE)),"Not listed","")</f>
        <v/>
      </c>
      <c r="B33" s="13" t="n"/>
    </row>
    <row r="34">
      <c r="A34">
        <f>IF(ISNA(VLOOKUP(B34,Definitions!B$2:B$1839,1,FALSE)),"Not listed","")</f>
        <v/>
      </c>
      <c r="B34" s="13" t="n"/>
    </row>
    <row r="35">
      <c r="A35">
        <f>IF(ISNA(VLOOKUP(B35,Definitions!B$2:B$1839,1,FALSE)),"Not listed","")</f>
        <v/>
      </c>
      <c r="B35" s="13" t="n"/>
    </row>
    <row r="36">
      <c r="A36">
        <f>IF(ISNA(VLOOKUP(B36,Definitions!B$2:B$1839,1,FALSE)),"Not listed","")</f>
        <v/>
      </c>
      <c r="B36" s="13" t="n"/>
    </row>
    <row r="37">
      <c r="A37">
        <f>IF(ISNA(VLOOKUP(B37,Definitions!B$2:B$1839,1,FALSE)),"Not listed","")</f>
        <v/>
      </c>
      <c r="B37" s="2" t="n"/>
    </row>
  </sheetData>
  <pageMargins left="0.7" right="0.7" top="0.75" bottom="0.75" header="0.3" footer="0.3"/>
  <pageSetup orientation="portrait"/>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2"/>
  <sheetViews>
    <sheetView zoomScale="120" zoomScaleNormal="120" workbookViewId="0">
      <pane ySplit="1" topLeftCell="A2" activePane="bottomLeft" state="frozen"/>
      <selection pane="bottomLeft" activeCell="B8" sqref="B8"/>
    </sheetView>
  </sheetViews>
  <sheetFormatPr baseColWidth="10" defaultColWidth="10.83203125" defaultRowHeight="16"/>
  <cols>
    <col width="6.83203125" customWidth="1" min="1" max="1"/>
    <col width="31.6640625" customWidth="1" min="2" max="2"/>
    <col width="86.1640625" customWidth="1" style="3" min="3" max="3"/>
    <col width="93" customWidth="1" min="4" max="4"/>
  </cols>
  <sheetData>
    <row r="1" customFormat="1" s="6">
      <c r="A1" s="4" t="inlineStr">
        <is>
          <t>Start</t>
        </is>
      </c>
      <c r="B1" s="4" t="inlineStr">
        <is>
          <t>ID</t>
        </is>
      </c>
      <c r="C1" s="5" t="inlineStr">
        <is>
          <t>Name</t>
        </is>
      </c>
      <c r="D1" s="6" t="inlineStr">
        <is>
          <t>codeSpace</t>
        </is>
      </c>
    </row>
    <row r="2">
      <c r="A2">
        <f>IF(ISNA(VLOOKUP(B2,Definitions!B$2:B$1839,1,FALSE)),"Not listed","")</f>
        <v/>
      </c>
      <c r="B2" t="inlineStr">
        <is>
          <t>LFS</t>
        </is>
      </c>
      <c r="C2" s="3" t="inlineStr">
        <is>
          <t>An alternate name for the definition code given in ID</t>
        </is>
      </c>
      <c r="D2" t="inlineStr">
        <is>
          <t>A URI to provide context for the name. Typically this might identify an authority, a language. a dictionary, or some other metadata value</t>
        </is>
      </c>
    </row>
  </sheetData>
  <pageMargins left="0.7" right="0.7" top="0.75" bottom="0.75" header="0.3" footer="0.3"/>
  <pageSetup orientation="portrait"/>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E188"/>
  <sheetViews>
    <sheetView tabSelected="1" topLeftCell="A9" zoomScale="130" zoomScaleNormal="130" workbookViewId="0">
      <selection activeCell="E60" sqref="E60"/>
    </sheetView>
  </sheetViews>
  <sheetFormatPr baseColWidth="10" defaultColWidth="11" defaultRowHeight="16"/>
  <cols>
    <col width="21.1640625" customWidth="1" min="2" max="2"/>
    <col width="54.1640625" customWidth="1" min="3" max="3"/>
    <col width="39" customWidth="1" min="4" max="4"/>
    <col width="21.33203125" customWidth="1" min="5" max="5"/>
  </cols>
  <sheetData>
    <row r="1">
      <c r="A1" t="inlineStr">
        <is>
          <t>DataType</t>
        </is>
      </c>
      <c r="B1" t="inlineStr">
        <is>
          <t>DataType2</t>
        </is>
      </c>
      <c r="C1" t="inlineStr">
        <is>
          <t>QuantityClass</t>
        </is>
      </c>
      <c r="D1" t="inlineStr">
        <is>
          <t>Column2</t>
        </is>
      </c>
      <c r="E1" t="inlineStr">
        <is>
          <t>Column3</t>
        </is>
      </c>
    </row>
    <row r="2">
      <c r="B2" t="inlineStr">
        <is>
          <t>anyURI</t>
        </is>
      </c>
      <c r="C2" t="inlineStr">
        <is>
          <t>absorbed dose</t>
        </is>
      </c>
    </row>
    <row r="3">
      <c r="B3" t="inlineStr">
        <is>
          <t>base64binary</t>
        </is>
      </c>
      <c r="C3" t="inlineStr">
        <is>
          <t>activity [of radioactivity]</t>
        </is>
      </c>
    </row>
    <row r="4">
      <c r="B4" s="7" t="inlineStr">
        <is>
          <t>boolean</t>
        </is>
      </c>
      <c r="C4" t="inlineStr">
        <is>
          <t>amount of substance</t>
        </is>
      </c>
    </row>
    <row r="5">
      <c r="B5" s="7" t="inlineStr">
        <is>
          <t>byte</t>
        </is>
      </c>
      <c r="C5" t="inlineStr">
        <is>
          <t>amount of substance per amount of substance</t>
        </is>
      </c>
    </row>
    <row r="6">
      <c r="B6" t="inlineStr">
        <is>
          <t>date</t>
        </is>
      </c>
      <c r="C6" t="inlineStr">
        <is>
          <t>amount of substance per area</t>
        </is>
      </c>
    </row>
    <row r="7">
      <c r="B7" t="inlineStr">
        <is>
          <t>dateTime</t>
        </is>
      </c>
      <c r="C7" t="inlineStr">
        <is>
          <t>amount of substance per mass</t>
        </is>
      </c>
      <c r="D7" t="inlineStr">
        <is>
          <t>use for cation exchange capacity</t>
        </is>
      </c>
      <c r="E7" t="inlineStr">
        <is>
          <t>not yet used nor in EML Dictionary</t>
        </is>
      </c>
    </row>
    <row r="8">
      <c r="B8" t="inlineStr">
        <is>
          <t>decimal</t>
        </is>
      </c>
      <c r="C8" t="inlineStr">
        <is>
          <t>amount of substance per time</t>
        </is>
      </c>
    </row>
    <row r="9">
      <c r="B9" s="7" t="inlineStr">
        <is>
          <t>double</t>
        </is>
      </c>
      <c r="C9" t="inlineStr">
        <is>
          <t>(amount of substance per time) per area</t>
        </is>
      </c>
    </row>
    <row r="10">
      <c r="B10" t="inlineStr">
        <is>
          <t>duration</t>
        </is>
      </c>
      <c r="C10" t="inlineStr">
        <is>
          <t>amount of substance per volume</t>
        </is>
      </c>
    </row>
    <row r="11">
      <c r="B11" s="7" t="inlineStr">
        <is>
          <t>float</t>
        </is>
      </c>
      <c r="C11" t="inlineStr">
        <is>
          <t>angle per length</t>
        </is>
      </c>
    </row>
    <row r="12">
      <c r="B12" t="inlineStr">
        <is>
          <t>gDay</t>
        </is>
      </c>
      <c r="C12" t="inlineStr">
        <is>
          <t>angle per volume</t>
        </is>
      </c>
    </row>
    <row r="13">
      <c r="B13" t="inlineStr">
        <is>
          <t>gMonth</t>
        </is>
      </c>
      <c r="C13" t="inlineStr">
        <is>
          <t>angular acceleration</t>
        </is>
      </c>
    </row>
    <row r="14">
      <c r="B14" t="inlineStr">
        <is>
          <t>gMonthDay</t>
        </is>
      </c>
      <c r="C14" t="inlineStr">
        <is>
          <t>angular velocity</t>
        </is>
      </c>
    </row>
    <row r="15">
      <c r="B15" t="inlineStr">
        <is>
          <t>gYear</t>
        </is>
      </c>
      <c r="C15" t="inlineStr">
        <is>
          <t>api gamma ray</t>
        </is>
      </c>
    </row>
    <row r="16">
      <c r="B16" t="inlineStr">
        <is>
          <t>gYearMonth</t>
        </is>
      </c>
      <c r="C16" t="inlineStr">
        <is>
          <t>api gravity</t>
        </is>
      </c>
    </row>
    <row r="17">
      <c r="B17" t="inlineStr">
        <is>
          <t>hexBinary</t>
        </is>
      </c>
      <c r="C17" t="inlineStr">
        <is>
          <t>api neutron</t>
        </is>
      </c>
    </row>
    <row r="18">
      <c r="B18" t="inlineStr">
        <is>
          <t>integer</t>
        </is>
      </c>
      <c r="C18" t="inlineStr">
        <is>
          <t>area</t>
        </is>
      </c>
    </row>
    <row r="19">
      <c r="B19" t="inlineStr">
        <is>
          <t>language</t>
        </is>
      </c>
      <c r="C19" t="inlineStr">
        <is>
          <t>area per amount of substance</t>
        </is>
      </c>
    </row>
    <row r="20">
      <c r="B20" s="7" t="inlineStr">
        <is>
          <t>long</t>
        </is>
      </c>
      <c r="C20" t="inlineStr">
        <is>
          <t>area per area</t>
        </is>
      </c>
    </row>
    <row r="21">
      <c r="B21" t="inlineStr">
        <is>
          <t>negativeInteger</t>
        </is>
      </c>
      <c r="C21" t="inlineStr">
        <is>
          <t>area per count</t>
        </is>
      </c>
      <c r="D21" t="inlineStr">
        <is>
          <t>In EML schema but not in EML dictionary</t>
        </is>
      </c>
    </row>
    <row r="22">
      <c r="B22" t="inlineStr">
        <is>
          <t>nonNegativeInteger</t>
        </is>
      </c>
      <c r="C22" t="inlineStr">
        <is>
          <t>area per mass</t>
        </is>
      </c>
    </row>
    <row r="23">
      <c r="B23" t="inlineStr">
        <is>
          <t>nonPositiveInteger</t>
        </is>
      </c>
      <c r="C23" t="inlineStr">
        <is>
          <t>area per time</t>
        </is>
      </c>
    </row>
    <row r="24">
      <c r="B24" t="inlineStr">
        <is>
          <t>normalizedString</t>
        </is>
      </c>
      <c r="C24" t="inlineStr">
        <is>
          <t>area per volume</t>
        </is>
      </c>
    </row>
    <row r="25">
      <c r="B25" t="inlineStr">
        <is>
          <t>positiveInteger</t>
        </is>
      </c>
      <c r="C25" t="inlineStr">
        <is>
          <t>attenuation per frequency interval</t>
        </is>
      </c>
    </row>
    <row r="26">
      <c r="B26" t="inlineStr">
        <is>
          <t>short</t>
        </is>
      </c>
      <c r="C26" t="inlineStr">
        <is>
          <t>capacitance</t>
        </is>
      </c>
    </row>
    <row r="27">
      <c r="B27" s="7" t="inlineStr">
        <is>
          <t>string</t>
        </is>
      </c>
      <c r="C27" t="inlineStr">
        <is>
          <t>data transfer speed</t>
        </is>
      </c>
    </row>
    <row r="28">
      <c r="B28" s="7" t="inlineStr">
        <is>
          <t>string</t>
        </is>
      </c>
      <c r="C28" t="inlineStr">
        <is>
          <t>diffusion coefficient</t>
        </is>
      </c>
    </row>
    <row r="29">
      <c r="B29" t="inlineStr">
        <is>
          <t>time</t>
        </is>
      </c>
      <c r="C29" t="inlineStr">
        <is>
          <t>diffusive time of flight</t>
        </is>
      </c>
      <c r="D29" t="inlineStr">
        <is>
          <t>In EML schema but not in EML dictionary</t>
        </is>
      </c>
    </row>
    <row r="30">
      <c r="B30" t="inlineStr">
        <is>
          <t>token</t>
        </is>
      </c>
      <c r="C30" t="inlineStr">
        <is>
          <t>digital storage</t>
        </is>
      </c>
    </row>
    <row r="31">
      <c r="B31" t="inlineStr">
        <is>
          <t>unsignedByte</t>
        </is>
      </c>
      <c r="C31" t="inlineStr">
        <is>
          <t>dimensionless</t>
        </is>
      </c>
    </row>
    <row r="32">
      <c r="B32" t="inlineStr">
        <is>
          <t>unsignedInt</t>
        </is>
      </c>
      <c r="C32" t="inlineStr">
        <is>
          <t>dipole moment</t>
        </is>
      </c>
    </row>
    <row r="33">
      <c r="B33" t="inlineStr">
        <is>
          <t>unsignedLong</t>
        </is>
      </c>
      <c r="C33" t="inlineStr">
        <is>
          <t>dose equivalent</t>
        </is>
      </c>
    </row>
    <row r="34">
      <c r="B34" t="inlineStr">
        <is>
          <t>unsignedShort</t>
        </is>
      </c>
      <c r="C34" t="inlineStr">
        <is>
          <t>dynamic viscosity</t>
        </is>
      </c>
    </row>
    <row r="35">
      <c r="B35" s="7" t="inlineStr">
        <is>
          <t>vector</t>
        </is>
      </c>
      <c r="C35" t="inlineStr">
        <is>
          <t>electric charge</t>
        </is>
      </c>
    </row>
    <row r="36">
      <c r="C36" t="inlineStr">
        <is>
          <t>electric charge per area</t>
        </is>
      </c>
    </row>
    <row r="37">
      <c r="C37" t="inlineStr">
        <is>
          <t>electric charge per mass</t>
        </is>
      </c>
    </row>
    <row r="38">
      <c r="C38" t="inlineStr">
        <is>
          <t>electric charge per volume</t>
        </is>
      </c>
    </row>
    <row r="39">
      <c r="C39" t="inlineStr">
        <is>
          <t>electric conductance</t>
        </is>
      </c>
    </row>
    <row r="40">
      <c r="C40" t="inlineStr">
        <is>
          <t>electric conductivity</t>
        </is>
      </c>
    </row>
    <row r="41">
      <c r="C41" t="inlineStr">
        <is>
          <t>electric current</t>
        </is>
      </c>
    </row>
    <row r="42">
      <c r="C42" t="inlineStr">
        <is>
          <t>electric current density</t>
        </is>
      </c>
    </row>
    <row r="43">
      <c r="C43" t="inlineStr">
        <is>
          <t>electric field strength</t>
        </is>
      </c>
    </row>
    <row r="44">
      <c r="C44" t="inlineStr">
        <is>
          <t>electric potential difference</t>
        </is>
      </c>
    </row>
    <row r="45">
      <c r="C45" t="inlineStr">
        <is>
          <t>electric resistance</t>
        </is>
      </c>
    </row>
    <row r="46">
      <c r="C46" t="inlineStr">
        <is>
          <t>electric resistance per length</t>
        </is>
      </c>
    </row>
    <row r="47">
      <c r="C47" t="inlineStr">
        <is>
          <t>electrical resistivity</t>
        </is>
      </c>
    </row>
    <row r="48">
      <c r="C48" t="inlineStr">
        <is>
          <t>electromagnetic moment</t>
        </is>
      </c>
    </row>
    <row r="49">
      <c r="C49" t="inlineStr">
        <is>
          <t>energy</t>
        </is>
      </c>
    </row>
    <row r="50">
      <c r="C50" t="inlineStr">
        <is>
          <t>energy length per area</t>
        </is>
      </c>
    </row>
    <row r="51">
      <c r="C51" t="inlineStr">
        <is>
          <t>energy length per time area temperature</t>
        </is>
      </c>
    </row>
    <row r="52">
      <c r="C52" t="inlineStr">
        <is>
          <t>energy per area</t>
        </is>
      </c>
    </row>
    <row r="53">
      <c r="C53" t="inlineStr">
        <is>
          <t>energy per length</t>
        </is>
      </c>
    </row>
    <row r="54">
      <c r="C54" t="inlineStr">
        <is>
          <t>energy per mass</t>
        </is>
      </c>
    </row>
    <row r="55">
      <c r="C55" t="inlineStr">
        <is>
          <t>(energy per mass) per time</t>
        </is>
      </c>
    </row>
    <row r="56">
      <c r="C56" t="inlineStr">
        <is>
          <t>energy per volume</t>
        </is>
      </c>
    </row>
    <row r="57">
      <c r="C57" t="inlineStr">
        <is>
          <t>force</t>
        </is>
      </c>
    </row>
    <row r="58">
      <c r="C58" t="inlineStr">
        <is>
          <t>force area</t>
        </is>
      </c>
    </row>
    <row r="59">
      <c r="C59" t="inlineStr">
        <is>
          <t>force length per length</t>
        </is>
      </c>
    </row>
    <row r="60">
      <c r="C60" t="inlineStr">
        <is>
          <t>force or mass per volume</t>
        </is>
      </c>
      <c r="D60" t="inlineStr">
        <is>
          <t>use for geotechnical densities</t>
        </is>
      </c>
    </row>
    <row r="61">
      <c r="C61" t="inlineStr">
        <is>
          <t>force per force</t>
        </is>
      </c>
    </row>
    <row r="62">
      <c r="C62" t="inlineStr">
        <is>
          <t>force per length</t>
        </is>
      </c>
    </row>
    <row r="63">
      <c r="C63" t="inlineStr">
        <is>
          <t>force per volume</t>
        </is>
      </c>
    </row>
    <row r="64">
      <c r="C64" t="inlineStr">
        <is>
          <t>frequency</t>
        </is>
      </c>
    </row>
    <row r="65">
      <c r="C65" t="inlineStr">
        <is>
          <t>frequency interval</t>
        </is>
      </c>
    </row>
    <row r="66">
      <c r="C66" t="inlineStr">
        <is>
          <t>gravitational gradient</t>
        </is>
      </c>
      <c r="D66" t="inlineStr">
        <is>
          <t>use for gravity gradients</t>
        </is>
      </c>
      <c r="E66" t="inlineStr">
        <is>
          <t>Inow in EML dictionary</t>
        </is>
      </c>
    </row>
    <row r="67">
      <c r="C67" t="inlineStr">
        <is>
          <t>heat capacity</t>
        </is>
      </c>
    </row>
    <row r="68">
      <c r="C68" t="inlineStr">
        <is>
          <t>heat flow rate</t>
        </is>
      </c>
    </row>
    <row r="69">
      <c r="C69" t="inlineStr">
        <is>
          <t>heat transfer coefficient</t>
        </is>
      </c>
    </row>
    <row r="70">
      <c r="C70" t="inlineStr">
        <is>
          <t>illuminance</t>
        </is>
      </c>
    </row>
    <row r="71">
      <c r="C71" t="inlineStr">
        <is>
          <t>inductance</t>
        </is>
      </c>
    </row>
    <row r="72">
      <c r="C72" t="inlineStr">
        <is>
          <t>isothermal compressibility</t>
        </is>
      </c>
    </row>
    <row r="73">
      <c r="C73" t="inlineStr">
        <is>
          <t>kinematic viscosity</t>
        </is>
      </c>
    </row>
    <row r="74">
      <c r="C74" t="inlineStr">
        <is>
          <t>length</t>
        </is>
      </c>
    </row>
    <row r="75">
      <c r="C75" t="inlineStr">
        <is>
          <t>length per length</t>
        </is>
      </c>
    </row>
    <row r="76">
      <c r="C76" t="inlineStr">
        <is>
          <t>length per mass</t>
        </is>
      </c>
    </row>
    <row r="77">
      <c r="C77" t="inlineStr">
        <is>
          <t>length per pressure</t>
        </is>
      </c>
    </row>
    <row r="78">
      <c r="C78" t="inlineStr">
        <is>
          <t>length per temperature</t>
        </is>
      </c>
    </row>
    <row r="79">
      <c r="C79" t="inlineStr">
        <is>
          <t>length per time</t>
        </is>
      </c>
    </row>
    <row r="80">
      <c r="C80" t="inlineStr">
        <is>
          <t>length per volume</t>
        </is>
      </c>
    </row>
    <row r="81">
      <c r="C81" t="inlineStr">
        <is>
          <t>light exposure</t>
        </is>
      </c>
    </row>
    <row r="82">
      <c r="C82" t="inlineStr">
        <is>
          <t>linear acceleration</t>
        </is>
      </c>
    </row>
    <row r="83">
      <c r="C83" t="inlineStr">
        <is>
          <t>linear thermal expansion</t>
        </is>
      </c>
    </row>
    <row r="84">
      <c r="C84" t="inlineStr">
        <is>
          <t>logarithmic power ratio</t>
        </is>
      </c>
    </row>
    <row r="85">
      <c r="C85" t="inlineStr">
        <is>
          <t>logarithmic power ratio per length</t>
        </is>
      </c>
    </row>
    <row r="86">
      <c r="C86" t="inlineStr">
        <is>
          <t>luminance</t>
        </is>
      </c>
    </row>
    <row r="87">
      <c r="C87" t="inlineStr">
        <is>
          <t>luminous efficacy</t>
        </is>
      </c>
    </row>
    <row r="88">
      <c r="C88" t="inlineStr">
        <is>
          <t>luminous flux</t>
        </is>
      </c>
    </row>
    <row r="89">
      <c r="C89" t="inlineStr">
        <is>
          <t>luminous intensity</t>
        </is>
      </c>
    </row>
    <row r="90">
      <c r="C90" t="inlineStr">
        <is>
          <t>magnetic dipole moment</t>
        </is>
      </c>
    </row>
    <row r="91">
      <c r="C91" t="inlineStr">
        <is>
          <t>magnetic field strength</t>
        </is>
      </c>
    </row>
    <row r="92">
      <c r="C92" t="inlineStr">
        <is>
          <t>magnetic flux</t>
        </is>
      </c>
    </row>
    <row r="93">
      <c r="C93" t="inlineStr">
        <is>
          <t>magnetic flux density</t>
        </is>
      </c>
    </row>
    <row r="94">
      <c r="C94" t="inlineStr">
        <is>
          <t>magnetic flux density per length</t>
        </is>
      </c>
    </row>
    <row r="95">
      <c r="C95" t="inlineStr">
        <is>
          <t>magnetic permeability</t>
        </is>
      </c>
    </row>
    <row r="96">
      <c r="C96" t="inlineStr">
        <is>
          <t>magnetic vector potential</t>
        </is>
      </c>
    </row>
    <row r="97">
      <c r="C97" t="inlineStr">
        <is>
          <t>mass</t>
        </is>
      </c>
    </row>
    <row r="98">
      <c r="C98" t="inlineStr">
        <is>
          <t>mass length</t>
        </is>
      </c>
    </row>
    <row r="99">
      <c r="C99" t="inlineStr">
        <is>
          <t>mass per area</t>
        </is>
      </c>
    </row>
    <row r="100">
      <c r="C100" t="inlineStr">
        <is>
          <t>mass per energy</t>
        </is>
      </c>
    </row>
    <row r="101">
      <c r="C101" t="inlineStr">
        <is>
          <t>mass per length</t>
        </is>
      </c>
    </row>
    <row r="102">
      <c r="C102" t="inlineStr">
        <is>
          <t>mass per mass</t>
        </is>
      </c>
    </row>
    <row r="103">
      <c r="C103" t="inlineStr">
        <is>
          <t>mass per time</t>
        </is>
      </c>
    </row>
    <row r="104">
      <c r="C104" t="inlineStr">
        <is>
          <t>(mass per time) per area</t>
        </is>
      </c>
    </row>
    <row r="105">
      <c r="C105" t="inlineStr">
        <is>
          <t>(mass per time) per length</t>
        </is>
      </c>
    </row>
    <row r="106">
      <c r="C106" t="inlineStr">
        <is>
          <t>mass per volume</t>
        </is>
      </c>
    </row>
    <row r="107">
      <c r="C107" t="inlineStr">
        <is>
          <t>(mass per volume) per length</t>
        </is>
      </c>
    </row>
    <row r="108">
      <c r="C108" t="inlineStr">
        <is>
          <t>(mass per volume) per pressure</t>
        </is>
      </c>
      <c r="D108" t="inlineStr">
        <is>
          <t>In EML schema but not in EML dictionary</t>
        </is>
      </c>
    </row>
    <row r="109">
      <c r="C109" t="inlineStr">
        <is>
          <t>(mass per volume) per temperature</t>
        </is>
      </c>
      <c r="D109" t="inlineStr">
        <is>
          <t>In EML schema but not in EML dictionary</t>
        </is>
      </c>
    </row>
    <row r="110">
      <c r="C110" t="inlineStr">
        <is>
          <t>mobility</t>
        </is>
      </c>
    </row>
    <row r="111">
      <c r="C111" t="inlineStr">
        <is>
          <t>molar energy</t>
        </is>
      </c>
    </row>
    <row r="112">
      <c r="C112" t="inlineStr">
        <is>
          <t>molar heat capacity</t>
        </is>
      </c>
    </row>
    <row r="113">
      <c r="C113" t="inlineStr">
        <is>
          <t>molar volume</t>
        </is>
      </c>
    </row>
    <row r="114">
      <c r="C114" t="inlineStr">
        <is>
          <t>molecular weight</t>
        </is>
      </c>
    </row>
    <row r="115">
      <c r="C115" t="inlineStr">
        <is>
          <t>moment of force</t>
        </is>
      </c>
    </row>
    <row r="116">
      <c r="C116" t="inlineStr">
        <is>
          <t>moment of inertia</t>
        </is>
      </c>
    </row>
    <row r="117">
      <c r="C117" t="inlineStr">
        <is>
          <t>momentum</t>
        </is>
      </c>
    </row>
    <row r="118">
      <c r="C118" t="inlineStr">
        <is>
          <t>normalized power</t>
        </is>
      </c>
    </row>
    <row r="119">
      <c r="C119" t="inlineStr">
        <is>
          <t>permeability length</t>
        </is>
      </c>
    </row>
    <row r="120">
      <c r="C120" t="inlineStr">
        <is>
          <t>permeability rock</t>
        </is>
      </c>
    </row>
    <row r="121">
      <c r="C121" t="inlineStr">
        <is>
          <t>permittivity</t>
        </is>
      </c>
    </row>
    <row r="122">
      <c r="C122" t="inlineStr">
        <is>
          <t>plane angle</t>
        </is>
      </c>
    </row>
    <row r="123">
      <c r="C123" t="inlineStr">
        <is>
          <t>potential difference per power drop</t>
        </is>
      </c>
    </row>
    <row r="124">
      <c r="C124" t="inlineStr">
        <is>
          <t>power</t>
        </is>
      </c>
    </row>
    <row r="125">
      <c r="C125" t="inlineStr">
        <is>
          <t>power per area</t>
        </is>
      </c>
    </row>
    <row r="126">
      <c r="C126" t="inlineStr">
        <is>
          <t>power per power</t>
        </is>
      </c>
    </row>
    <row r="127">
      <c r="C127" t="inlineStr">
        <is>
          <t>power per volume</t>
        </is>
      </c>
    </row>
    <row r="128">
      <c r="C128" t="inlineStr">
        <is>
          <t>pressure</t>
        </is>
      </c>
    </row>
    <row r="129">
      <c r="C129" t="inlineStr">
        <is>
          <t>pressure per pressure</t>
        </is>
      </c>
      <c r="E129" t="inlineStr">
        <is>
          <t>Now in dictonary</t>
        </is>
      </c>
    </row>
    <row r="130">
      <c r="C130" t="inlineStr">
        <is>
          <t>pressure per time</t>
        </is>
      </c>
    </row>
    <row r="131">
      <c r="C131" t="inlineStr">
        <is>
          <t>pressure per volume</t>
        </is>
      </c>
    </row>
    <row r="132">
      <c r="C132" t="inlineStr">
        <is>
          <t>pressure squared</t>
        </is>
      </c>
    </row>
    <row r="133">
      <c r="C133" t="inlineStr">
        <is>
          <t>pressure squared per (force time per area)</t>
        </is>
      </c>
    </row>
    <row r="134">
      <c r="C134" t="inlineStr">
        <is>
          <t>pressure time per volume</t>
        </is>
      </c>
    </row>
    <row r="135">
      <c r="C135" t="inlineStr">
        <is>
          <t>quantity of light</t>
        </is>
      </c>
    </row>
    <row r="136">
      <c r="C136" t="inlineStr">
        <is>
          <t>radiance</t>
        </is>
      </c>
    </row>
    <row r="137">
      <c r="C137" t="inlineStr">
        <is>
          <t>radiant intensity</t>
        </is>
      </c>
    </row>
    <row r="138">
      <c r="C138" t="inlineStr">
        <is>
          <t>reciprocal area</t>
        </is>
      </c>
    </row>
    <row r="139">
      <c r="C139" t="inlineStr">
        <is>
          <t>reciprocal electric potential difference</t>
        </is>
      </c>
    </row>
    <row r="140">
      <c r="C140" t="inlineStr">
        <is>
          <t>reciprocal force</t>
        </is>
      </c>
    </row>
    <row r="141">
      <c r="C141" t="inlineStr">
        <is>
          <t>reciprocal length</t>
        </is>
      </c>
    </row>
    <row r="142">
      <c r="C142" t="inlineStr">
        <is>
          <t>reciprocal mass</t>
        </is>
      </c>
    </row>
    <row r="143">
      <c r="C143" t="inlineStr">
        <is>
          <t>reciprocal (mass time)</t>
        </is>
      </c>
    </row>
    <row r="144">
      <c r="C144" t="inlineStr">
        <is>
          <t>reciprocal pressure</t>
        </is>
      </c>
    </row>
    <row r="145">
      <c r="C145" t="inlineStr">
        <is>
          <t>reciprocal time</t>
        </is>
      </c>
    </row>
    <row r="146">
      <c r="C146" t="inlineStr">
        <is>
          <t>reciprocal volume</t>
        </is>
      </c>
    </row>
    <row r="147">
      <c r="C147" t="inlineStr">
        <is>
          <t>relative rate</t>
        </is>
      </c>
      <c r="D147" t="inlineStr">
        <is>
          <t>use for strain rate</t>
        </is>
      </c>
    </row>
    <row r="148">
      <c r="C148" t="inlineStr">
        <is>
          <t>reluctance</t>
        </is>
      </c>
    </row>
    <row r="149">
      <c r="C149" t="inlineStr">
        <is>
          <t>second moment of area</t>
        </is>
      </c>
    </row>
    <row r="150">
      <c r="C150" t="inlineStr">
        <is>
          <t>signaling event per time</t>
        </is>
      </c>
    </row>
    <row r="151">
      <c r="C151" t="inlineStr">
        <is>
          <t>solid angle</t>
        </is>
      </c>
    </row>
    <row r="152">
      <c r="C152" t="inlineStr">
        <is>
          <t>specific heat capacity</t>
        </is>
      </c>
    </row>
    <row r="153">
      <c r="C153" t="inlineStr">
        <is>
          <t>temperature interval</t>
        </is>
      </c>
    </row>
    <row r="154">
      <c r="C154" t="inlineStr">
        <is>
          <t>temperature interval per length</t>
        </is>
      </c>
    </row>
    <row r="155">
      <c r="C155" t="inlineStr">
        <is>
          <t>temperature interval per pressure</t>
        </is>
      </c>
    </row>
    <row r="156">
      <c r="C156" t="inlineStr">
        <is>
          <t>temperature interval per time</t>
        </is>
      </c>
    </row>
    <row r="157">
      <c r="C157" t="inlineStr">
        <is>
          <t>thermal conductance</t>
        </is>
      </c>
    </row>
    <row r="158">
      <c r="C158" t="inlineStr">
        <is>
          <t>thermal conductivity</t>
        </is>
      </c>
    </row>
    <row r="159">
      <c r="C159" t="inlineStr">
        <is>
          <t>thermal diffusivity</t>
        </is>
      </c>
    </row>
    <row r="160">
      <c r="C160" t="inlineStr">
        <is>
          <t>thermal insulance</t>
        </is>
      </c>
    </row>
    <row r="161">
      <c r="C161" t="inlineStr">
        <is>
          <t>thermal resistance</t>
        </is>
      </c>
    </row>
    <row r="162">
      <c r="C162" t="inlineStr">
        <is>
          <t>thermodynamic temperature</t>
        </is>
      </c>
    </row>
    <row r="163">
      <c r="C163" t="inlineStr">
        <is>
          <t>thermodynamic temperature per thermodynamic temperature</t>
        </is>
      </c>
      <c r="D163" t="inlineStr">
        <is>
          <t>In EML schema but not in EML dictionary</t>
        </is>
      </c>
    </row>
    <row r="164">
      <c r="C164" t="inlineStr">
        <is>
          <t>time</t>
        </is>
      </c>
    </row>
    <row r="165">
      <c r="C165" t="inlineStr">
        <is>
          <t>time per length</t>
        </is>
      </c>
    </row>
    <row r="166">
      <c r="C166" t="inlineStr">
        <is>
          <t>time per mass</t>
        </is>
      </c>
    </row>
    <row r="167">
      <c r="C167" t="inlineStr">
        <is>
          <t>time per time</t>
        </is>
      </c>
    </row>
    <row r="168">
      <c r="C168" t="inlineStr">
        <is>
          <t>time per volume</t>
        </is>
      </c>
    </row>
    <row r="169">
      <c r="C169" t="inlineStr">
        <is>
          <t>volume</t>
        </is>
      </c>
    </row>
    <row r="170">
      <c r="C170" t="inlineStr">
        <is>
          <t>volume flow rate per volume flow rate</t>
        </is>
      </c>
    </row>
    <row r="171">
      <c r="C171" t="inlineStr">
        <is>
          <t>volume per area</t>
        </is>
      </c>
    </row>
    <row r="172">
      <c r="C172" t="inlineStr">
        <is>
          <t>volume per length</t>
        </is>
      </c>
    </row>
    <row r="173">
      <c r="C173" t="inlineStr">
        <is>
          <t>volume per mass</t>
        </is>
      </c>
    </row>
    <row r="174">
      <c r="C174" t="inlineStr">
        <is>
          <t>volume per pressure</t>
        </is>
      </c>
    </row>
    <row r="175">
      <c r="C175" t="inlineStr">
        <is>
          <t>volume per rotation</t>
        </is>
      </c>
    </row>
    <row r="176">
      <c r="C176" t="inlineStr">
        <is>
          <t>volume per time</t>
        </is>
      </c>
    </row>
    <row r="177">
      <c r="C177" t="inlineStr">
        <is>
          <t>(volume per time) length</t>
        </is>
      </c>
    </row>
    <row r="178">
      <c r="C178" t="inlineStr">
        <is>
          <t>(volume per time) per area</t>
        </is>
      </c>
    </row>
    <row r="179">
      <c r="C179" t="inlineStr">
        <is>
          <t>(volume per time) per length</t>
        </is>
      </c>
    </row>
    <row r="180">
      <c r="C180" t="inlineStr">
        <is>
          <t>(volume per time) per pressure</t>
        </is>
      </c>
    </row>
    <row r="181">
      <c r="C181" t="inlineStr">
        <is>
          <t>(volume per time) per (pressure length)</t>
        </is>
      </c>
    </row>
    <row r="182">
      <c r="C182" t="inlineStr">
        <is>
          <t>(volume per time) per time</t>
        </is>
      </c>
    </row>
    <row r="183">
      <c r="C183" t="inlineStr">
        <is>
          <t>(volume per time) per volume</t>
        </is>
      </c>
    </row>
    <row r="184">
      <c r="C184" t="inlineStr">
        <is>
          <t>volume per volume</t>
        </is>
      </c>
    </row>
    <row r="185">
      <c r="C185" t="inlineStr">
        <is>
          <t>volumetric heat transfer coefficient</t>
        </is>
      </c>
    </row>
    <row r="186">
      <c r="C186" t="inlineStr">
        <is>
          <t>volumetric thermal expansion</t>
        </is>
      </c>
    </row>
    <row r="187">
      <c r="C187" t="inlineStr">
        <is>
          <t>reciprocal time(0.5)</t>
        </is>
      </c>
      <c r="D187" t="inlineStr">
        <is>
          <t>used for pressure filtration</t>
        </is>
      </c>
    </row>
    <row r="188">
      <c r="C188" t="inlineStr">
        <is>
          <t>volume or mass loss</t>
        </is>
      </c>
      <c r="D188" t="inlineStr">
        <is>
          <t>used for pressure filtration</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Microsoft Office User</dc:creator>
  <dcterms:created xsi:type="dcterms:W3CDTF">2018-10-28T20:07:54Z</dcterms:created>
  <dcterms:modified xsi:type="dcterms:W3CDTF">2026-09-01T07:41:39Z</dcterms:modified>
  <cp:lastModifiedBy>Ponti, Daniel J</cp:lastModifiedBy>
</cp:coreProperties>
</file>