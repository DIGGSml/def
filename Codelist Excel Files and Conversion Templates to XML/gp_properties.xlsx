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codeName="ThisWorkbook"/>
  <mc:AlternateContent xmlns:mc="http://schemas.openxmlformats.org/markup-compatibility/2006">
    <mc:Choice Requires="x15">
      <x15ac:absPath xmlns:x15ac="http://schemas.microsoft.com/office/spreadsheetml/2010/11/ac" url="/Users/dponti/GitHub/def/Codelist Excel Files and Conversion Templates to XML/"/>
    </mc:Choice>
  </mc:AlternateContent>
  <xr:revisionPtr revIDLastSave="0" documentId="13_ncr:1_{875AF5D8-06AD-CF4B-94C2-F9E41B097972}" xr6:coauthVersionLast="47" xr6:coauthVersionMax="47" xr10:uidLastSave="{00000000-0000-0000-0000-000000000000}"/>
  <bookViews>
    <workbookView xWindow="0" yWindow="500" windowWidth="44820" windowHeight="27340" tabRatio="500" activeTab="1" xr2:uid="{00000000-000D-0000-FFFF-FFFF00000000}"/>
  </bookViews>
  <sheets>
    <sheet name="DictionaryName" sheetId="3" r:id="rId1"/>
    <sheet name="Definitions" sheetId="1" r:id="rId2"/>
    <sheet name="AssociatedElements" sheetId="2" r:id="rId3"/>
    <sheet name="Lists"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7" i="2" l="1"/>
  <c r="A148" i="2"/>
  <c r="A145" i="2"/>
  <c r="A146" i="2"/>
  <c r="A143" i="2"/>
  <c r="A144" i="2"/>
  <c r="A142" i="2"/>
  <c r="A141" i="2"/>
  <c r="A139" i="2"/>
  <c r="A140" i="2"/>
  <c r="A138" i="2"/>
  <c r="A137" i="2"/>
  <c r="A57" i="1"/>
  <c r="A58" i="1"/>
  <c r="D188" i="5"/>
  <c r="D187"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A53" i="1"/>
  <c r="A118" i="2"/>
  <c r="A119" i="2"/>
  <c r="A120" i="2"/>
  <c r="A121" i="2"/>
  <c r="A122" i="2"/>
  <c r="A123" i="2"/>
  <c r="A124" i="2"/>
  <c r="A125" i="2"/>
  <c r="A126" i="2"/>
  <c r="A127" i="2"/>
  <c r="A128" i="2"/>
  <c r="A129" i="2"/>
  <c r="A130" i="2"/>
  <c r="A131" i="2"/>
  <c r="A132" i="2"/>
  <c r="A133" i="2"/>
  <c r="A134" i="2"/>
  <c r="A135" i="2"/>
  <c r="A136" i="2"/>
  <c r="A94" i="2"/>
  <c r="A35" i="2"/>
  <c r="A36" i="2"/>
  <c r="A63" i="2"/>
  <c r="A69" i="2"/>
  <c r="A85" i="2"/>
  <c r="A95" i="2"/>
  <c r="A2" i="2"/>
  <c r="A3" i="2"/>
  <c r="A37" i="2"/>
  <c r="A86" i="2"/>
  <c r="A96" i="2"/>
  <c r="A4" i="2"/>
  <c r="A45" i="2"/>
  <c r="A5" i="2"/>
  <c r="A29" i="2"/>
  <c r="A41" i="2"/>
  <c r="A111" i="2"/>
  <c r="A6" i="2"/>
  <c r="A42" i="2"/>
  <c r="A43" i="2"/>
  <c r="A47" i="2"/>
  <c r="A112" i="2"/>
  <c r="A48" i="2"/>
  <c r="A113" i="2"/>
  <c r="A114" i="2"/>
  <c r="A26" i="2"/>
  <c r="A103" i="2"/>
  <c r="A104" i="2"/>
  <c r="A44" i="2"/>
  <c r="A7" i="2"/>
  <c r="A8" i="2"/>
  <c r="A38" i="2"/>
  <c r="A39" i="2"/>
  <c r="A40" i="2"/>
  <c r="A30" i="2"/>
  <c r="A115" i="2"/>
  <c r="A31" i="2"/>
  <c r="A116" i="2"/>
  <c r="A105" i="2"/>
  <c r="A75" i="2"/>
  <c r="A76" i="2"/>
  <c r="A57" i="2"/>
  <c r="A58" i="2"/>
  <c r="A49" i="2"/>
  <c r="A59" i="2"/>
  <c r="A50" i="2"/>
  <c r="A60" i="2"/>
  <c r="A51" i="2"/>
  <c r="A61" i="2"/>
  <c r="A62" i="2"/>
  <c r="A9" i="2"/>
  <c r="A106" i="2"/>
  <c r="A64" i="2"/>
  <c r="A70" i="2"/>
  <c r="A87" i="2"/>
  <c r="A97" i="2"/>
  <c r="A65" i="2"/>
  <c r="A71" i="2"/>
  <c r="A88" i="2"/>
  <c r="A98" i="2"/>
  <c r="A89" i="2"/>
  <c r="A99" i="2"/>
  <c r="A107" i="2"/>
  <c r="A81" i="2"/>
  <c r="A82" i="2"/>
  <c r="A66" i="2"/>
  <c r="A72" i="2"/>
  <c r="A90" i="2"/>
  <c r="A100" i="2"/>
  <c r="A10" i="2"/>
  <c r="A67" i="2"/>
  <c r="A73" i="2"/>
  <c r="A91" i="2"/>
  <c r="A101" i="2"/>
  <c r="A11" i="2"/>
  <c r="A32" i="2"/>
  <c r="A33" i="2"/>
  <c r="A83" i="2"/>
  <c r="A108" i="2"/>
  <c r="A92" i="2"/>
  <c r="A12" i="2"/>
  <c r="A27" i="2"/>
  <c r="A34" i="2"/>
  <c r="A52" i="2"/>
  <c r="A109" i="2"/>
  <c r="A13" i="2"/>
  <c r="A28" i="2"/>
  <c r="A46" i="2"/>
  <c r="A53" i="2"/>
  <c r="A110" i="2"/>
  <c r="A117" i="2"/>
  <c r="A14" i="2"/>
  <c r="A68" i="2"/>
  <c r="A74" i="2"/>
  <c r="A93" i="2"/>
  <c r="A102" i="2"/>
  <c r="A15" i="2"/>
  <c r="A16" i="2"/>
  <c r="A17" i="2"/>
  <c r="A77" i="2"/>
  <c r="A78" i="2"/>
  <c r="A79" i="2"/>
  <c r="A80" i="2"/>
  <c r="A18" i="2"/>
  <c r="A19" i="2"/>
  <c r="A54" i="2"/>
  <c r="A55" i="2"/>
  <c r="A56" i="2"/>
  <c r="A20" i="2"/>
  <c r="A21" i="2"/>
  <c r="A22" i="2"/>
  <c r="A23" i="2"/>
  <c r="A24" i="2"/>
  <c r="A25" i="2"/>
  <c r="A43" i="1"/>
  <c r="A44" i="1"/>
  <c r="A63" i="1"/>
  <c r="A37" i="1"/>
  <c r="A48" i="1"/>
  <c r="A64" i="1"/>
  <c r="A60" i="1"/>
  <c r="A9" i="1"/>
  <c r="A3" i="1"/>
  <c r="A49" i="1"/>
  <c r="A10" i="1"/>
  <c r="A11" i="1"/>
  <c r="A12" i="1"/>
  <c r="A38" i="1"/>
  <c r="A39" i="1"/>
  <c r="A2" i="1"/>
  <c r="A45" i="1"/>
  <c r="A36" i="1"/>
  <c r="A46" i="1"/>
  <c r="A4" i="1"/>
  <c r="A5" i="1"/>
  <c r="A33" i="1"/>
  <c r="A65" i="1"/>
  <c r="A47" i="1"/>
  <c r="A13" i="1"/>
  <c r="A14" i="1"/>
  <c r="A15" i="1"/>
  <c r="A16" i="1"/>
  <c r="A6" i="1"/>
  <c r="A50" i="1"/>
  <c r="A51" i="1"/>
  <c r="A52" i="1"/>
  <c r="A34" i="1"/>
  <c r="A35" i="1"/>
  <c r="A40" i="1"/>
  <c r="A7" i="1"/>
  <c r="A17" i="1"/>
  <c r="A18" i="1"/>
  <c r="A19" i="1"/>
  <c r="A20" i="1"/>
  <c r="A21" i="1"/>
  <c r="A22" i="1"/>
  <c r="A66" i="1"/>
  <c r="A67" i="1"/>
  <c r="A31" i="1"/>
  <c r="A8" i="1"/>
  <c r="A25" i="1"/>
  <c r="A29" i="1"/>
  <c r="A30" i="1"/>
  <c r="A61" i="1"/>
  <c r="A41" i="1"/>
  <c r="A62" i="1"/>
  <c r="A23" i="1"/>
  <c r="A68" i="1"/>
  <c r="A55" i="1"/>
  <c r="A69" i="1"/>
  <c r="A56" i="1"/>
  <c r="A54" i="1"/>
  <c r="A32" i="1"/>
  <c r="A26" i="1"/>
  <c r="A27" i="1"/>
  <c r="A28" i="1"/>
  <c r="A42" i="1"/>
  <c r="A24" i="1"/>
  <c r="A70" i="1"/>
  <c r="A71" i="1"/>
  <c r="A72" i="1"/>
  <c r="A59" i="1"/>
  <c r="A84" i="2" l="1"/>
</calcChain>
</file>

<file path=xl/sharedStrings.xml><?xml version="1.0" encoding="utf-8"?>
<sst xmlns="http://schemas.openxmlformats.org/spreadsheetml/2006/main" count="1214" uniqueCount="484">
  <si>
    <t>Description</t>
  </si>
  <si>
    <t>double</t>
  </si>
  <si>
    <t>length</t>
  </si>
  <si>
    <t>pressure</t>
  </si>
  <si>
    <t>string</t>
  </si>
  <si>
    <t>force</t>
  </si>
  <si>
    <t>force per volume</t>
  </si>
  <si>
    <t>Dictionary ID</t>
  </si>
  <si>
    <t>Name</t>
  </si>
  <si>
    <t>Authority</t>
  </si>
  <si>
    <t>dimensionless</t>
  </si>
  <si>
    <t>plane angle</t>
  </si>
  <si>
    <t>volume per volume</t>
  </si>
  <si>
    <t>Start</t>
  </si>
  <si>
    <t>DictionaryName</t>
  </si>
  <si>
    <t>area per time</t>
  </si>
  <si>
    <t>electric conductivity</t>
  </si>
  <si>
    <t>mass per volume</t>
  </si>
  <si>
    <t>force per force</t>
  </si>
  <si>
    <t>length per length</t>
  </si>
  <si>
    <t>electrical resistivity</t>
  </si>
  <si>
    <t>time per length</t>
  </si>
  <si>
    <t>thermodynamic temperature</t>
  </si>
  <si>
    <t>length per time</t>
  </si>
  <si>
    <t>electric potential difference</t>
  </si>
  <si>
    <t>time</t>
  </si>
  <si>
    <t>absorbed dose</t>
  </si>
  <si>
    <t>amount of substance</t>
  </si>
  <si>
    <t>amount of substance per amount of substance</t>
  </si>
  <si>
    <t>amount of substance per area</t>
  </si>
  <si>
    <t>amount of substance per time</t>
  </si>
  <si>
    <t>amount of substance per volume</t>
  </si>
  <si>
    <t>angle per length</t>
  </si>
  <si>
    <t>angle per volume</t>
  </si>
  <si>
    <t>angular acceleration</t>
  </si>
  <si>
    <t>angular velocity</t>
  </si>
  <si>
    <t>area</t>
  </si>
  <si>
    <t>area per amount of substance</t>
  </si>
  <si>
    <t>area per area</t>
  </si>
  <si>
    <t>area per mass</t>
  </si>
  <si>
    <t>area per volume</t>
  </si>
  <si>
    <t>attenuation per frequency interval</t>
  </si>
  <si>
    <t>capacitance</t>
  </si>
  <si>
    <t>data transfer speed</t>
  </si>
  <si>
    <t>diffusion coefficient</t>
  </si>
  <si>
    <t>digital storage</t>
  </si>
  <si>
    <t>dipole moment</t>
  </si>
  <si>
    <t>dose equivalent</t>
  </si>
  <si>
    <t>dynamic viscosity</t>
  </si>
  <si>
    <t>electric charge</t>
  </si>
  <si>
    <t>electric charge per area</t>
  </si>
  <si>
    <t>electric charge per mass</t>
  </si>
  <si>
    <t>electric charge per volume</t>
  </si>
  <si>
    <t>electric conductance</t>
  </si>
  <si>
    <t>electric current</t>
  </si>
  <si>
    <t>electric current density</t>
  </si>
  <si>
    <t>electric field strength</t>
  </si>
  <si>
    <t>electric resistance</t>
  </si>
  <si>
    <t>electric resistance per length</t>
  </si>
  <si>
    <t>electromagnetic moment</t>
  </si>
  <si>
    <t>energy</t>
  </si>
  <si>
    <t>energy length per area</t>
  </si>
  <si>
    <t>energy length per time area temperature</t>
  </si>
  <si>
    <t>energy per area</t>
  </si>
  <si>
    <t>energy per length</t>
  </si>
  <si>
    <t>energy per mass</t>
  </si>
  <si>
    <t>energy per volume</t>
  </si>
  <si>
    <t>force area</t>
  </si>
  <si>
    <t>force length per length</t>
  </si>
  <si>
    <t>force per length</t>
  </si>
  <si>
    <t>frequency</t>
  </si>
  <si>
    <t>frequency interval</t>
  </si>
  <si>
    <t>heat capacity</t>
  </si>
  <si>
    <t>heat flow rate</t>
  </si>
  <si>
    <t>heat transfer coefficient</t>
  </si>
  <si>
    <t>illuminance</t>
  </si>
  <si>
    <t>inductance</t>
  </si>
  <si>
    <t>isothermal compressibility</t>
  </si>
  <si>
    <t>kinematic viscosity</t>
  </si>
  <si>
    <t>length per mass</t>
  </si>
  <si>
    <t>length per pressure</t>
  </si>
  <si>
    <t>length per temperature</t>
  </si>
  <si>
    <t>length per volume</t>
  </si>
  <si>
    <t>light exposure</t>
  </si>
  <si>
    <t>linear acceleration</t>
  </si>
  <si>
    <t>linear thermal expansion</t>
  </si>
  <si>
    <t>logarithmic power ratio</t>
  </si>
  <si>
    <t>logarithmic power ratio per length</t>
  </si>
  <si>
    <t>luminance</t>
  </si>
  <si>
    <t>luminous efficacy</t>
  </si>
  <si>
    <t>luminous flux</t>
  </si>
  <si>
    <t>luminous intensity</t>
  </si>
  <si>
    <t>magnetic dipole moment</t>
  </si>
  <si>
    <t>magnetic field strength</t>
  </si>
  <si>
    <t>magnetic flux</t>
  </si>
  <si>
    <t>magnetic flux density</t>
  </si>
  <si>
    <t>magnetic flux density per length</t>
  </si>
  <si>
    <t>magnetic permeability</t>
  </si>
  <si>
    <t>magnetic vector potential</t>
  </si>
  <si>
    <t>mass</t>
  </si>
  <si>
    <t>mass length</t>
  </si>
  <si>
    <t>mass per area</t>
  </si>
  <si>
    <t>mass per energy</t>
  </si>
  <si>
    <t>mass per length</t>
  </si>
  <si>
    <t>mass per mass</t>
  </si>
  <si>
    <t>mass per time</t>
  </si>
  <si>
    <t>mobility</t>
  </si>
  <si>
    <t>molar energy</t>
  </si>
  <si>
    <t>molar heat capacity</t>
  </si>
  <si>
    <t>molar volume</t>
  </si>
  <si>
    <t>molecular weight</t>
  </si>
  <si>
    <t>moment of force</t>
  </si>
  <si>
    <t>moment of inertia</t>
  </si>
  <si>
    <t>momentum</t>
  </si>
  <si>
    <t>normalized power</t>
  </si>
  <si>
    <t>permeability length</t>
  </si>
  <si>
    <t>permeability rock</t>
  </si>
  <si>
    <t>permittivity</t>
  </si>
  <si>
    <t>potential difference per power drop</t>
  </si>
  <si>
    <t>power</t>
  </si>
  <si>
    <t>power per area</t>
  </si>
  <si>
    <t>power per power</t>
  </si>
  <si>
    <t>power per volume</t>
  </si>
  <si>
    <t>pressure per time</t>
  </si>
  <si>
    <t>pressure per volume</t>
  </si>
  <si>
    <t>pressure squared</t>
  </si>
  <si>
    <t>pressure time per volume</t>
  </si>
  <si>
    <t>quantity of light</t>
  </si>
  <si>
    <t>radiance</t>
  </si>
  <si>
    <t>radiant intensity</t>
  </si>
  <si>
    <t>reciprocal area</t>
  </si>
  <si>
    <t>reciprocal electric potential difference</t>
  </si>
  <si>
    <t>reciprocal force</t>
  </si>
  <si>
    <t>reciprocal length</t>
  </si>
  <si>
    <t>reciprocal mass</t>
  </si>
  <si>
    <t>reciprocal pressure</t>
  </si>
  <si>
    <t>reciprocal time</t>
  </si>
  <si>
    <t>reciprocal volume</t>
  </si>
  <si>
    <t>reluctance</t>
  </si>
  <si>
    <t>second moment of area</t>
  </si>
  <si>
    <t>signaling event per time</t>
  </si>
  <si>
    <t>solid angle</t>
  </si>
  <si>
    <t>specific heat capacity</t>
  </si>
  <si>
    <t>temperature interval</t>
  </si>
  <si>
    <t>temperature interval per length</t>
  </si>
  <si>
    <t>temperature interval per pressure</t>
  </si>
  <si>
    <t>temperature interval per time</t>
  </si>
  <si>
    <t>thermal conductance</t>
  </si>
  <si>
    <t>thermal conductivity</t>
  </si>
  <si>
    <t>thermal diffusivity</t>
  </si>
  <si>
    <t>thermal insulance</t>
  </si>
  <si>
    <t>thermal resistance</t>
  </si>
  <si>
    <t>time per mass</t>
  </si>
  <si>
    <t>time per time</t>
  </si>
  <si>
    <t>time per volume</t>
  </si>
  <si>
    <t>volume</t>
  </si>
  <si>
    <t>volume flow rate per volume flow rate</t>
  </si>
  <si>
    <t>volume per area</t>
  </si>
  <si>
    <t>volume per length</t>
  </si>
  <si>
    <t>volume per mass</t>
  </si>
  <si>
    <t>volume per pressure</t>
  </si>
  <si>
    <t>volume per rotation</t>
  </si>
  <si>
    <t>volume per time</t>
  </si>
  <si>
    <t>volumetric heat transfer coefficient</t>
  </si>
  <si>
    <t>volumetric thermal expansion</t>
  </si>
  <si>
    <t>DataType</t>
  </si>
  <si>
    <t>duration</t>
  </si>
  <si>
    <t>dateTime</t>
  </si>
  <si>
    <t>date</t>
  </si>
  <si>
    <t>gYearMonth</t>
  </si>
  <si>
    <t>gYear</t>
  </si>
  <si>
    <t>gMonthDay</t>
  </si>
  <si>
    <t>gDay</t>
  </si>
  <si>
    <t>gMonth</t>
  </si>
  <si>
    <t>boolean</t>
  </si>
  <si>
    <t>base64binary</t>
  </si>
  <si>
    <t>hexBinary</t>
  </si>
  <si>
    <t>float</t>
  </si>
  <si>
    <t>decimal</t>
  </si>
  <si>
    <t>anyURI</t>
  </si>
  <si>
    <t>integer</t>
  </si>
  <si>
    <t>nonPositiveInteger</t>
  </si>
  <si>
    <t>long</t>
  </si>
  <si>
    <t>nonNegativeInteger</t>
  </si>
  <si>
    <t>negativeInteger</t>
  </si>
  <si>
    <t>unsignedLong</t>
  </si>
  <si>
    <t>positiveInteger</t>
  </si>
  <si>
    <t>short</t>
  </si>
  <si>
    <t>unsignedInt</t>
  </si>
  <si>
    <t>byte</t>
  </si>
  <si>
    <t>unsignedShort</t>
  </si>
  <si>
    <t>unsignedByte</t>
  </si>
  <si>
    <t>normalizedString</t>
  </si>
  <si>
    <t>token</t>
  </si>
  <si>
    <t>api gamma ray</t>
  </si>
  <si>
    <t>api gravity</t>
  </si>
  <si>
    <t>api neutron</t>
  </si>
  <si>
    <t>pressure per pressure</t>
  </si>
  <si>
    <t>area per count</t>
  </si>
  <si>
    <t>diffusive time of flight</t>
  </si>
  <si>
    <t>thermodynamic temperature per thermodynamic temperature</t>
  </si>
  <si>
    <t>Leave this line blank</t>
  </si>
  <si>
    <t>Reference</t>
  </si>
  <si>
    <t>SourceElement</t>
  </si>
  <si>
    <t>ConditionalElement</t>
  </si>
  <si>
    <t>ID</t>
  </si>
  <si>
    <t>QuantityClass</t>
  </si>
  <si>
    <t>DataType2</t>
  </si>
  <si>
    <t>DictionaryFile</t>
  </si>
  <si>
    <t>vector</t>
  </si>
  <si>
    <t>language</t>
  </si>
  <si>
    <t>propertyClass</t>
  </si>
  <si>
    <t>DIGGS Measurement Properties for Geophysics</t>
  </si>
  <si>
    <t>This dictionary contains the values for the propertyClass property of the diggs:Property object and the measurand property of the diggs:Detector object when used within the Test feature, where thetesting procedure is a ProcessedGeophysicalsurvey or WirelineLog. These values serve to define the ultimate results of geophysical field measurements. The Xpaths to these occurrences are: 1) //diggs:Property/diggs:propertyClass.</t>
  </si>
  <si>
    <t>acoustic_impedance</t>
  </si>
  <si>
    <t>Acoustic Impedence</t>
  </si>
  <si>
    <t xml:space="preserve">The resistance to the propagation of ultrasound waves through a medium. </t>
  </si>
  <si>
    <t>anomaly_bouguer</t>
  </si>
  <si>
    <t>Bouguer Anomaly</t>
  </si>
  <si>
    <t>A gravity anomaly, corrected for the height at which it is measured and the attraction of terrain. The height correction alone gives a free-air gravity anomaly.</t>
  </si>
  <si>
    <t>anomaly_free_air</t>
  </si>
  <si>
    <t>Free Air Anamoly</t>
  </si>
  <si>
    <t>The measured gravity anomaly after a free-air correction is applied to account for the elevation at which a measurement is made. It does so by adjusting these measurements of gravity to what would have been measured at a reference level, which is commonly taken as mean sea level or the geoid.</t>
  </si>
  <si>
    <t>attenuation</t>
  </si>
  <si>
    <t>Attenuation</t>
  </si>
  <si>
    <t>The reduction of the amplitude of a signal, electric current, or other oscillation during propagation.</t>
  </si>
  <si>
    <t>borehole_diameter</t>
  </si>
  <si>
    <t>Borehole Diameter</t>
  </si>
  <si>
    <t>The distance measured across an open borehole.</t>
  </si>
  <si>
    <t>bulk_density</t>
  </si>
  <si>
    <t>Density, Bulk (Natural)</t>
  </si>
  <si>
    <t>Total mass (of solids and water) divided by total volume of material, representing natural conditions</t>
  </si>
  <si>
    <t>Capacitance</t>
  </si>
  <si>
    <t>The measured capacitance which is the ratio of delta charge and delta potential</t>
  </si>
  <si>
    <t>compressional_slowness</t>
  </si>
  <si>
    <t>Compressional Slowness</t>
  </si>
  <si>
    <t>The time it takes for a compressional wave to traverse a fixed distance. The reciprocal of p_wave_velocity.</t>
  </si>
  <si>
    <t>conductivity</t>
  </si>
  <si>
    <t>Electrical Conductivity</t>
  </si>
  <si>
    <t>A measure of the ability of a specified material to pass an electric current.</t>
  </si>
  <si>
    <t>dielectric_constant</t>
  </si>
  <si>
    <t>Dielectric Constant</t>
  </si>
  <si>
    <t>The ratio of the permittivity of the medium to the permittivity of the free space</t>
  </si>
  <si>
    <t>dielectric_permittivity</t>
  </si>
  <si>
    <t>The ability of a medium to hold an electric charge.</t>
  </si>
  <si>
    <t>electric_field_x</t>
  </si>
  <si>
    <t>X Component of Electric Field</t>
  </si>
  <si>
    <t>The x component of an electric field.</t>
  </si>
  <si>
    <t>electric_field_y</t>
  </si>
  <si>
    <t>Y Component of Electric Field</t>
  </si>
  <si>
    <t>The y component of an electric field.</t>
  </si>
  <si>
    <t>electric_field_z</t>
  </si>
  <si>
    <t>Z Component of Electric Field</t>
  </si>
  <si>
    <t>The z component of an electric field.</t>
  </si>
  <si>
    <t>em_velocity</t>
  </si>
  <si>
    <t>Electromagnetic Velocity</t>
  </si>
  <si>
    <t>The velocity of electromagnetic wave propagation through a medium.</t>
  </si>
  <si>
    <t>flow_velocity</t>
  </si>
  <si>
    <t>Flow Velocity</t>
  </si>
  <si>
    <t>The rate of vertical flow of a fluid  within a borehole.</t>
  </si>
  <si>
    <t>gamma_ray</t>
  </si>
  <si>
    <t>Gamma Ray</t>
  </si>
  <si>
    <t>The intensity of natural gamma-ray radiation emitted from formations containing radioactive elements, such as Potassium, Thorium, and Uranium. Measured according to API specifications or as counts per time</t>
  </si>
  <si>
    <t>API gamma ray</t>
  </si>
  <si>
    <t>gravity_absolute</t>
  </si>
  <si>
    <t>Absolute Gravitational Field Strength</t>
  </si>
  <si>
    <t>The acceleration due to gravity (weight/mass) measured in absolute terms.</t>
  </si>
  <si>
    <t>gravity_gradient</t>
  </si>
  <si>
    <t>Gravity Gradient</t>
  </si>
  <si>
    <t>The gradient in the gravitational forces acting on different parts of a nonspherical object.</t>
  </si>
  <si>
    <t>gravity_relative</t>
  </si>
  <si>
    <t>Relative Gravitational Field Strength</t>
  </si>
  <si>
    <t>The acceleration due to gravity (weight/mass) measured measured relative to some absolute value.</t>
  </si>
  <si>
    <t>in_phase_x</t>
  </si>
  <si>
    <t>X Component of In Phase</t>
  </si>
  <si>
    <t>the x component of the in-phase wave component.</t>
  </si>
  <si>
    <t>in_phase_y</t>
  </si>
  <si>
    <t>Y Component of In Phase</t>
  </si>
  <si>
    <t>the y component of the in-phase wave component.</t>
  </si>
  <si>
    <t>larmor_frequency</t>
  </si>
  <si>
    <t>Larmor Frequency</t>
  </si>
  <si>
    <t>The hydrogen proton excitation from specific magnetic field frequency based on Earth's field.</t>
  </si>
  <si>
    <t>mag_permeability</t>
  </si>
  <si>
    <t>Magnetic Permeability</t>
  </si>
  <si>
    <t>The ratio of the flux density to the magnetic field strength.</t>
  </si>
  <si>
    <t>magnetic_field_gradient</t>
  </si>
  <si>
    <t>Magnetic Field Gradient</t>
  </si>
  <si>
    <t>The magnetic field gradient.</t>
  </si>
  <si>
    <t>magnetic_field_total</t>
  </si>
  <si>
    <t>Total Field Strength</t>
  </si>
  <si>
    <t>Total strength of the magnetic field.</t>
  </si>
  <si>
    <t>magnetic_field_x</t>
  </si>
  <si>
    <t>X Component of Magnetic Field Strength</t>
  </si>
  <si>
    <t>The x component of a magnetic field.</t>
  </si>
  <si>
    <t>magnetic_field_y</t>
  </si>
  <si>
    <t>Y Component of Magnetic Field Strength</t>
  </si>
  <si>
    <t>The y component of a magnetic field.</t>
  </si>
  <si>
    <t>magnetic_field_z</t>
  </si>
  <si>
    <t>Z Component of Magnetic Field Strength</t>
  </si>
  <si>
    <t>The z component of a magnetic field.</t>
  </si>
  <si>
    <t>magnetic_susceptibility</t>
  </si>
  <si>
    <t>Magnetic Susceptibility</t>
  </si>
  <si>
    <t>The degree to which a material becomes magnetized in response to an applied magnetic field.</t>
  </si>
  <si>
    <t>modulus_bulk</t>
  </si>
  <si>
    <t>Bulk Modulus</t>
  </si>
  <si>
    <t>Bulk modulus, denoted by K or B, is defined as a measure of how resistant to compression a substance is.</t>
  </si>
  <si>
    <t>modulus_shear</t>
  </si>
  <si>
    <t>Shear Modulus</t>
  </si>
  <si>
    <t>Shear modulus, denoted by G, is defined as the ratio of shear stress to the shear strain.</t>
  </si>
  <si>
    <t>modulus_youngs</t>
  </si>
  <si>
    <t>Young's Modulus</t>
  </si>
  <si>
    <t>The tangent modulus of the initial, linear portion of a stress-strain curve for material in axial compression or tension is called Young's modulus, also known as the tensile (compression) modulus. It is defined as the ratio of the uniaxial stress over the uniaxial strain in the range of stress in which Hooke's Law holds.  It is often calculated using theory of elasticity from other tests.</t>
  </si>
  <si>
    <t>number_beta_particles</t>
  </si>
  <si>
    <t>Number of Beta Particles</t>
  </si>
  <si>
    <t>The amount of detected beta particles in a given time.</t>
  </si>
  <si>
    <t>number_gamma_particles</t>
  </si>
  <si>
    <t>Number of Gamma Particles</t>
  </si>
  <si>
    <t>The amount of detected gamma particles in a given time.</t>
  </si>
  <si>
    <t>p_wave_velocity</t>
  </si>
  <si>
    <t>Primary Compression Wave Velocity</t>
  </si>
  <si>
    <t>The velocity of a p-wave (Vp). P-waves (primary waves) are compressional waves that are longitudinal in nature.</t>
  </si>
  <si>
    <t>poisson_ratio</t>
  </si>
  <si>
    <t>Poisson Ratio</t>
  </si>
  <si>
    <t>Ratio of the transverse contraction of a body to its longitudinal extension when stretched. Typical values in minerals are from 0.15 to 0.3 (Carbonates:0.15, Sandstones:0.2, Shales:0.25).</t>
  </si>
  <si>
    <t>electrodiffusion_potential</t>
  </si>
  <si>
    <t>Electrodiffusion Potential</t>
  </si>
  <si>
    <t>A measure of transient background potentials that come from the difference in electrolyte mobilities within porous media</t>
  </si>
  <si>
    <t>electric_potential</t>
  </si>
  <si>
    <t>Electric Potential</t>
  </si>
  <si>
    <t xml:space="preserve">A measure of the amount of work energy needed per unit of electric charge to move the charge from a reference point to a specific point in an electric field. </t>
  </si>
  <si>
    <t>kinetic_potential</t>
  </si>
  <si>
    <t>Electrokinetic Potential</t>
  </si>
  <si>
    <t>A measure of the potential that forms from electrolytes flowing through a porous medium</t>
  </si>
  <si>
    <t>mineral_potential</t>
  </si>
  <si>
    <t>Mineral Potential</t>
  </si>
  <si>
    <t>A measure of the potential from mineral deposit sources</t>
  </si>
  <si>
    <t>nerst_potential</t>
  </si>
  <si>
    <t>Nerst Potential</t>
  </si>
  <si>
    <t>The potential difference between two electrodes immersed in a homogeonous medium in which local concentration differ</t>
  </si>
  <si>
    <t>redox_potential</t>
  </si>
  <si>
    <t>Redox Potential</t>
  </si>
  <si>
    <t xml:space="preserve">A measure of the ability of chemical/biochemical systems to oxidize (lose electrons) or reduce (gain electrons). </t>
  </si>
  <si>
    <t>quadrature_x</t>
  </si>
  <si>
    <t xml:space="preserve">X Component Of Quadrature </t>
  </si>
  <si>
    <t>The x component of the quadrature component (90 degrees out of phase) of transmitted EM energy.</t>
  </si>
  <si>
    <t>quadrature_y</t>
  </si>
  <si>
    <t xml:space="preserve">Y Component Of Quadrature </t>
  </si>
  <si>
    <t>The y component of the quadrature component (90 degrees out of phase) of transmitted EM energy.</t>
  </si>
  <si>
    <t>radiation_energy</t>
  </si>
  <si>
    <t>Radiation Energy</t>
  </si>
  <si>
    <t>Radiant energy emitted by radioactive source</t>
  </si>
  <si>
    <t>reflection_coefficient</t>
  </si>
  <si>
    <t>Reflection Coefficient</t>
  </si>
  <si>
    <t>the ratio of amplitude of the reflected wave to the incident wave</t>
  </si>
  <si>
    <t>resistance</t>
  </si>
  <si>
    <t>Electrical Resistance</t>
  </si>
  <si>
    <t>The property by which a conductor opposes the flow of electrons, precisely electric current. It is the ratio of voltage to the electric current applied on an electronic device. Resistance is a physical property of the material, and hence, it depends upon the material type. It also depends upon the length and cross-sectional area of the material to which the current is applied. For a material, resistance is proportional to the length and inversely proportional to its cross-sectional area.</t>
  </si>
  <si>
    <t>resistivity</t>
  </si>
  <si>
    <t>Electrical Resistivity</t>
  </si>
  <si>
    <t>The resisting property of the material when the current is applied through it and is defined as the resistance per unit length for a unit cross-section of material. Resistivity is directly proportional to temperature.</t>
  </si>
  <si>
    <t>resistivity_app</t>
  </si>
  <si>
    <t>Apparent Resistivity</t>
  </si>
  <si>
    <t>Resistivity between electrodes.</t>
  </si>
  <si>
    <t>shear_slowness</t>
  </si>
  <si>
    <t>Shear Slowness</t>
  </si>
  <si>
    <t>Acoustic slowness of a shear wave (Vs); reciprocal of Shear_Velocity; a shear wave is a type of seismic wave in which the particle motion is perpendicular to the direction of propagation; also called S-wave or secondary wave.</t>
  </si>
  <si>
    <t>shear_velocity</t>
  </si>
  <si>
    <t>Shear Velocity</t>
  </si>
  <si>
    <t>The velocity of a shear wave (Vs); a shear wave is a type of seismic wave in which the particle motion is perpendicular to the direction of propagation in a horizontal plane ; also called S-wave or secondary wave.</t>
  </si>
  <si>
    <t>sonic_porosity</t>
  </si>
  <si>
    <t>Sonic Porosity</t>
  </si>
  <si>
    <t>A measure of porosity (defined as the percentage of empty space within a medium) made by comparing the velocity measued by an acoustic logging tool to velocities of the soil/rock matrix and borehole fluid.</t>
  </si>
  <si>
    <t>spontaneous_potential</t>
  </si>
  <si>
    <t>Spontaneous Potential</t>
  </si>
  <si>
    <t>Also called self potential, is a naturally occurring electric potential difference in the Earth, measured by an electrode relative to a fixed reference electrode. Spontaneous potentials are usually caused by charge separation in clay or other minerals, due to presence of semi-permeable interface impeding the diffusion of ions through the pore space of rocks, or by natural flow of a conducting fluid through the rocks.</t>
  </si>
  <si>
    <t>t1</t>
  </si>
  <si>
    <t>T1 Time Constant</t>
  </si>
  <si>
    <t>The time constant for regrowth of longitudinal magnetization (Mz)</t>
  </si>
  <si>
    <t>t1_relaxation</t>
  </si>
  <si>
    <t>Longitudinal (Spin-Lattice) Relaxation</t>
  </si>
  <si>
    <t xml:space="preserve">The time required for the z-component of M to reach (1 − 1/e) or about 63% of its maximum value (Mo). </t>
  </si>
  <si>
    <t>t2</t>
  </si>
  <si>
    <t>T2 Time Constant</t>
  </si>
  <si>
    <t>The time constant for decay/dephasing of transverse magnetization (Mxy)</t>
  </si>
  <si>
    <t>t2_relaxation</t>
  </si>
  <si>
    <t>Transverse (Spin-Spin) Relaxation</t>
  </si>
  <si>
    <t>The time required for the transverse magnetization to fall to approximately 37% (1/e) of its initial value.</t>
  </si>
  <si>
    <t>temperature</t>
  </si>
  <si>
    <t>Temperature</t>
  </si>
  <si>
    <t>The measure of hotness or coldness,.</t>
  </si>
  <si>
    <t>tension</t>
  </si>
  <si>
    <t>Tension</t>
  </si>
  <si>
    <t>The force tending to cause extension of a body, as experienced in a cable, rope, string, etc.</t>
  </si>
  <si>
    <t>tensor_impedance_x</t>
  </si>
  <si>
    <t>X Component of Tensor Impedance</t>
  </si>
  <si>
    <t>The x component of the magnetotelluric impedence tensor.</t>
  </si>
  <si>
    <t>tensor_impedance_y</t>
  </si>
  <si>
    <t>Y Component of Tensor Impedance</t>
  </si>
  <si>
    <t>The y component of the magnetotelluric impedence tensor.</t>
  </si>
  <si>
    <t>tensor_impedance_z</t>
  </si>
  <si>
    <t>Z Component of Tensor Impedance</t>
  </si>
  <si>
    <t>The z component of the magnetotelluric impedence tensor.</t>
  </si>
  <si>
    <t>tube_wave_velocity</t>
  </si>
  <si>
    <t>Tube Wave Velocity</t>
  </si>
  <si>
    <t>Wave velocity that propagates along a steel-cased borehole</t>
  </si>
  <si>
    <t>wall_amp</t>
  </si>
  <si>
    <t>Borehole Wall Amplitude</t>
  </si>
  <si>
    <t>amplitude of borehole wall signals</t>
  </si>
  <si>
    <t>wall_image_r</t>
  </si>
  <si>
    <t>Image R value</t>
  </si>
  <si>
    <t>Borehole wall color image R pixel value</t>
  </si>
  <si>
    <t>wall_image_g</t>
  </si>
  <si>
    <t>Image G value</t>
  </si>
  <si>
    <t>Borehole wall color image G pixel value</t>
  </si>
  <si>
    <t>wall_image_b</t>
  </si>
  <si>
    <t>Image B value</t>
  </si>
  <si>
    <t>Borehole wall color image B pixel value</t>
  </si>
  <si>
    <t>wall_time</t>
  </si>
  <si>
    <t>Borehole Wall Travel Time</t>
  </si>
  <si>
    <t>The  two-way time required for a sesimic wave to travel from the source to the borehole wall</t>
  </si>
  <si>
    <t>gp_properties</t>
  </si>
  <si>
    <t>//diggs:Property/diggs:propertyClass</t>
  </si>
  <si>
    <t>Dielectric Permittivity</t>
  </si>
  <si>
    <t>ancestor::diggs:measurement//diggs:procedure/diggs_geo:WirelineLog</t>
  </si>
  <si>
    <t>ancestor::diggs:measurement//diggs:procedure/diggs:WirelineLog</t>
  </si>
  <si>
    <t>ancestor::diggs:measurement//diggs:procedure/diggs:GeophysicalProcessing/diggs:geophysicalMethod[text()="borehole image log"]</t>
  </si>
  <si>
    <t>ancestor::diggs:measurement//diggs:procedure/diggs:GeophysicalProcessing/diggs:geophysicalMethod[text()="electrical resistivity (ERI/ERT)"]</t>
  </si>
  <si>
    <t>ancestor::diggs:measurement//diggs:procedure/diggs:GeophysicalProcessing/diggs:geophysicalMethod[text()="frequency domain EM (FDEM)"]</t>
  </si>
  <si>
    <t>ancestor::diggs:measurement//diggs:procedure/diggs:GeophysicalProcessing/diggs:geophysicalMethod[text()="gravity"]</t>
  </si>
  <si>
    <t>ancestor::diggs:measurement//diggs:procedure/diggs:GeophysicalProcessing/diggs:geophysicalMethod[text()="ground penetrating radar (GPR)"]</t>
  </si>
  <si>
    <t>ancestor::diggs:measurement//diggs:procedure/diggs:GeophysicalProcessing/diggs:geophysicalMethod[text()="induced polarization (IP)"]</t>
  </si>
  <si>
    <t>ancestor::diggs:measurement//diggs:procedure/diggs:GeophysicalProcessing/diggs:geophysicalMethod[text()="magneotellurics (MT)"]</t>
  </si>
  <si>
    <t>ancestor::diggs:measurement//diggs:procedure/diggs:GeophysicalProcessing/diggs:geophysicalMethod[text()="magnetometry"]</t>
  </si>
  <si>
    <t>ancestor::diggs:measurement//diggs:procedure/diggs:GeophysicalProcessing/diggs:geophysicalMethod[text()="MASW - active"]</t>
  </si>
  <si>
    <t>ancestor::diggs:measurement//diggs:procedure/diggs:GeophysicalProcessing/diggs:geophysicalMethod[text()="MASW - passive"]</t>
  </si>
  <si>
    <t>ancestor::diggs:measurement//diggs:procedure/diggs:GeophysicalProcessing/diggs:geophysicalMethod[text()="nuclear magnetic resonance (NMR)"]</t>
  </si>
  <si>
    <t>ancestor::diggs:measurement//diggs:procedure/diggs:GeophysicalProcessing/diggs:geophysicalMethod[text()="radiometric"]</t>
  </si>
  <si>
    <t>ancestor::diggs:measurement//diggs:procedure/diggs:GeophysicalProcessing/diggs:geophysicalMethod[text()="seismic reflection"]</t>
  </si>
  <si>
    <t>ancestor::diggs:measurement//diggs:procedure/diggs:GeophysicalProcessing/diggs:geophysicalMethod[text()="seismic refraction"]</t>
  </si>
  <si>
    <t>ancestor::diggs:measurement//diggs:procedure/diggs:GeophysicalProcessing/diggs:geophysicalMethod[text()="self-potential (SP)"]</t>
  </si>
  <si>
    <t>ancestor::diggs:measurement//diggs:procedure/diggs:GeophysicalProcessing/diggs:geophysicalMethod[text()="time-domain EM (TEM)"]</t>
  </si>
  <si>
    <t>ancestor::diggs:measurement//diggs:procedure/diggs:GeophysicalProcessing/diggs:geophysicalMethod[text()="VLF EM"]</t>
  </si>
  <si>
    <t>gravitational gradient</t>
  </si>
  <si>
    <t>relative rate</t>
  </si>
  <si>
    <t>force or mass per volume</t>
  </si>
  <si>
    <t>amount of substance per mass</t>
  </si>
  <si>
    <t>use for cation exchange capacity</t>
  </si>
  <si>
    <t>use for strain rate</t>
  </si>
  <si>
    <t>use for geotechnical densities</t>
  </si>
  <si>
    <t>reciprocal (mass time)</t>
  </si>
  <si>
    <t>activity [of radioactivity]</t>
  </si>
  <si>
    <t>(volume per time) per volume</t>
  </si>
  <si>
    <t>(volume per time) per area</t>
  </si>
  <si>
    <t>(volume per time) per length</t>
  </si>
  <si>
    <t>(energy per mass) per time</t>
  </si>
  <si>
    <t>(volume per time) per time</t>
  </si>
  <si>
    <t>(volume per time) per (pressure length)</t>
  </si>
  <si>
    <t>(volume per time) length</t>
  </si>
  <si>
    <t>(volume per time) per pressure</t>
  </si>
  <si>
    <t>(mass per time) per area</t>
  </si>
  <si>
    <t>(mass per volume) per length</t>
  </si>
  <si>
    <t>(mass per time) per length</t>
  </si>
  <si>
    <t>pressure squared per (force time per area)</t>
  </si>
  <si>
    <t>(amount of substance per time) per area</t>
  </si>
  <si>
    <t>API gravity</t>
  </si>
  <si>
    <t>API neutron</t>
  </si>
  <si>
    <t>Column1</t>
  </si>
  <si>
    <t>reciprocal time(0.5)</t>
  </si>
  <si>
    <t>In EML schema but not in EML dictionary</t>
  </si>
  <si>
    <t>use for gravity gradients</t>
  </si>
  <si>
    <t>(mass per volume) per pressure</t>
  </si>
  <si>
    <t>(mass per volume) per temperature</t>
  </si>
  <si>
    <t>used for pressure filtration</t>
  </si>
  <si>
    <t>volume or mass loss</t>
  </si>
  <si>
    <t>TT</t>
  </si>
  <si>
    <t>Travel Time</t>
  </si>
  <si>
    <t>Two-way Travel Time</t>
  </si>
  <si>
    <t>the total elapsed time required for seismic energy (such as P-waves or S-waves) to propagate from a source (e.g., an earthquake focus or a seismic explosion) to a receiver (seismograph or geophone).</t>
  </si>
  <si>
    <t>The total elapsed time it takes for a seismic wave or electromagnetic pulse to travel from a source (e.g., a seismic vibrator or air gun) down to a subsurface reflector or geological interface and return to a receiver (geophone or hydrophone) at the Earth's surface.</t>
  </si>
  <si>
    <t>TWT</t>
  </si>
  <si>
    <t>ancestor::diggs:measurement//diggs:procedure/diggs:GeophysicalProcessing/diggs:geophysicalMethod[text()="borehole crosshole seismic"]</t>
  </si>
  <si>
    <t>ancestor::diggs:measurement//diggs:procedure/diggs:GeophysicalProcessing/diggs:geophysicalMethod[text()="borehole seismic downhole source"]</t>
  </si>
  <si>
    <t>ancestor::diggs:measurement//diggs:procedure/diggs:GeophysicalProcessing/diggs:geophysicalMethod[text()="borehole seismic surface source"]</t>
  </si>
  <si>
    <t xml:space="preserve"> double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</si>
</sst>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2"/>
      <color theme="0"/>
      <name val="Calibri"/>
      <family val="2"/>
      <scheme val="minor"/>
    </font>
    <font>
      <sz val="12"/>
      <color theme="0"/>
      <name val="Calibri"/>
      <family val="2"/>
      <scheme val="minor"/>
    </font>
    <font>
      <b/>
      <sz val="10"/>
      <color theme="0"/>
      <name val="Verdana"/>
      <family val="2"/>
    </font>
    <font>
      <sz val="12"/>
      <color rgb="FF000000"/>
      <name val="Helvetica"/>
      <family val="2"/>
    </font>
    <font>
      <sz val="12"/>
      <color rgb="FF003296"/>
      <name val="Helvetica"/>
      <family val="2"/>
    </font>
    <font>
      <b/>
      <sz val="12"/>
      <color rgb="FFFFFFFF"/>
      <name val="Calibri"/>
      <family val="2"/>
      <scheme val="minor"/>
    </font>
    <font>
      <sz val="12"/>
      <color rgb="FFC00000"/>
      <name val="Calibri"/>
      <family val="2"/>
      <scheme val="minor"/>
    </font>
  </fonts>
  <fills count="4">
    <fill>
      <patternFill patternType="none"/>
    </fill>
    <fill>
      <patternFill patternType="gray125"/>
    </fill>
    <fill>
      <patternFill patternType="solid">
        <fgColor rgb="FF4472C4"/>
        <bgColor rgb="FF4472C4"/>
      </patternFill>
    </fill>
    <fill>
      <patternFill patternType="solid">
        <fgColor rgb="FFDBE5F1"/>
        <bgColor indexed="64"/>
      </patternFill>
    </fill>
  </fills>
  <borders count="6">
    <border>
      <left/>
      <right/>
      <top/>
      <bottom/>
      <diagonal/>
    </border>
    <border>
      <left style="thin">
        <color rgb="FFFFFFFF"/>
      </left>
      <right style="thin">
        <color rgb="FFFFFFFF"/>
      </right>
      <top/>
      <bottom style="thick">
        <color rgb="FFFFFFFF"/>
      </bottom>
      <diagonal/>
    </border>
    <border>
      <left/>
      <right style="thin">
        <color rgb="FFFFFFFF"/>
      </right>
      <top/>
      <bottom style="thin">
        <color rgb="FFFFFFFF"/>
      </bottom>
      <diagonal/>
    </border>
    <border>
      <left/>
      <right style="thin">
        <color rgb="FFFFFFFF"/>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11">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25">
    <xf numFmtId="0" fontId="0" fillId="0" borderId="0" xfId="0"/>
    <xf numFmtId="0" fontId="1" fillId="0" borderId="0" xfId="0" applyFont="1" applyAlignment="1">
      <alignment vertical="center" wrapText="1"/>
    </xf>
    <xf numFmtId="0" fontId="0" fillId="0" borderId="0" xfId="0" applyAlignment="1">
      <alignment vertical="center" wrapText="1"/>
    </xf>
    <xf numFmtId="0" fontId="4" fillId="0" borderId="0" xfId="0" applyFont="1"/>
    <xf numFmtId="0" fontId="7" fillId="0" borderId="0" xfId="0" applyFont="1"/>
    <xf numFmtId="0" fontId="5" fillId="0" borderId="0" xfId="0" applyFont="1"/>
    <xf numFmtId="0" fontId="6" fillId="0" borderId="0" xfId="0" applyFont="1"/>
    <xf numFmtId="0" fontId="9" fillId="0" borderId="0" xfId="0" applyFont="1"/>
    <xf numFmtId="0" fontId="8" fillId="0" borderId="0" xfId="0" applyFont="1"/>
    <xf numFmtId="0" fontId="11" fillId="0" borderId="0" xfId="0" applyFont="1"/>
    <xf numFmtId="0" fontId="0" fillId="0" borderId="0" xfId="0" applyAlignment="1">
      <alignment wrapText="1"/>
    </xf>
    <xf numFmtId="0" fontId="4" fillId="0" borderId="0" xfId="0" applyFont="1" applyAlignment="1">
      <alignment horizontal="left" vertical="center"/>
    </xf>
    <xf numFmtId="0" fontId="1" fillId="0" borderId="0" xfId="0" applyFont="1" applyAlignment="1">
      <alignment wrapText="1"/>
    </xf>
    <xf numFmtId="0" fontId="10" fillId="2" borderId="1" xfId="0" applyFont="1" applyFill="1" applyBorder="1" applyAlignment="1">
      <alignment wrapText="1"/>
    </xf>
    <xf numFmtId="0" fontId="0" fillId="0" borderId="0" xfId="0" applyAlignment="1">
      <alignment vertical="center"/>
    </xf>
    <xf numFmtId="0" fontId="0" fillId="0" borderId="0" xfId="0" applyAlignment="1">
      <alignment horizontal="left" vertical="center" wrapText="1"/>
    </xf>
    <xf numFmtId="0" fontId="4" fillId="3" borderId="3" xfId="0" applyFont="1" applyFill="1" applyBorder="1" applyAlignment="1">
      <alignment horizontal="left" vertical="top" wrapText="1"/>
    </xf>
    <xf numFmtId="0" fontId="4" fillId="3" borderId="2" xfId="0" applyFont="1" applyFill="1" applyBorder="1" applyAlignment="1">
      <alignment horizontal="left" vertical="top" wrapText="1"/>
    </xf>
    <xf numFmtId="0" fontId="4" fillId="0" borderId="0" xfId="0" applyFont="1" applyAlignment="1">
      <alignment vertical="center"/>
    </xf>
    <xf numFmtId="0" fontId="0" fillId="0" borderId="4" xfId="0" applyFill="1" applyBorder="1"/>
    <xf numFmtId="0" fontId="0" fillId="0" borderId="5" xfId="0" applyFill="1" applyBorder="1"/>
    <xf numFmtId="0" fontId="0" fillId="0" borderId="0" xfId="0" applyNumberFormat="1" applyAlignment="1">
      <alignment vertical="center" wrapText="1"/>
    </xf>
    <xf numFmtId="0" fontId="0" fillId="0" borderId="0" xfId="0" applyNumberFormat="1" applyFill="1" applyAlignment="1"/>
    <xf numFmtId="0" fontId="0" fillId="0" borderId="0" xfId="0" applyFill="1" applyAlignment="1">
      <alignment wrapText="1"/>
    </xf>
    <xf numFmtId="0" fontId="0" fillId="3" borderId="3" xfId="0" applyFill="1" applyBorder="1" applyAlignment="1">
      <alignment horizontal="left" vertical="top" wrapText="1"/>
    </xf>
  </cellXfs>
  <cellStyles count="11">
    <cellStyle name="Followed Hyperlink" xfId="2" builtinId="9" hidden="1"/>
    <cellStyle name="Followed Hyperlink" xfId="4" builtinId="9" hidden="1"/>
    <cellStyle name="Followed Hyperlink" xfId="6" builtinId="9" hidden="1"/>
    <cellStyle name="Followed Hyperlink" xfId="8" builtinId="9" hidden="1"/>
    <cellStyle name="Followed Hyperlink" xfId="9" builtinId="9" hidden="1"/>
    <cellStyle name="Followed Hyperlink" xfId="10" builtinId="9" hidden="1"/>
    <cellStyle name="Hyperlink" xfId="1" builtinId="8" hidden="1"/>
    <cellStyle name="Hyperlink" xfId="3" builtinId="8" hidden="1"/>
    <cellStyle name="Hyperlink" xfId="5" builtinId="8" hidden="1"/>
    <cellStyle name="Hyperlink" xfId="7" builtinId="8" hidden="1"/>
    <cellStyle name="Normal" xfId="0" builtinId="0"/>
  </cellStyles>
  <dxfs count="22">
    <dxf>
      <numFmt numFmtId="0" formatCode="General"/>
    </dxf>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1" indent="0" justifyLastLine="0" shrinkToFit="0" readingOrder="0"/>
    </dxf>
    <dxf>
      <numFmt numFmtId="0" formatCode="General"/>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color theme="0"/>
      </font>
    </dxf>
    <dxf>
      <alignment horizontal="general" vertical="center" textRotation="0" wrapText="1" indent="0" justifyLastLine="0" shrinkToFit="0" readingOrder="0"/>
    </dxf>
    <dxf>
      <font>
        <color auto="1"/>
      </font>
      <alignment horizontal="left" vertical="center" textRotation="0" wrapText="0" indent="0" justifyLastLine="0" shrinkToFit="0" readingOrder="0"/>
    </dxf>
    <dxf>
      <alignment horizontal="general" vertical="center" textRotation="0" wrapText="1" indent="0" justifyLastLine="0" shrinkToFit="0" readingOrder="0"/>
    </dxf>
    <dxf>
      <font>
        <color auto="1"/>
      </font>
      <alignment horizontal="general" vertical="center" textRotation="0" wrapText="0" indent="0" justifyLastLine="0" shrinkToFit="0" readingOrder="0"/>
    </dxf>
    <dxf>
      <font>
        <strike val="0"/>
        <outline val="0"/>
        <shadow val="0"/>
        <u val="none"/>
        <vertAlign val="baseline"/>
        <sz val="12"/>
        <color auto="1"/>
        <name val="Calibri"/>
        <scheme val="minor"/>
      </font>
      <fill>
        <patternFill patternType="solid">
          <fgColor indexed="64"/>
          <bgColor rgb="FFDBE5F1"/>
        </patternFill>
      </fill>
      <alignment horizontal="left" vertical="top" textRotation="0" wrapText="1" indent="0" justifyLastLine="0" shrinkToFit="0" readingOrder="0"/>
      <border diagonalUp="0" diagonalDown="0">
        <left/>
        <right style="thin">
          <color rgb="FFFFFFFF"/>
        </right>
        <top/>
        <bottom style="thin">
          <color rgb="FFFFFFFF"/>
        </bottom>
        <vertical/>
        <horizontal/>
      </border>
    </dxf>
    <dxf>
      <font>
        <color auto="1"/>
      </font>
      <fill>
        <patternFill patternType="solid">
          <fgColor indexed="64"/>
          <bgColor rgb="FFDBE5F1"/>
        </patternFill>
      </fill>
      <alignment horizontal="left" vertical="top" textRotation="0" wrapText="1" indent="0" justifyLastLine="0" shrinkToFit="0" readingOrder="0"/>
      <border diagonalUp="0" diagonalDown="0">
        <left/>
        <right style="thin">
          <color rgb="FFFFFFFF"/>
        </right>
        <top/>
        <bottom style="thin">
          <color rgb="FFFFFFFF"/>
        </bottom>
        <vertical/>
        <horizontal/>
      </border>
    </dxf>
    <dxf>
      <alignment horizontal="left"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2"/>
        <color theme="1"/>
        <name val="Calibri"/>
        <scheme val="minor"/>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2"/>
        <color theme="1"/>
        <name val="Calibri"/>
        <scheme val="minor"/>
      </font>
      <alignment horizontal="general" textRotation="0" wrapText="1" indent="0" justifyLastLine="0" shrinkToFit="0" readingOrder="0"/>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DictionaryName" displayName="DictionaryName" ref="A1:E3" totalsRowShown="0" headerRowDxfId="21" dataDxfId="20">
  <autoFilter ref="A1:E3" xr:uid="{00000000-0009-0000-0100-000002000000}"/>
  <tableColumns count="5">
    <tableColumn id="1" xr3:uid="{00000000-0010-0000-0000-000001000000}" name="Start" dataDxfId="19"/>
    <tableColumn id="4" xr3:uid="{00000000-0010-0000-0000-000004000000}" name="Dictionary ID" dataDxfId="18"/>
    <tableColumn id="5" xr3:uid="{00000000-0010-0000-0000-000005000000}" name="DictionaryFile" dataDxfId="17"/>
    <tableColumn id="2" xr3:uid="{00000000-0010-0000-0000-000002000000}" name="DictionaryName" dataDxfId="16"/>
    <tableColumn id="3" xr3:uid="{00000000-0010-0000-0000-000003000000}" name="Description" dataDxfId="1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efinitions" displayName="Definitions" ref="A1:H72" totalsRowShown="0" headerRowDxfId="14" dataDxfId="13">
  <autoFilter ref="A1:H72" xr:uid="{00000000-0009-0000-0100-000001000000}"/>
  <sortState xmlns:xlrd2="http://schemas.microsoft.com/office/spreadsheetml/2017/richdata2" ref="A2:H72">
    <sortCondition ref="F1:F72"/>
  </sortState>
  <tableColumns count="8">
    <tableColumn id="1" xr3:uid="{00000000-0010-0000-0100-000001000000}" name="Start" dataDxfId="12">
      <calculatedColumnFormula>IF(ISNA(VLOOKUP(B2,AssociatedElements!B$2:B2938,1,FALSE)),"Not used","")</calculatedColumnFormula>
    </tableColumn>
    <tableColumn id="10" xr3:uid="{00000000-0010-0000-0100-00000A000000}" name="ID" dataDxfId="11"/>
    <tableColumn id="7" xr3:uid="{00000000-0010-0000-0100-000007000000}" name="Name" dataDxfId="10"/>
    <tableColumn id="3" xr3:uid="{00000000-0010-0000-0100-000003000000}" name="Description" dataDxfId="9"/>
    <tableColumn id="4" xr3:uid="{00000000-0010-0000-0100-000004000000}" name="DataType" dataDxfId="8"/>
    <tableColumn id="5" xr3:uid="{00000000-0010-0000-0100-000005000000}" name="QuantityClass" dataDxfId="7"/>
    <tableColumn id="6" xr3:uid="{00000000-0010-0000-0100-000006000000}" name="Authority" dataDxfId="6"/>
    <tableColumn id="9" xr3:uid="{00000000-0010-0000-0100-000009000000}" name="Reference" dataDxfId="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ssociatedElements" displayName="AssociatedElements" ref="A1:D148" totalsRowShown="0" headerRowDxfId="4">
  <autoFilter ref="A1:D148" xr:uid="{00000000-000C-0000-FFFF-FFFF02000000}"/>
  <sortState xmlns:xlrd2="http://schemas.microsoft.com/office/spreadsheetml/2017/richdata2" ref="A2:D136">
    <sortCondition ref="D1:D136"/>
  </sortState>
  <tableColumns count="4">
    <tableColumn id="1" xr3:uid="{00000000-0010-0000-0200-000001000000}" name="Start" dataDxfId="3">
      <calculatedColumnFormula>IF(ISNA(VLOOKUP(B2,Definitions!B$2:B$1882,1,FALSE)),"Not listed","")</calculatedColumnFormula>
    </tableColumn>
    <tableColumn id="4" xr3:uid="{00000000-0010-0000-0200-000004000000}" name="ID" dataDxfId="2"/>
    <tableColumn id="2" xr3:uid="{00000000-0010-0000-0200-000002000000}" name="SourceElement" dataDxfId="1"/>
    <tableColumn id="3" xr3:uid="{00000000-0010-0000-0200-000003000000}" name="ConditionalElemen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D188" totalsRowShown="0">
  <autoFilter ref="A1:D188" xr:uid="{00000000-0009-0000-0100-000006000000}"/>
  <sortState xmlns:xlrd2="http://schemas.microsoft.com/office/spreadsheetml/2017/richdata2" ref="A2:C183">
    <sortCondition ref="C1:C183"/>
  </sortState>
  <tableColumns count="4">
    <tableColumn id="1" xr3:uid="{00000000-0010-0000-0300-000001000000}" name="DataType"/>
    <tableColumn id="2" xr3:uid="{00000000-0010-0000-0300-000002000000}" name="DataType2"/>
    <tableColumn id="3" xr3:uid="{00000000-0010-0000-0300-000003000000}" name="QuantityClass"/>
    <tableColumn id="4" xr3:uid="{5005B6AD-68FF-A648-AD97-C4ADB18EA7E3}" name="Column1" dataDxfId="0">
      <calculatedColumnFormula>VLOOKUP(Table6[[#This Row],[QuantityClass]],M$1:M$175,1,FALSE)</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3"/>
  <sheetViews>
    <sheetView zoomScale="120" zoomScaleNormal="120" workbookViewId="0">
      <selection activeCell="C3" sqref="C3"/>
    </sheetView>
  </sheetViews>
  <sheetFormatPr baseColWidth="10" defaultColWidth="11" defaultRowHeight="16" x14ac:dyDescent="0.2"/>
  <cols>
    <col min="1" max="1" width="7.5" style="10" customWidth="1"/>
    <col min="2" max="2" width="41.33203125" style="10" customWidth="1"/>
    <col min="3" max="3" width="26.33203125" style="10" customWidth="1"/>
    <col min="4" max="4" width="21.6640625" style="10" customWidth="1"/>
    <col min="5" max="5" width="76" style="10" customWidth="1"/>
    <col min="6" max="16384" width="11" style="10"/>
  </cols>
  <sheetData>
    <row r="1" spans="1:5" s="12" customFormat="1" ht="18" thickBot="1" x14ac:dyDescent="0.25">
      <c r="A1" s="12" t="s">
        <v>13</v>
      </c>
      <c r="B1" s="12" t="s">
        <v>7</v>
      </c>
      <c r="C1" s="13" t="s">
        <v>208</v>
      </c>
      <c r="D1" s="12" t="s">
        <v>14</v>
      </c>
      <c r="E1" s="12" t="s">
        <v>0</v>
      </c>
    </row>
    <row r="2" spans="1:5" s="12" customFormat="1" ht="18" thickTop="1" x14ac:dyDescent="0.2">
      <c r="A2" s="1"/>
      <c r="B2" s="1"/>
      <c r="C2" s="1"/>
      <c r="D2" s="1"/>
      <c r="E2" s="1" t="s">
        <v>201</v>
      </c>
    </row>
    <row r="3" spans="1:5" s="2" customFormat="1" ht="102" x14ac:dyDescent="0.2">
      <c r="B3" s="2" t="s">
        <v>211</v>
      </c>
      <c r="C3" s="2" t="s">
        <v>420</v>
      </c>
      <c r="D3" s="2" t="s">
        <v>212</v>
      </c>
      <c r="E3" s="2" t="s">
        <v>213</v>
      </c>
    </row>
  </sheetData>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72"/>
  <sheetViews>
    <sheetView tabSelected="1" zoomScale="120" zoomScaleNormal="120" workbookViewId="0">
      <selection activeCell="D10" sqref="D10"/>
    </sheetView>
  </sheetViews>
  <sheetFormatPr baseColWidth="10" defaultColWidth="10.83203125" defaultRowHeight="16" x14ac:dyDescent="0.2"/>
  <cols>
    <col min="1" max="1" width="7" style="2" customWidth="1"/>
    <col min="2" max="2" width="25.83203125" style="2" customWidth="1"/>
    <col min="3" max="3" width="31.6640625" style="2" customWidth="1"/>
    <col min="4" max="4" width="84.6640625" style="2" customWidth="1"/>
    <col min="5" max="5" width="11.1640625" style="2" customWidth="1"/>
    <col min="6" max="6" width="25.6640625" style="2" bestFit="1" customWidth="1"/>
    <col min="7" max="7" width="17.83203125" style="2" customWidth="1"/>
    <col min="8" max="8" width="20.83203125" style="2" customWidth="1"/>
    <col min="9" max="16384" width="10.83203125" style="2"/>
  </cols>
  <sheetData>
    <row r="1" spans="1:8" s="1" customFormat="1" ht="17" x14ac:dyDescent="0.2">
      <c r="A1" s="1" t="s">
        <v>13</v>
      </c>
      <c r="B1" s="1" t="s">
        <v>205</v>
      </c>
      <c r="C1" s="1" t="s">
        <v>8</v>
      </c>
      <c r="D1" s="1" t="s">
        <v>0</v>
      </c>
      <c r="E1" s="1" t="s">
        <v>165</v>
      </c>
      <c r="F1" s="1" t="s">
        <v>206</v>
      </c>
      <c r="G1" s="1" t="s">
        <v>9</v>
      </c>
      <c r="H1" s="1" t="s">
        <v>202</v>
      </c>
    </row>
    <row r="2" spans="1:8" ht="17" x14ac:dyDescent="0.2">
      <c r="A2" s="2" t="str">
        <f>IF(ISNA(VLOOKUP(B2,AssociatedElements!B$2:B2954,1,FALSE)),"Not used","")</f>
        <v/>
      </c>
      <c r="B2" s="15" t="s">
        <v>260</v>
      </c>
      <c r="C2" s="17" t="s">
        <v>261</v>
      </c>
      <c r="D2" s="17" t="s">
        <v>262</v>
      </c>
      <c r="E2" s="18" t="s">
        <v>1</v>
      </c>
      <c r="F2" s="2" t="s">
        <v>263</v>
      </c>
      <c r="G2" s="11"/>
    </row>
    <row r="3" spans="1:8" ht="17" x14ac:dyDescent="0.2">
      <c r="A3" s="2" t="str">
        <f>IF(ISNA(VLOOKUP(B3,AssociatedElements!B$2:B2947,1,FALSE)),"Not used","")</f>
        <v/>
      </c>
      <c r="B3" s="15" t="s">
        <v>240</v>
      </c>
      <c r="C3" s="16" t="s">
        <v>241</v>
      </c>
      <c r="D3" s="16" t="s">
        <v>242</v>
      </c>
      <c r="E3" s="18" t="s">
        <v>1</v>
      </c>
      <c r="G3" s="11"/>
    </row>
    <row r="4" spans="1:8" ht="17" x14ac:dyDescent="0.2">
      <c r="A4" s="2" t="str">
        <f>IF(ISNA(VLOOKUP(B4,AssociatedElements!B$2:B2958,1,FALSE)),"Not used","")</f>
        <v/>
      </c>
      <c r="B4" s="15" t="s">
        <v>273</v>
      </c>
      <c r="C4" s="16" t="s">
        <v>274</v>
      </c>
      <c r="D4" s="16" t="s">
        <v>275</v>
      </c>
      <c r="E4" s="18" t="s">
        <v>1</v>
      </c>
      <c r="G4" s="11"/>
    </row>
    <row r="5" spans="1:8" ht="17" x14ac:dyDescent="0.2">
      <c r="A5" s="2" t="str">
        <f>IF(ISNA(VLOOKUP(B5,AssociatedElements!B$2:B2959,1,FALSE)),"Not used","")</f>
        <v/>
      </c>
      <c r="B5" s="15" t="s">
        <v>276</v>
      </c>
      <c r="C5" s="16" t="s">
        <v>277</v>
      </c>
      <c r="D5" s="16" t="s">
        <v>278</v>
      </c>
      <c r="E5" s="18" t="s">
        <v>1</v>
      </c>
      <c r="G5" s="11"/>
    </row>
    <row r="6" spans="1:8" ht="17" x14ac:dyDescent="0.2">
      <c r="A6" s="2" t="str">
        <f>IF(ISNA(VLOOKUP(B6,AssociatedElements!B$2:B2967,1,FALSE)),"Not used","")</f>
        <v/>
      </c>
      <c r="B6" s="15" t="s">
        <v>300</v>
      </c>
      <c r="C6" s="16" t="s">
        <v>301</v>
      </c>
      <c r="D6" s="16" t="s">
        <v>302</v>
      </c>
      <c r="E6" s="18" t="s">
        <v>1</v>
      </c>
      <c r="G6" s="11"/>
    </row>
    <row r="7" spans="1:8" ht="34" x14ac:dyDescent="0.2">
      <c r="A7" s="2" t="str">
        <f>IF(ISNA(VLOOKUP(B7,AssociatedElements!B$2:B2974,1,FALSE)),"Not used","")</f>
        <v/>
      </c>
      <c r="B7" s="15" t="s">
        <v>321</v>
      </c>
      <c r="C7" s="16" t="s">
        <v>322</v>
      </c>
      <c r="D7" s="16" t="s">
        <v>323</v>
      </c>
      <c r="E7" s="18" t="s">
        <v>1</v>
      </c>
      <c r="G7" s="11"/>
    </row>
    <row r="8" spans="1:8" ht="17" x14ac:dyDescent="0.2">
      <c r="A8" s="2" t="str">
        <f>IF(ISNA(VLOOKUP(B8,AssociatedElements!B$2:B2984,1,FALSE)),"Not used","")</f>
        <v/>
      </c>
      <c r="B8" s="15" t="s">
        <v>351</v>
      </c>
      <c r="C8" s="16" t="s">
        <v>352</v>
      </c>
      <c r="D8" s="16" t="s">
        <v>353</v>
      </c>
      <c r="E8" s="18" t="s">
        <v>1</v>
      </c>
      <c r="G8" s="11"/>
    </row>
    <row r="9" spans="1:8" ht="34" x14ac:dyDescent="0.2">
      <c r="A9" s="2" t="str">
        <f>IF(ISNA(VLOOKUP(B9,AssociatedElements!B$2:B2946,1,FALSE)),"Not used","")</f>
        <v/>
      </c>
      <c r="B9" s="15" t="s">
        <v>237</v>
      </c>
      <c r="C9" s="16" t="s">
        <v>238</v>
      </c>
      <c r="D9" s="16" t="s">
        <v>239</v>
      </c>
      <c r="E9" s="18" t="s">
        <v>1</v>
      </c>
      <c r="F9" s="2" t="s">
        <v>16</v>
      </c>
      <c r="G9" s="11"/>
    </row>
    <row r="10" spans="1:8" ht="17" x14ac:dyDescent="0.2">
      <c r="A10" s="2" t="str">
        <f>IF(ISNA(VLOOKUP(B10,AssociatedElements!B$2:B2949,1,FALSE)),"Not used","")</f>
        <v/>
      </c>
      <c r="B10" s="15" t="s">
        <v>245</v>
      </c>
      <c r="C10" s="16" t="s">
        <v>246</v>
      </c>
      <c r="D10" s="16" t="s">
        <v>247</v>
      </c>
      <c r="E10" s="18" t="s">
        <v>1</v>
      </c>
      <c r="F10" s="2" t="s">
        <v>56</v>
      </c>
      <c r="G10" s="11"/>
    </row>
    <row r="11" spans="1:8" ht="17" x14ac:dyDescent="0.2">
      <c r="A11" s="2" t="str">
        <f>IF(ISNA(VLOOKUP(B11,AssociatedElements!B$2:B2950,1,FALSE)),"Not used","")</f>
        <v/>
      </c>
      <c r="B11" s="15" t="s">
        <v>248</v>
      </c>
      <c r="C11" s="16" t="s">
        <v>249</v>
      </c>
      <c r="D11" s="16" t="s">
        <v>250</v>
      </c>
      <c r="E11" s="18" t="s">
        <v>1</v>
      </c>
      <c r="F11" s="2" t="s">
        <v>56</v>
      </c>
      <c r="G11" s="11"/>
    </row>
    <row r="12" spans="1:8" ht="17" x14ac:dyDescent="0.2">
      <c r="A12" s="2" t="str">
        <f>IF(ISNA(VLOOKUP(B12,AssociatedElements!B$2:B2951,1,FALSE)),"Not used","")</f>
        <v/>
      </c>
      <c r="B12" s="15" t="s">
        <v>251</v>
      </c>
      <c r="C12" s="16" t="s">
        <v>252</v>
      </c>
      <c r="D12" s="16" t="s">
        <v>253</v>
      </c>
      <c r="E12" s="18" t="s">
        <v>1</v>
      </c>
      <c r="F12" s="2" t="s">
        <v>56</v>
      </c>
      <c r="G12" s="11"/>
    </row>
    <row r="13" spans="1:8" ht="17" x14ac:dyDescent="0.2">
      <c r="A13" s="2" t="str">
        <f>IF(ISNA(VLOOKUP(B13,AssociatedElements!B$2:B2963,1,FALSE)),"Not used","")</f>
        <v/>
      </c>
      <c r="B13" s="15" t="s">
        <v>288</v>
      </c>
      <c r="C13" s="16" t="s">
        <v>289</v>
      </c>
      <c r="D13" s="16" t="s">
        <v>290</v>
      </c>
      <c r="E13" s="18" t="s">
        <v>1</v>
      </c>
      <c r="F13" s="2" t="s">
        <v>56</v>
      </c>
      <c r="G13" s="11"/>
    </row>
    <row r="14" spans="1:8" ht="17" x14ac:dyDescent="0.2">
      <c r="A14" s="2" t="str">
        <f>IF(ISNA(VLOOKUP(B14,AssociatedElements!B$2:B2964,1,FALSE)),"Not used","")</f>
        <v/>
      </c>
      <c r="B14" s="15" t="s">
        <v>291</v>
      </c>
      <c r="C14" s="16" t="s">
        <v>292</v>
      </c>
      <c r="D14" s="16" t="s">
        <v>293</v>
      </c>
      <c r="E14" s="18" t="s">
        <v>1</v>
      </c>
      <c r="F14" s="2" t="s">
        <v>56</v>
      </c>
      <c r="G14" s="11"/>
    </row>
    <row r="15" spans="1:8" ht="17" x14ac:dyDescent="0.2">
      <c r="A15" s="2" t="str">
        <f>IF(ISNA(VLOOKUP(B15,AssociatedElements!B$2:B2965,1,FALSE)),"Not used","")</f>
        <v/>
      </c>
      <c r="B15" s="15" t="s">
        <v>294</v>
      </c>
      <c r="C15" s="16" t="s">
        <v>295</v>
      </c>
      <c r="D15" s="16" t="s">
        <v>296</v>
      </c>
      <c r="E15" s="18" t="s">
        <v>1</v>
      </c>
      <c r="F15" s="2" t="s">
        <v>56</v>
      </c>
      <c r="G15" s="11"/>
    </row>
    <row r="16" spans="1:8" ht="17" x14ac:dyDescent="0.2">
      <c r="A16" s="2" t="str">
        <f>IF(ISNA(VLOOKUP(B16,AssociatedElements!B$2:B2966,1,FALSE)),"Not used","")</f>
        <v/>
      </c>
      <c r="B16" s="15" t="s">
        <v>297</v>
      </c>
      <c r="C16" s="16" t="s">
        <v>298</v>
      </c>
      <c r="D16" s="16" t="s">
        <v>299</v>
      </c>
      <c r="E16" s="18" t="s">
        <v>1</v>
      </c>
      <c r="F16" s="2" t="s">
        <v>56</v>
      </c>
      <c r="G16" s="11"/>
    </row>
    <row r="17" spans="1:7" ht="17" x14ac:dyDescent="0.2">
      <c r="A17" s="2" t="str">
        <f>IF(ISNA(VLOOKUP(B17,AssociatedElements!B$2:B2975,1,FALSE)),"Not used","")</f>
        <v/>
      </c>
      <c r="B17" s="15" t="s">
        <v>324</v>
      </c>
      <c r="C17" s="16" t="s">
        <v>325</v>
      </c>
      <c r="D17" s="16" t="s">
        <v>326</v>
      </c>
      <c r="E17" s="18" t="s">
        <v>1</v>
      </c>
      <c r="F17" s="2" t="s">
        <v>24</v>
      </c>
      <c r="G17" s="11"/>
    </row>
    <row r="18" spans="1:7" ht="51" x14ac:dyDescent="0.2">
      <c r="A18" s="2" t="str">
        <f>IF(ISNA(VLOOKUP(B18,AssociatedElements!B$2:B2976,1,FALSE)),"Not used","")</f>
        <v/>
      </c>
      <c r="B18" s="15" t="s">
        <v>327</v>
      </c>
      <c r="C18" s="16" t="s">
        <v>328</v>
      </c>
      <c r="D18" s="16" t="s">
        <v>329</v>
      </c>
      <c r="E18" s="18" t="s">
        <v>1</v>
      </c>
      <c r="F18" s="2" t="s">
        <v>24</v>
      </c>
      <c r="G18" s="11"/>
    </row>
    <row r="19" spans="1:7" ht="34" x14ac:dyDescent="0.2">
      <c r="A19" s="2" t="str">
        <f>IF(ISNA(VLOOKUP(B19,AssociatedElements!B$2:B2977,1,FALSE)),"Not used","")</f>
        <v/>
      </c>
      <c r="B19" s="15" t="s">
        <v>330</v>
      </c>
      <c r="C19" s="16" t="s">
        <v>331</v>
      </c>
      <c r="D19" s="16" t="s">
        <v>332</v>
      </c>
      <c r="E19" s="18" t="s">
        <v>1</v>
      </c>
      <c r="F19" s="2" t="s">
        <v>24</v>
      </c>
      <c r="G19" s="11"/>
    </row>
    <row r="20" spans="1:7" ht="17" x14ac:dyDescent="0.2">
      <c r="A20" s="2" t="str">
        <f>IF(ISNA(VLOOKUP(B20,AssociatedElements!B$2:B2978,1,FALSE)),"Not used","")</f>
        <v/>
      </c>
      <c r="B20" s="15" t="s">
        <v>333</v>
      </c>
      <c r="C20" s="16" t="s">
        <v>334</v>
      </c>
      <c r="D20" s="16" t="s">
        <v>335</v>
      </c>
      <c r="E20" s="18" t="s">
        <v>1</v>
      </c>
      <c r="F20" s="2" t="s">
        <v>24</v>
      </c>
      <c r="G20" s="11"/>
    </row>
    <row r="21" spans="1:7" ht="34" x14ac:dyDescent="0.2">
      <c r="A21" s="2" t="str">
        <f>IF(ISNA(VLOOKUP(B21,AssociatedElements!B$2:B2979,1,FALSE)),"Not used","")</f>
        <v/>
      </c>
      <c r="B21" s="15" t="s">
        <v>336</v>
      </c>
      <c r="C21" s="16" t="s">
        <v>337</v>
      </c>
      <c r="D21" s="16" t="s">
        <v>338</v>
      </c>
      <c r="E21" s="18" t="s">
        <v>1</v>
      </c>
      <c r="F21" s="2" t="s">
        <v>24</v>
      </c>
      <c r="G21" s="11"/>
    </row>
    <row r="22" spans="1:7" ht="17" x14ac:dyDescent="0.2">
      <c r="A22" s="2" t="str">
        <f>IF(ISNA(VLOOKUP(B22,AssociatedElements!B$2:B2980,1,FALSE)),"Not used","")</f>
        <v/>
      </c>
      <c r="B22" s="15" t="s">
        <v>339</v>
      </c>
      <c r="C22" s="16" t="s">
        <v>340</v>
      </c>
      <c r="D22" s="16" t="s">
        <v>341</v>
      </c>
      <c r="E22" s="18" t="s">
        <v>1</v>
      </c>
      <c r="F22" s="2" t="s">
        <v>24</v>
      </c>
      <c r="G22" s="11"/>
    </row>
    <row r="23" spans="1:7" ht="17" x14ac:dyDescent="0.2">
      <c r="A23" s="2" t="str">
        <f>IF(ISNA(VLOOKUP(B23,AssociatedElements!B$2:B2991,1,FALSE)),"Not used","")</f>
        <v/>
      </c>
      <c r="B23" s="15" t="s">
        <v>372</v>
      </c>
      <c r="C23" s="16" t="s">
        <v>373</v>
      </c>
      <c r="D23" s="16" t="s">
        <v>374</v>
      </c>
      <c r="E23" s="18" t="s">
        <v>1</v>
      </c>
      <c r="F23" s="2" t="s">
        <v>24</v>
      </c>
      <c r="G23" s="11"/>
    </row>
    <row r="24" spans="1:7" ht="17" x14ac:dyDescent="0.2">
      <c r="A24" s="2" t="str">
        <f>IF(ISNA(VLOOKUP(B24,AssociatedElements!B$2:B3002,1,FALSE)),"Not used","")</f>
        <v/>
      </c>
      <c r="B24" s="15" t="s">
        <v>405</v>
      </c>
      <c r="C24" s="16" t="s">
        <v>406</v>
      </c>
      <c r="D24" s="16" t="s">
        <v>407</v>
      </c>
      <c r="E24" s="18" t="s">
        <v>1</v>
      </c>
      <c r="F24" s="2" t="s">
        <v>24</v>
      </c>
      <c r="G24" s="11"/>
    </row>
    <row r="25" spans="1:7" ht="17" x14ac:dyDescent="0.2">
      <c r="A25" s="2" t="str">
        <f>IF(ISNA(VLOOKUP(B25,AssociatedElements!B$2:B2985,1,FALSE)),"Not used","")</f>
        <v/>
      </c>
      <c r="B25" s="15" t="s">
        <v>354</v>
      </c>
      <c r="C25" s="16" t="s">
        <v>355</v>
      </c>
      <c r="D25" s="16" t="s">
        <v>356</v>
      </c>
      <c r="E25" s="18" t="s">
        <v>1</v>
      </c>
      <c r="F25" s="2" t="s">
        <v>57</v>
      </c>
      <c r="G25" s="11"/>
    </row>
    <row r="26" spans="1:7" ht="34" x14ac:dyDescent="0.2">
      <c r="A26" s="2" t="str">
        <f>IF(ISNA(VLOOKUP(B26,AssociatedElements!B$2:B2998,1,FALSE)),"Not used","")</f>
        <v/>
      </c>
      <c r="B26" s="15" t="s">
        <v>393</v>
      </c>
      <c r="C26" s="16" t="s">
        <v>394</v>
      </c>
      <c r="D26" s="16" t="s">
        <v>395</v>
      </c>
      <c r="E26" s="18" t="s">
        <v>1</v>
      </c>
      <c r="F26" s="2" t="s">
        <v>57</v>
      </c>
      <c r="G26" s="11"/>
    </row>
    <row r="27" spans="1:7" ht="17" x14ac:dyDescent="0.2">
      <c r="A27" s="2" t="str">
        <f>IF(ISNA(VLOOKUP(B27,AssociatedElements!B$2:B2999,1,FALSE)),"Not used","")</f>
        <v/>
      </c>
      <c r="B27" s="15" t="s">
        <v>396</v>
      </c>
      <c r="C27" s="16" t="s">
        <v>397</v>
      </c>
      <c r="D27" s="16" t="s">
        <v>398</v>
      </c>
      <c r="E27" s="18" t="s">
        <v>1</v>
      </c>
      <c r="F27" s="2" t="s">
        <v>57</v>
      </c>
      <c r="G27" s="11"/>
    </row>
    <row r="28" spans="1:7" ht="34" x14ac:dyDescent="0.2">
      <c r="A28" s="2" t="str">
        <f>IF(ISNA(VLOOKUP(B28,AssociatedElements!B$2:B3000,1,FALSE)),"Not used","")</f>
        <v/>
      </c>
      <c r="B28" s="15" t="s">
        <v>399</v>
      </c>
      <c r="C28" s="16" t="s">
        <v>400</v>
      </c>
      <c r="D28" s="16" t="s">
        <v>401</v>
      </c>
      <c r="E28" s="18" t="s">
        <v>1</v>
      </c>
      <c r="F28" s="2" t="s">
        <v>57</v>
      </c>
      <c r="G28" s="11"/>
    </row>
    <row r="29" spans="1:7" ht="34" x14ac:dyDescent="0.2">
      <c r="A29" s="2" t="str">
        <f>IF(ISNA(VLOOKUP(B29,AssociatedElements!B$2:B2986,1,FALSE)),"Not used","")</f>
        <v/>
      </c>
      <c r="B29" s="15" t="s">
        <v>357</v>
      </c>
      <c r="C29" s="16" t="s">
        <v>358</v>
      </c>
      <c r="D29" s="16" t="s">
        <v>359</v>
      </c>
      <c r="E29" s="18" t="s">
        <v>1</v>
      </c>
      <c r="F29" s="2" t="s">
        <v>20</v>
      </c>
      <c r="G29" s="11"/>
    </row>
    <row r="30" spans="1:7" ht="34" x14ac:dyDescent="0.2">
      <c r="A30" s="2" t="str">
        <f>IF(ISNA(VLOOKUP(B30,AssociatedElements!B$2:B2987,1,FALSE)),"Not used","")</f>
        <v/>
      </c>
      <c r="B30" s="15" t="s">
        <v>360</v>
      </c>
      <c r="C30" s="16" t="s">
        <v>361</v>
      </c>
      <c r="D30" s="16" t="s">
        <v>362</v>
      </c>
      <c r="E30" s="18" t="s">
        <v>1</v>
      </c>
      <c r="F30" s="2" t="s">
        <v>20</v>
      </c>
      <c r="G30" s="11"/>
    </row>
    <row r="31" spans="1:7" ht="17" x14ac:dyDescent="0.2">
      <c r="A31" s="2" t="str">
        <f>IF(ISNA(VLOOKUP(B31,AssociatedElements!B$2:B2983,1,FALSE)),"Not used","")</f>
        <v/>
      </c>
      <c r="B31" s="15" t="s">
        <v>348</v>
      </c>
      <c r="C31" s="16" t="s">
        <v>349</v>
      </c>
      <c r="D31" s="16" t="s">
        <v>350</v>
      </c>
      <c r="E31" s="18" t="s">
        <v>1</v>
      </c>
      <c r="F31" s="2" t="s">
        <v>60</v>
      </c>
      <c r="G31" s="11"/>
    </row>
    <row r="32" spans="1:7" ht="34" x14ac:dyDescent="0.2">
      <c r="A32" s="2" t="str">
        <f>IF(ISNA(VLOOKUP(B32,AssociatedElements!B$2:B2997,1,FALSE)),"Not used","")</f>
        <v/>
      </c>
      <c r="B32" s="15" t="s">
        <v>390</v>
      </c>
      <c r="C32" s="16" t="s">
        <v>391</v>
      </c>
      <c r="D32" s="16" t="s">
        <v>392</v>
      </c>
      <c r="E32" s="18" t="s">
        <v>1</v>
      </c>
      <c r="F32" s="2" t="s">
        <v>5</v>
      </c>
      <c r="G32" s="11"/>
    </row>
    <row r="33" spans="1:7" ht="17" x14ac:dyDescent="0.2">
      <c r="A33" s="2" t="str">
        <f>IF(ISNA(VLOOKUP(B33,AssociatedElements!B$2:B2960,1,FALSE)),"Not used","")</f>
        <v/>
      </c>
      <c r="B33" s="15" t="s">
        <v>279</v>
      </c>
      <c r="C33" s="16" t="s">
        <v>280</v>
      </c>
      <c r="D33" s="16" t="s">
        <v>281</v>
      </c>
      <c r="E33" s="18" t="s">
        <v>1</v>
      </c>
      <c r="F33" s="2" t="s">
        <v>70</v>
      </c>
      <c r="G33" s="11"/>
    </row>
    <row r="34" spans="1:7" ht="68" x14ac:dyDescent="0.2">
      <c r="A34" s="2" t="str">
        <f>IF(ISNA(VLOOKUP(B34,AssociatedElements!B$2:B2971,1,FALSE)),"Not used","")</f>
        <v/>
      </c>
      <c r="B34" s="15" t="s">
        <v>312</v>
      </c>
      <c r="C34" s="16" t="s">
        <v>313</v>
      </c>
      <c r="D34" s="16" t="s">
        <v>314</v>
      </c>
      <c r="E34" s="18" t="s">
        <v>1</v>
      </c>
      <c r="F34" s="2" t="s">
        <v>70</v>
      </c>
      <c r="G34" s="11"/>
    </row>
    <row r="35" spans="1:7" ht="17" x14ac:dyDescent="0.2">
      <c r="A35" s="2" t="str">
        <f>IF(ISNA(VLOOKUP(B35,AssociatedElements!B$2:B2972,1,FALSE)),"Not used","")</f>
        <v/>
      </c>
      <c r="B35" s="15" t="s">
        <v>315</v>
      </c>
      <c r="C35" s="16" t="s">
        <v>316</v>
      </c>
      <c r="D35" s="16" t="s">
        <v>317</v>
      </c>
      <c r="E35" s="18" t="s">
        <v>1</v>
      </c>
      <c r="F35" s="2" t="s">
        <v>70</v>
      </c>
      <c r="G35" s="11"/>
    </row>
    <row r="36" spans="1:7" ht="17" x14ac:dyDescent="0.2">
      <c r="A36" s="2" t="str">
        <f>IF(ISNA(VLOOKUP(B36,AssociatedElements!B$2:B2956,1,FALSE)),"Not used","")</f>
        <v/>
      </c>
      <c r="B36" s="15" t="s">
        <v>267</v>
      </c>
      <c r="C36" s="16" t="s">
        <v>268</v>
      </c>
      <c r="D36" s="16" t="s">
        <v>269</v>
      </c>
      <c r="E36" s="18" t="s">
        <v>1</v>
      </c>
      <c r="F36" s="2" t="s">
        <v>442</v>
      </c>
      <c r="G36" s="11"/>
    </row>
    <row r="37" spans="1:7" ht="34" x14ac:dyDescent="0.2">
      <c r="A37" s="2" t="str">
        <f>IF(ISNA(VLOOKUP(B37,AssociatedElements!B$2:B2942,1,FALSE)),"Not used","")</f>
        <v/>
      </c>
      <c r="B37" s="15" t="s">
        <v>226</v>
      </c>
      <c r="C37" s="16" t="s">
        <v>227</v>
      </c>
      <c r="D37" s="16" t="s">
        <v>228</v>
      </c>
      <c r="E37" s="18" t="s">
        <v>1</v>
      </c>
      <c r="F37" s="2" t="s">
        <v>2</v>
      </c>
      <c r="G37" s="11"/>
    </row>
    <row r="38" spans="1:7" ht="34" x14ac:dyDescent="0.2">
      <c r="A38" s="2" t="str">
        <f>IF(ISNA(VLOOKUP(B38,AssociatedElements!B$2:B2952,1,FALSE)),"Not used","")</f>
        <v/>
      </c>
      <c r="B38" s="15" t="s">
        <v>254</v>
      </c>
      <c r="C38" s="16" t="s">
        <v>255</v>
      </c>
      <c r="D38" s="16" t="s">
        <v>256</v>
      </c>
      <c r="E38" s="18" t="s">
        <v>1</v>
      </c>
      <c r="F38" s="2" t="s">
        <v>23</v>
      </c>
      <c r="G38" s="11"/>
    </row>
    <row r="39" spans="1:7" ht="34" x14ac:dyDescent="0.2">
      <c r="A39" s="2" t="str">
        <f>IF(ISNA(VLOOKUP(B39,AssociatedElements!B$2:B2953,1,FALSE)),"Not used","")</f>
        <v/>
      </c>
      <c r="B39" s="15" t="s">
        <v>257</v>
      </c>
      <c r="C39" s="16" t="s">
        <v>258</v>
      </c>
      <c r="D39" s="16" t="s">
        <v>259</v>
      </c>
      <c r="E39" s="18" t="s">
        <v>1</v>
      </c>
      <c r="F39" s="2" t="s">
        <v>23</v>
      </c>
      <c r="G39" s="11"/>
    </row>
    <row r="40" spans="1:7" ht="34" x14ac:dyDescent="0.2">
      <c r="A40" s="2" t="str">
        <f>IF(ISNA(VLOOKUP(B40,AssociatedElements!B$2:B2973,1,FALSE)),"Not used","")</f>
        <v/>
      </c>
      <c r="B40" s="15" t="s">
        <v>318</v>
      </c>
      <c r="C40" s="16" t="s">
        <v>319</v>
      </c>
      <c r="D40" s="16" t="s">
        <v>320</v>
      </c>
      <c r="E40" s="18" t="s">
        <v>1</v>
      </c>
      <c r="F40" s="2" t="s">
        <v>23</v>
      </c>
      <c r="G40" s="11"/>
    </row>
    <row r="41" spans="1:7" ht="17" x14ac:dyDescent="0.2">
      <c r="A41" s="2" t="str">
        <f>IF(ISNA(VLOOKUP(B41,AssociatedElements!B$2:B2989,1,FALSE)),"Not used","")</f>
        <v/>
      </c>
      <c r="B41" s="15" t="s">
        <v>366</v>
      </c>
      <c r="C41" s="16" t="s">
        <v>367</v>
      </c>
      <c r="D41" s="16" t="s">
        <v>368</v>
      </c>
      <c r="E41" s="18" t="s">
        <v>1</v>
      </c>
      <c r="F41" s="2" t="s">
        <v>23</v>
      </c>
      <c r="G41" s="11"/>
    </row>
    <row r="42" spans="1:7" ht="17" x14ac:dyDescent="0.2">
      <c r="A42" s="2" t="str">
        <f>IF(ISNA(VLOOKUP(B42,AssociatedElements!B$2:B3001,1,FALSE)),"Not used","")</f>
        <v/>
      </c>
      <c r="B42" s="15" t="s">
        <v>402</v>
      </c>
      <c r="C42" s="16" t="s">
        <v>403</v>
      </c>
      <c r="D42" s="16" t="s">
        <v>404</v>
      </c>
      <c r="E42" s="18" t="s">
        <v>1</v>
      </c>
      <c r="F42" s="2" t="s">
        <v>23</v>
      </c>
      <c r="G42" s="11"/>
    </row>
    <row r="43" spans="1:7" ht="34" x14ac:dyDescent="0.2">
      <c r="A43" s="2" t="str">
        <f>IF(ISNA(VLOOKUP(B43,AssociatedElements!B$2:B2939,1,FALSE)),"Not used","")</f>
        <v/>
      </c>
      <c r="B43" s="15" t="s">
        <v>217</v>
      </c>
      <c r="C43" s="16" t="s">
        <v>218</v>
      </c>
      <c r="D43" s="16" t="s">
        <v>219</v>
      </c>
      <c r="E43" s="18" t="s">
        <v>1</v>
      </c>
      <c r="F43" s="2" t="s">
        <v>84</v>
      </c>
      <c r="G43" s="11"/>
    </row>
    <row r="44" spans="1:7" ht="34" x14ac:dyDescent="0.2">
      <c r="A44" s="2" t="str">
        <f>IF(ISNA(VLOOKUP(B44,AssociatedElements!B$2:B2940,1,FALSE)),"Not used","")</f>
        <v/>
      </c>
      <c r="B44" s="15" t="s">
        <v>220</v>
      </c>
      <c r="C44" s="16" t="s">
        <v>221</v>
      </c>
      <c r="D44" s="16" t="s">
        <v>222</v>
      </c>
      <c r="E44" s="18" t="s">
        <v>1</v>
      </c>
      <c r="F44" s="2" t="s">
        <v>84</v>
      </c>
      <c r="G44" s="11"/>
    </row>
    <row r="45" spans="1:7" ht="34" x14ac:dyDescent="0.2">
      <c r="A45" s="2" t="str">
        <f>IF(ISNA(VLOOKUP(B45,AssociatedElements!B$2:B2955,1,FALSE)),"Not used","")</f>
        <v/>
      </c>
      <c r="B45" s="15" t="s">
        <v>264</v>
      </c>
      <c r="C45" s="16" t="s">
        <v>265</v>
      </c>
      <c r="D45" s="16" t="s">
        <v>266</v>
      </c>
      <c r="E45" s="18" t="s">
        <v>1</v>
      </c>
      <c r="F45" s="2" t="s">
        <v>84</v>
      </c>
      <c r="G45" s="11"/>
    </row>
    <row r="46" spans="1:7" ht="34" x14ac:dyDescent="0.2">
      <c r="A46" s="2" t="str">
        <f>IF(ISNA(VLOOKUP(B46,AssociatedElements!B$2:B2957,1,FALSE)),"Not used","")</f>
        <v/>
      </c>
      <c r="B46" s="15" t="s">
        <v>270</v>
      </c>
      <c r="C46" s="16" t="s">
        <v>271</v>
      </c>
      <c r="D46" s="16" t="s">
        <v>272</v>
      </c>
      <c r="E46" s="18" t="s">
        <v>1</v>
      </c>
      <c r="F46" s="2" t="s">
        <v>84</v>
      </c>
      <c r="G46" s="11"/>
    </row>
    <row r="47" spans="1:7" ht="17" x14ac:dyDescent="0.2">
      <c r="A47" s="2" t="str">
        <f>IF(ISNA(VLOOKUP(B47,AssociatedElements!B$2:B2962,1,FALSE)),"Not used","")</f>
        <v/>
      </c>
      <c r="B47" s="15" t="s">
        <v>285</v>
      </c>
      <c r="C47" s="16" t="s">
        <v>286</v>
      </c>
      <c r="D47" s="16" t="s">
        <v>287</v>
      </c>
      <c r="E47" s="18" t="s">
        <v>1</v>
      </c>
      <c r="F47" s="2" t="s">
        <v>96</v>
      </c>
      <c r="G47" s="11"/>
    </row>
    <row r="48" spans="1:7" ht="17" x14ac:dyDescent="0.2">
      <c r="A48" s="2" t="str">
        <f>IF(ISNA(VLOOKUP(B48,AssociatedElements!B$2:B2943,1,FALSE)),"Not used","")</f>
        <v/>
      </c>
      <c r="B48" s="15" t="s">
        <v>229</v>
      </c>
      <c r="C48" s="16" t="s">
        <v>230</v>
      </c>
      <c r="D48" s="16" t="s">
        <v>231</v>
      </c>
      <c r="E48" s="18" t="s">
        <v>1</v>
      </c>
      <c r="F48" s="2" t="s">
        <v>17</v>
      </c>
      <c r="G48" s="11"/>
    </row>
    <row r="49" spans="1:7" ht="85" x14ac:dyDescent="0.2">
      <c r="A49" s="2" t="str">
        <f>IF(ISNA(VLOOKUP(B49,AssociatedElements!B$2:B2948,1,FALSE)),"Not used","")</f>
        <v/>
      </c>
      <c r="B49" s="15" t="s">
        <v>243</v>
      </c>
      <c r="C49" s="16" t="s">
        <v>422</v>
      </c>
      <c r="D49" s="16" t="s">
        <v>244</v>
      </c>
      <c r="E49" s="18" t="s">
        <v>1</v>
      </c>
      <c r="F49" s="2" t="s">
        <v>117</v>
      </c>
      <c r="G49" s="11"/>
    </row>
    <row r="50" spans="1:7" ht="51" x14ac:dyDescent="0.2">
      <c r="A50" s="2" t="str">
        <f>IF(ISNA(VLOOKUP(B50,AssociatedElements!B$2:B2968,1,FALSE)),"Not used","")</f>
        <v/>
      </c>
      <c r="B50" s="15" t="s">
        <v>303</v>
      </c>
      <c r="C50" s="16" t="s">
        <v>304</v>
      </c>
      <c r="D50" s="16" t="s">
        <v>305</v>
      </c>
      <c r="E50" s="18" t="s">
        <v>1</v>
      </c>
      <c r="F50" s="2" t="s">
        <v>3</v>
      </c>
      <c r="G50" s="11"/>
    </row>
    <row r="51" spans="1:7" ht="17" x14ac:dyDescent="0.2">
      <c r="A51" s="2" t="str">
        <f>IF(ISNA(VLOOKUP(B51,AssociatedElements!B$2:B2969,1,FALSE)),"Not used","")</f>
        <v/>
      </c>
      <c r="B51" s="15" t="s">
        <v>306</v>
      </c>
      <c r="C51" s="16" t="s">
        <v>307</v>
      </c>
      <c r="D51" s="16" t="s">
        <v>308</v>
      </c>
      <c r="E51" s="18" t="s">
        <v>1</v>
      </c>
      <c r="F51" s="2" t="s">
        <v>3</v>
      </c>
      <c r="G51" s="11"/>
    </row>
    <row r="52" spans="1:7" ht="51" x14ac:dyDescent="0.2">
      <c r="A52" s="2" t="str">
        <f>IF(ISNA(VLOOKUP(B52,AssociatedElements!B$2:B2970,1,FALSE)),"Not used","")</f>
        <v/>
      </c>
      <c r="B52" s="15" t="s">
        <v>309</v>
      </c>
      <c r="C52" s="16" t="s">
        <v>310</v>
      </c>
      <c r="D52" s="16" t="s">
        <v>311</v>
      </c>
      <c r="E52" s="18" t="s">
        <v>1</v>
      </c>
      <c r="F52" s="2" t="s">
        <v>3</v>
      </c>
      <c r="G52" s="11"/>
    </row>
    <row r="53" spans="1:7" ht="51" x14ac:dyDescent="0.2">
      <c r="A53" s="2" t="str">
        <f>IF(ISNA(VLOOKUP(B53,AssociatedElements!B$2:B2938,1,FALSE)),"Not used","")</f>
        <v/>
      </c>
      <c r="B53" s="15" t="s">
        <v>214</v>
      </c>
      <c r="C53" s="24" t="s">
        <v>215</v>
      </c>
      <c r="D53" s="24" t="s">
        <v>216</v>
      </c>
      <c r="E53" s="14" t="s">
        <v>1</v>
      </c>
      <c r="F53" s="2" t="s">
        <v>126</v>
      </c>
      <c r="G53" s="11"/>
    </row>
    <row r="54" spans="1:7" ht="51" x14ac:dyDescent="0.2">
      <c r="A54" s="2" t="str">
        <f>IF(ISNA(VLOOKUP(B54,AssociatedElements!B$2:B2996,1,FALSE)),"Not used","")</f>
        <v/>
      </c>
      <c r="B54" s="15" t="s">
        <v>387</v>
      </c>
      <c r="C54" s="16" t="s">
        <v>388</v>
      </c>
      <c r="D54" s="16" t="s">
        <v>389</v>
      </c>
      <c r="E54" s="18" t="s">
        <v>1</v>
      </c>
      <c r="F54" s="2" t="s">
        <v>22</v>
      </c>
      <c r="G54" s="11"/>
    </row>
    <row r="55" spans="1:7" ht="85" x14ac:dyDescent="0.2">
      <c r="A55" s="2" t="str">
        <f>IF(ISNA(VLOOKUP(B55,AssociatedElements!B$2:B2993,1,FALSE)),"Not used","")</f>
        <v/>
      </c>
      <c r="B55" s="15" t="s">
        <v>378</v>
      </c>
      <c r="C55" s="16" t="s">
        <v>379</v>
      </c>
      <c r="D55" s="16" t="s">
        <v>380</v>
      </c>
      <c r="E55" s="18" t="s">
        <v>1</v>
      </c>
      <c r="F55" s="2" t="s">
        <v>25</v>
      </c>
      <c r="G55" s="11"/>
    </row>
    <row r="56" spans="1:7" ht="17" x14ac:dyDescent="0.2">
      <c r="A56" s="2" t="str">
        <f>IF(ISNA(VLOOKUP(B56,AssociatedElements!B$2:B2995,1,FALSE)),"Not used","")</f>
        <v/>
      </c>
      <c r="B56" s="15" t="s">
        <v>384</v>
      </c>
      <c r="C56" s="16" t="s">
        <v>385</v>
      </c>
      <c r="D56" s="16" t="s">
        <v>386</v>
      </c>
      <c r="E56" s="18" t="s">
        <v>1</v>
      </c>
      <c r="F56" s="2" t="s">
        <v>25</v>
      </c>
      <c r="G56" s="11"/>
    </row>
    <row r="57" spans="1:7" ht="34" x14ac:dyDescent="0.2">
      <c r="A57" s="21" t="str">
        <f>IF(ISNA(VLOOKUP(B57,AssociatedElements!B$2:B2996,1,FALSE)),"Not used","")</f>
        <v/>
      </c>
      <c r="B57" s="15" t="s">
        <v>479</v>
      </c>
      <c r="C57" s="16" t="s">
        <v>476</v>
      </c>
      <c r="D57" s="16" t="s">
        <v>478</v>
      </c>
      <c r="E57" s="18" t="s">
        <v>483</v>
      </c>
      <c r="F57" s="2" t="s">
        <v>25</v>
      </c>
      <c r="G57" s="11"/>
    </row>
    <row r="58" spans="1:7" ht="17" x14ac:dyDescent="0.2">
      <c r="A58" s="21" t="str">
        <f>IF(ISNA(VLOOKUP(B58,AssociatedElements!B$2:B2996,1,FALSE)),"Not used","")</f>
        <v/>
      </c>
      <c r="B58" s="15" t="s">
        <v>474</v>
      </c>
      <c r="C58" s="16" t="s">
        <v>475</v>
      </c>
      <c r="D58" s="16" t="s">
        <v>477</v>
      </c>
      <c r="E58" s="18" t="s">
        <v>1</v>
      </c>
      <c r="F58" s="2" t="s">
        <v>25</v>
      </c>
      <c r="G58" s="11"/>
    </row>
    <row r="59" spans="1:7" ht="34" x14ac:dyDescent="0.2">
      <c r="A59" s="2" t="str">
        <f>IF(ISNA(VLOOKUP(B59,AssociatedElements!B$2:B3006,1,FALSE)),"Not used","")</f>
        <v/>
      </c>
      <c r="B59" s="15" t="s">
        <v>417</v>
      </c>
      <c r="C59" s="16" t="s">
        <v>418</v>
      </c>
      <c r="D59" s="16" t="s">
        <v>419</v>
      </c>
      <c r="E59" s="18" t="s">
        <v>1</v>
      </c>
      <c r="F59" s="2" t="s">
        <v>25</v>
      </c>
      <c r="G59" s="11"/>
    </row>
    <row r="60" spans="1:7" ht="51" x14ac:dyDescent="0.2">
      <c r="A60" s="2" t="str">
        <f>IF(ISNA(VLOOKUP(B60,AssociatedElements!B$2:B2945,1,FALSE)),"Not used","")</f>
        <v/>
      </c>
      <c r="B60" s="15" t="s">
        <v>234</v>
      </c>
      <c r="C60" s="17" t="s">
        <v>235</v>
      </c>
      <c r="D60" s="17" t="s">
        <v>236</v>
      </c>
      <c r="E60" s="18" t="s">
        <v>1</v>
      </c>
      <c r="F60" s="2" t="s">
        <v>21</v>
      </c>
      <c r="G60" s="11"/>
    </row>
    <row r="61" spans="1:7" ht="51" x14ac:dyDescent="0.2">
      <c r="A61" s="2" t="str">
        <f>IF(ISNA(VLOOKUP(B61,AssociatedElements!B$2:B2988,1,FALSE)),"Not used","")</f>
        <v/>
      </c>
      <c r="B61" s="15" t="s">
        <v>363</v>
      </c>
      <c r="C61" s="17" t="s">
        <v>364</v>
      </c>
      <c r="D61" s="17" t="s">
        <v>365</v>
      </c>
      <c r="E61" s="18" t="s">
        <v>1</v>
      </c>
      <c r="F61" s="2" t="s">
        <v>21</v>
      </c>
      <c r="G61" s="11"/>
    </row>
    <row r="62" spans="1:7" ht="17" x14ac:dyDescent="0.2">
      <c r="A62" s="2" t="str">
        <f>IF(ISNA(VLOOKUP(B62,AssociatedElements!B$2:B2990,1,FALSE)),"Not used","")</f>
        <v/>
      </c>
      <c r="B62" s="15" t="s">
        <v>369</v>
      </c>
      <c r="C62" s="16" t="s">
        <v>370</v>
      </c>
      <c r="D62" s="16" t="s">
        <v>371</v>
      </c>
      <c r="E62" s="18" t="s">
        <v>1</v>
      </c>
      <c r="F62" s="2" t="s">
        <v>12</v>
      </c>
      <c r="G62" s="11"/>
    </row>
    <row r="63" spans="1:7" ht="17" x14ac:dyDescent="0.2">
      <c r="A63" s="2" t="str">
        <f>IF(ISNA(VLOOKUP(B63,AssociatedElements!B$2:B2941,1,FALSE)),"Not used","")</f>
        <v/>
      </c>
      <c r="B63" s="15" t="s">
        <v>223</v>
      </c>
      <c r="C63" s="16" t="s">
        <v>224</v>
      </c>
      <c r="D63" s="16" t="s">
        <v>225</v>
      </c>
      <c r="E63" s="18" t="s">
        <v>1</v>
      </c>
      <c r="G63" s="11"/>
    </row>
    <row r="64" spans="1:7" ht="17" x14ac:dyDescent="0.2">
      <c r="A64" s="2" t="str">
        <f>IF(ISNA(VLOOKUP(B64,AssociatedElements!B$2:B2944,1,FALSE)),"Not used","")</f>
        <v/>
      </c>
      <c r="B64" s="15" t="s">
        <v>42</v>
      </c>
      <c r="C64" s="16" t="s">
        <v>232</v>
      </c>
      <c r="D64" s="16" t="s">
        <v>233</v>
      </c>
      <c r="E64" s="18" t="s">
        <v>1</v>
      </c>
      <c r="G64" s="11"/>
    </row>
    <row r="65" spans="1:7" ht="17" x14ac:dyDescent="0.2">
      <c r="A65" s="2" t="str">
        <f>IF(ISNA(VLOOKUP(B65,AssociatedElements!B$2:B2961,1,FALSE)),"Not used","")</f>
        <v/>
      </c>
      <c r="B65" s="15" t="s">
        <v>282</v>
      </c>
      <c r="C65" s="16" t="s">
        <v>283</v>
      </c>
      <c r="D65" s="16" t="s">
        <v>284</v>
      </c>
      <c r="E65" s="18" t="s">
        <v>1</v>
      </c>
      <c r="G65" s="11"/>
    </row>
    <row r="66" spans="1:7" ht="17" x14ac:dyDescent="0.2">
      <c r="A66" s="2" t="str">
        <f>IF(ISNA(VLOOKUP(B66,AssociatedElements!B$2:B2981,1,FALSE)),"Not used","")</f>
        <v/>
      </c>
      <c r="B66" s="15" t="s">
        <v>342</v>
      </c>
      <c r="C66" s="16" t="s">
        <v>343</v>
      </c>
      <c r="D66" s="16" t="s">
        <v>344</v>
      </c>
      <c r="E66" s="18" t="s">
        <v>1</v>
      </c>
      <c r="G66" s="11"/>
    </row>
    <row r="67" spans="1:7" ht="17" x14ac:dyDescent="0.2">
      <c r="A67" s="2" t="str">
        <f>IF(ISNA(VLOOKUP(B67,AssociatedElements!B$2:B2982,1,FALSE)),"Not used","")</f>
        <v/>
      </c>
      <c r="B67" s="15" t="s">
        <v>345</v>
      </c>
      <c r="C67" s="16" t="s">
        <v>346</v>
      </c>
      <c r="D67" s="16" t="s">
        <v>347</v>
      </c>
      <c r="E67" s="18" t="s">
        <v>1</v>
      </c>
      <c r="G67" s="11"/>
    </row>
    <row r="68" spans="1:7" ht="17" x14ac:dyDescent="0.2">
      <c r="A68" s="2" t="str">
        <f>IF(ISNA(VLOOKUP(B68,AssociatedElements!B$2:B2992,1,FALSE)),"Not used","")</f>
        <v/>
      </c>
      <c r="B68" s="15" t="s">
        <v>375</v>
      </c>
      <c r="C68" s="16" t="s">
        <v>376</v>
      </c>
      <c r="D68" s="16" t="s">
        <v>377</v>
      </c>
      <c r="E68" s="18" t="s">
        <v>1</v>
      </c>
      <c r="G68" s="11"/>
    </row>
    <row r="69" spans="1:7" ht="17" x14ac:dyDescent="0.2">
      <c r="A69" s="2" t="str">
        <f>IF(ISNA(VLOOKUP(B69,AssociatedElements!B$2:B2994,1,FALSE)),"Not used","")</f>
        <v/>
      </c>
      <c r="B69" s="15" t="s">
        <v>381</v>
      </c>
      <c r="C69" s="16" t="s">
        <v>382</v>
      </c>
      <c r="D69" s="16" t="s">
        <v>383</v>
      </c>
      <c r="E69" s="18" t="s">
        <v>1</v>
      </c>
      <c r="G69" s="11"/>
    </row>
    <row r="70" spans="1:7" ht="17" x14ac:dyDescent="0.2">
      <c r="A70" s="2" t="str">
        <f>IF(ISNA(VLOOKUP(B70,AssociatedElements!B$2:B3003,1,FALSE)),"Not used","")</f>
        <v/>
      </c>
      <c r="B70" s="15" t="s">
        <v>408</v>
      </c>
      <c r="C70" s="16" t="s">
        <v>409</v>
      </c>
      <c r="D70" s="16" t="s">
        <v>410</v>
      </c>
      <c r="E70" s="18" t="s">
        <v>180</v>
      </c>
      <c r="G70" s="11"/>
    </row>
    <row r="71" spans="1:7" ht="17" x14ac:dyDescent="0.2">
      <c r="A71" s="2" t="str">
        <f>IF(ISNA(VLOOKUP(B71,AssociatedElements!B$2:B3004,1,FALSE)),"Not used","")</f>
        <v/>
      </c>
      <c r="B71" s="15" t="s">
        <v>411</v>
      </c>
      <c r="C71" s="16" t="s">
        <v>412</v>
      </c>
      <c r="D71" s="16" t="s">
        <v>413</v>
      </c>
      <c r="E71" s="18" t="s">
        <v>4</v>
      </c>
      <c r="G71" s="11"/>
    </row>
    <row r="72" spans="1:7" ht="17" x14ac:dyDescent="0.2">
      <c r="A72" s="2" t="str">
        <f>IF(ISNA(VLOOKUP(B72,AssociatedElements!B$2:B3005,1,FALSE)),"Not used","")</f>
        <v/>
      </c>
      <c r="B72" s="15" t="s">
        <v>414</v>
      </c>
      <c r="C72" s="17" t="s">
        <v>415</v>
      </c>
      <c r="D72" s="17" t="s">
        <v>416</v>
      </c>
      <c r="E72" s="18" t="s">
        <v>4</v>
      </c>
      <c r="G72" s="11"/>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B7FD0CC-5EF0-B345-B974-77575C95892D}">
          <x14:formula1>
            <xm:f>Lists!$C$2:$C$294</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148"/>
  <sheetViews>
    <sheetView zoomScale="120" zoomScaleNormal="120" workbookViewId="0">
      <pane ySplit="1" topLeftCell="A104" activePane="bottomLeft" state="frozen"/>
      <selection pane="bottomLeft" activeCell="F119" sqref="F119"/>
    </sheetView>
  </sheetViews>
  <sheetFormatPr baseColWidth="10" defaultColWidth="10.83203125" defaultRowHeight="16" x14ac:dyDescent="0.2"/>
  <cols>
    <col min="1" max="1" width="6.83203125" customWidth="1"/>
    <col min="2" max="2" width="31.6640625" customWidth="1"/>
    <col min="3" max="3" width="86.1640625" style="3" customWidth="1"/>
    <col min="4" max="4" width="127.83203125" customWidth="1"/>
  </cols>
  <sheetData>
    <row r="1" spans="1:4" s="6" customFormat="1" x14ac:dyDescent="0.2">
      <c r="A1" s="4" t="s">
        <v>13</v>
      </c>
      <c r="B1" s="4" t="s">
        <v>205</v>
      </c>
      <c r="C1" s="5" t="s">
        <v>203</v>
      </c>
      <c r="D1" s="6" t="s">
        <v>204</v>
      </c>
    </row>
    <row r="2" spans="1:4" x14ac:dyDescent="0.2">
      <c r="A2" t="str">
        <f>IF(ISNA(VLOOKUP(B2,Definitions!B$2:B$1882,1,FALSE)),"Not listed","")</f>
        <v/>
      </c>
      <c r="B2" t="s">
        <v>223</v>
      </c>
      <c r="C2" s="3" t="s">
        <v>421</v>
      </c>
      <c r="D2" t="s">
        <v>423</v>
      </c>
    </row>
    <row r="3" spans="1:4" x14ac:dyDescent="0.2">
      <c r="A3" t="str">
        <f>IF(ISNA(VLOOKUP(B3,Definitions!B$2:B$1882,1,FALSE)),"Not listed","")</f>
        <v/>
      </c>
      <c r="B3" t="s">
        <v>226</v>
      </c>
      <c r="C3" s="3" t="s">
        <v>421</v>
      </c>
      <c r="D3" t="s">
        <v>423</v>
      </c>
    </row>
    <row r="4" spans="1:4" x14ac:dyDescent="0.2">
      <c r="A4" t="str">
        <f>IF(ISNA(VLOOKUP(B4,Definitions!B$2:B$1882,1,FALSE)),"Not listed","")</f>
        <v/>
      </c>
      <c r="B4" t="s">
        <v>229</v>
      </c>
      <c r="C4" s="3" t="s">
        <v>421</v>
      </c>
      <c r="D4" t="s">
        <v>423</v>
      </c>
    </row>
    <row r="5" spans="1:4" x14ac:dyDescent="0.2">
      <c r="A5" t="str">
        <f>IF(ISNA(VLOOKUP(B5,Definitions!B$2:B$1882,1,FALSE)),"Not listed","")</f>
        <v/>
      </c>
      <c r="B5" t="s">
        <v>234</v>
      </c>
      <c r="C5" s="3" t="s">
        <v>421</v>
      </c>
      <c r="D5" t="s">
        <v>423</v>
      </c>
    </row>
    <row r="6" spans="1:4" x14ac:dyDescent="0.2">
      <c r="A6" t="str">
        <f>IF(ISNA(VLOOKUP(B6,Definitions!B$2:B$1882,1,FALSE)),"Not listed","")</f>
        <v/>
      </c>
      <c r="B6" t="s">
        <v>237</v>
      </c>
      <c r="C6" s="3" t="s">
        <v>421</v>
      </c>
      <c r="D6" t="s">
        <v>423</v>
      </c>
    </row>
    <row r="7" spans="1:4" x14ac:dyDescent="0.2">
      <c r="A7" t="str">
        <f>IF(ISNA(VLOOKUP(B7,Definitions!B$2:B$1882,1,FALSE)),"Not listed","")</f>
        <v/>
      </c>
      <c r="B7" t="s">
        <v>257</v>
      </c>
      <c r="C7" s="3" t="s">
        <v>421</v>
      </c>
      <c r="D7" t="s">
        <v>423</v>
      </c>
    </row>
    <row r="8" spans="1:4" x14ac:dyDescent="0.2">
      <c r="A8" t="str">
        <f>IF(ISNA(VLOOKUP(B8,Definitions!B$2:B$1882,1,FALSE)),"Not listed","")</f>
        <v/>
      </c>
      <c r="B8" t="s">
        <v>260</v>
      </c>
      <c r="C8" s="3" t="s">
        <v>421</v>
      </c>
      <c r="D8" t="s">
        <v>423</v>
      </c>
    </row>
    <row r="9" spans="1:4" x14ac:dyDescent="0.2">
      <c r="A9" t="str">
        <f>IF(ISNA(VLOOKUP(B9,Definitions!B$2:B$1882,1,FALSE)),"Not listed","")</f>
        <v/>
      </c>
      <c r="B9" t="s">
        <v>300</v>
      </c>
      <c r="C9" s="3" t="s">
        <v>421</v>
      </c>
      <c r="D9" t="s">
        <v>423</v>
      </c>
    </row>
    <row r="10" spans="1:4" x14ac:dyDescent="0.2">
      <c r="A10" t="str">
        <f>IF(ISNA(VLOOKUP(B10,Definitions!B$2:B$1882,1,FALSE)),"Not listed","")</f>
        <v/>
      </c>
      <c r="B10" t="s">
        <v>318</v>
      </c>
      <c r="C10" s="3" t="s">
        <v>421</v>
      </c>
      <c r="D10" t="s">
        <v>423</v>
      </c>
    </row>
    <row r="11" spans="1:4" x14ac:dyDescent="0.2">
      <c r="A11" t="str">
        <f>IF(ISNA(VLOOKUP(B11,Definitions!B$2:B$1882,1,FALSE)),"Not listed","")</f>
        <v/>
      </c>
      <c r="B11" t="s">
        <v>321</v>
      </c>
      <c r="C11" s="3" t="s">
        <v>421</v>
      </c>
      <c r="D11" t="s">
        <v>423</v>
      </c>
    </row>
    <row r="12" spans="1:4" x14ac:dyDescent="0.2">
      <c r="A12" t="str">
        <f>IF(ISNA(VLOOKUP(B12,Definitions!B$2:B$1882,1,FALSE)),"Not listed","")</f>
        <v/>
      </c>
      <c r="B12" t="s">
        <v>354</v>
      </c>
      <c r="C12" s="3" t="s">
        <v>421</v>
      </c>
      <c r="D12" t="s">
        <v>423</v>
      </c>
    </row>
    <row r="13" spans="1:4" x14ac:dyDescent="0.2">
      <c r="A13" t="str">
        <f>IF(ISNA(VLOOKUP(B13,Definitions!B$2:B$1882,1,FALSE)),"Not listed","")</f>
        <v/>
      </c>
      <c r="B13" t="s">
        <v>357</v>
      </c>
      <c r="C13" s="3" t="s">
        <v>421</v>
      </c>
      <c r="D13" t="s">
        <v>423</v>
      </c>
    </row>
    <row r="14" spans="1:4" x14ac:dyDescent="0.2">
      <c r="A14" t="str">
        <f>IF(ISNA(VLOOKUP(B14,Definitions!B$2:B$1882,1,FALSE)),"Not listed","")</f>
        <v/>
      </c>
      <c r="B14" t="s">
        <v>363</v>
      </c>
      <c r="C14" s="3" t="s">
        <v>421</v>
      </c>
      <c r="D14" t="s">
        <v>423</v>
      </c>
    </row>
    <row r="15" spans="1:4" x14ac:dyDescent="0.2">
      <c r="A15" t="str">
        <f>IF(ISNA(VLOOKUP(B15,Definitions!B$2:B$1882,1,FALSE)),"Not listed","")</f>
        <v/>
      </c>
      <c r="B15" t="s">
        <v>366</v>
      </c>
      <c r="C15" s="3" t="s">
        <v>421</v>
      </c>
      <c r="D15" t="s">
        <v>423</v>
      </c>
    </row>
    <row r="16" spans="1:4" x14ac:dyDescent="0.2">
      <c r="A16" t="str">
        <f>IF(ISNA(VLOOKUP(B16,Definitions!B$2:B$1882,1,FALSE)),"Not listed","")</f>
        <v/>
      </c>
      <c r="B16" t="s">
        <v>369</v>
      </c>
      <c r="C16" s="3" t="s">
        <v>421</v>
      </c>
      <c r="D16" t="s">
        <v>423</v>
      </c>
    </row>
    <row r="17" spans="1:4" x14ac:dyDescent="0.2">
      <c r="A17" t="str">
        <f>IF(ISNA(VLOOKUP(B17,Definitions!B$2:B$1882,1,FALSE)),"Not listed","")</f>
        <v/>
      </c>
      <c r="B17" t="s">
        <v>372</v>
      </c>
      <c r="C17" s="3" t="s">
        <v>421</v>
      </c>
      <c r="D17" t="s">
        <v>423</v>
      </c>
    </row>
    <row r="18" spans="1:4" x14ac:dyDescent="0.2">
      <c r="A18" t="str">
        <f>IF(ISNA(VLOOKUP(B18,Definitions!B$2:B$1882,1,FALSE)),"Not listed","")</f>
        <v/>
      </c>
      <c r="B18" t="s">
        <v>387</v>
      </c>
      <c r="C18" s="3" t="s">
        <v>421</v>
      </c>
      <c r="D18" t="s">
        <v>423</v>
      </c>
    </row>
    <row r="19" spans="1:4" x14ac:dyDescent="0.2">
      <c r="A19" t="str">
        <f>IF(ISNA(VLOOKUP(B19,Definitions!B$2:B$1882,1,FALSE)),"Not listed","")</f>
        <v/>
      </c>
      <c r="B19" t="s">
        <v>390</v>
      </c>
      <c r="C19" s="3" t="s">
        <v>421</v>
      </c>
      <c r="D19" t="s">
        <v>423</v>
      </c>
    </row>
    <row r="20" spans="1:4" x14ac:dyDescent="0.2">
      <c r="A20" t="str">
        <f>IF(ISNA(VLOOKUP(B20,Definitions!B$2:B$1882,1,FALSE)),"Not listed","")</f>
        <v/>
      </c>
      <c r="B20" t="s">
        <v>402</v>
      </c>
      <c r="C20" s="3" t="s">
        <v>421</v>
      </c>
      <c r="D20" t="s">
        <v>423</v>
      </c>
    </row>
    <row r="21" spans="1:4" x14ac:dyDescent="0.2">
      <c r="A21" t="str">
        <f>IF(ISNA(VLOOKUP(B21,Definitions!B$2:B$1882,1,FALSE)),"Not listed","")</f>
        <v/>
      </c>
      <c r="B21" t="s">
        <v>405</v>
      </c>
      <c r="C21" s="3" t="s">
        <v>421</v>
      </c>
      <c r="D21" t="s">
        <v>425</v>
      </c>
    </row>
    <row r="22" spans="1:4" x14ac:dyDescent="0.2">
      <c r="A22" t="str">
        <f>IF(ISNA(VLOOKUP(B22,Definitions!B$2:B$1882,1,FALSE)),"Not listed","")</f>
        <v/>
      </c>
      <c r="B22" t="s">
        <v>408</v>
      </c>
      <c r="C22" s="3" t="s">
        <v>421</v>
      </c>
      <c r="D22" t="s">
        <v>425</v>
      </c>
    </row>
    <row r="23" spans="1:4" x14ac:dyDescent="0.2">
      <c r="A23" t="str">
        <f>IF(ISNA(VLOOKUP(B23,Definitions!B$2:B$1882,1,FALSE)),"Not listed","")</f>
        <v/>
      </c>
      <c r="B23" t="s">
        <v>411</v>
      </c>
      <c r="C23" s="3" t="s">
        <v>421</v>
      </c>
      <c r="D23" t="s">
        <v>425</v>
      </c>
    </row>
    <row r="24" spans="1:4" x14ac:dyDescent="0.2">
      <c r="A24" t="str">
        <f>IF(ISNA(VLOOKUP(B24,Definitions!B$2:B$1882,1,FALSE)),"Not listed","")</f>
        <v/>
      </c>
      <c r="B24" t="s">
        <v>414</v>
      </c>
      <c r="C24" s="3" t="s">
        <v>421</v>
      </c>
      <c r="D24" t="s">
        <v>425</v>
      </c>
    </row>
    <row r="25" spans="1:4" x14ac:dyDescent="0.2">
      <c r="A25" t="str">
        <f>IF(ISNA(VLOOKUP(B25,Definitions!B$2:B$1882,1,FALSE)),"Not listed","")</f>
        <v/>
      </c>
      <c r="B25" t="s">
        <v>417</v>
      </c>
      <c r="C25" s="3" t="s">
        <v>421</v>
      </c>
      <c r="D25" t="s">
        <v>425</v>
      </c>
    </row>
    <row r="26" spans="1:4" x14ac:dyDescent="0.2">
      <c r="A26" t="str">
        <f>IF(ISNA(VLOOKUP(B26,Definitions!B$2:B$1882,1,FALSE)),"Not listed","")</f>
        <v/>
      </c>
      <c r="B26" t="s">
        <v>327</v>
      </c>
      <c r="C26" s="3" t="s">
        <v>421</v>
      </c>
      <c r="D26" t="s">
        <v>426</v>
      </c>
    </row>
    <row r="27" spans="1:4" x14ac:dyDescent="0.2">
      <c r="A27" t="str">
        <f>IF(ISNA(VLOOKUP(B27,Definitions!B$2:B$1882,1,FALSE)),"Not listed","")</f>
        <v/>
      </c>
      <c r="B27" t="s">
        <v>357</v>
      </c>
      <c r="C27" s="3" t="s">
        <v>421</v>
      </c>
      <c r="D27" t="s">
        <v>426</v>
      </c>
    </row>
    <row r="28" spans="1:4" x14ac:dyDescent="0.2">
      <c r="A28" t="str">
        <f>IF(ISNA(VLOOKUP(B28,Definitions!B$2:B$1882,1,FALSE)),"Not listed","")</f>
        <v/>
      </c>
      <c r="B28" t="s">
        <v>360</v>
      </c>
      <c r="C28" s="3" t="s">
        <v>421</v>
      </c>
      <c r="D28" t="s">
        <v>426</v>
      </c>
    </row>
    <row r="29" spans="1:4" x14ac:dyDescent="0.2">
      <c r="A29" t="str">
        <f>IF(ISNA(VLOOKUP(B29,Definitions!B$2:B$1882,1,FALSE)),"Not listed","")</f>
        <v/>
      </c>
      <c r="B29" t="s">
        <v>237</v>
      </c>
      <c r="C29" s="3" t="s">
        <v>421</v>
      </c>
      <c r="D29" t="s">
        <v>427</v>
      </c>
    </row>
    <row r="30" spans="1:4" x14ac:dyDescent="0.2">
      <c r="A30" t="str">
        <f>IF(ISNA(VLOOKUP(B30,Definitions!B$2:B$1882,1,FALSE)),"Not listed","")</f>
        <v/>
      </c>
      <c r="B30" t="s">
        <v>273</v>
      </c>
      <c r="C30" s="3" t="s">
        <v>421</v>
      </c>
      <c r="D30" t="s">
        <v>427</v>
      </c>
    </row>
    <row r="31" spans="1:4" x14ac:dyDescent="0.2">
      <c r="A31" t="str">
        <f>IF(ISNA(VLOOKUP(B31,Definitions!B$2:B$1882,1,FALSE)),"Not listed","")</f>
        <v/>
      </c>
      <c r="B31" t="s">
        <v>276</v>
      </c>
      <c r="C31" s="3" t="s">
        <v>421</v>
      </c>
      <c r="D31" t="s">
        <v>427</v>
      </c>
    </row>
    <row r="32" spans="1:4" x14ac:dyDescent="0.2">
      <c r="A32" t="str">
        <f>IF(ISNA(VLOOKUP(B32,Definitions!B$2:B$1882,1,FALSE)),"Not listed","")</f>
        <v/>
      </c>
      <c r="B32" t="s">
        <v>342</v>
      </c>
      <c r="C32" s="3" t="s">
        <v>421</v>
      </c>
      <c r="D32" t="s">
        <v>427</v>
      </c>
    </row>
    <row r="33" spans="1:4" x14ac:dyDescent="0.2">
      <c r="A33" t="str">
        <f>IF(ISNA(VLOOKUP(B33,Definitions!B$2:B$1882,1,FALSE)),"Not listed","")</f>
        <v/>
      </c>
      <c r="B33" t="s">
        <v>345</v>
      </c>
      <c r="C33" s="3" t="s">
        <v>421</v>
      </c>
      <c r="D33" t="s">
        <v>427</v>
      </c>
    </row>
    <row r="34" spans="1:4" x14ac:dyDescent="0.2">
      <c r="A34" t="str">
        <f>IF(ISNA(VLOOKUP(B34,Definitions!B$2:B$1882,1,FALSE)),"Not listed","")</f>
        <v/>
      </c>
      <c r="B34" t="s">
        <v>357</v>
      </c>
      <c r="C34" s="3" t="s">
        <v>421</v>
      </c>
      <c r="D34" t="s">
        <v>427</v>
      </c>
    </row>
    <row r="35" spans="1:4" x14ac:dyDescent="0.2">
      <c r="A35" t="str">
        <f>IF(ISNA(VLOOKUP(B35,Definitions!B$2:B$1882,1,FALSE)),"Not listed","")</f>
        <v/>
      </c>
      <c r="B35" t="s">
        <v>217</v>
      </c>
      <c r="C35" s="3" t="s">
        <v>421</v>
      </c>
      <c r="D35" t="s">
        <v>428</v>
      </c>
    </row>
    <row r="36" spans="1:4" x14ac:dyDescent="0.2">
      <c r="A36" t="str">
        <f>IF(ISNA(VLOOKUP(B36,Definitions!B$2:B$1882,1,FALSE)),"Not listed","")</f>
        <v/>
      </c>
      <c r="B36" t="s">
        <v>220</v>
      </c>
      <c r="C36" s="3" t="s">
        <v>421</v>
      </c>
      <c r="D36" t="s">
        <v>428</v>
      </c>
    </row>
    <row r="37" spans="1:4" x14ac:dyDescent="0.2">
      <c r="A37" t="str">
        <f>IF(ISNA(VLOOKUP(B37,Definitions!B$2:B$1882,1,FALSE)),"Not listed","")</f>
        <v/>
      </c>
      <c r="B37" t="s">
        <v>229</v>
      </c>
      <c r="C37" s="3" t="s">
        <v>421</v>
      </c>
      <c r="D37" t="s">
        <v>428</v>
      </c>
    </row>
    <row r="38" spans="1:4" x14ac:dyDescent="0.2">
      <c r="A38" t="str">
        <f>IF(ISNA(VLOOKUP(B38,Definitions!B$2:B$1882,1,FALSE)),"Not listed","")</f>
        <v/>
      </c>
      <c r="B38" t="s">
        <v>264</v>
      </c>
      <c r="C38" s="3" t="s">
        <v>421</v>
      </c>
      <c r="D38" t="s">
        <v>428</v>
      </c>
    </row>
    <row r="39" spans="1:4" x14ac:dyDescent="0.2">
      <c r="A39" t="str">
        <f>IF(ISNA(VLOOKUP(B39,Definitions!B$2:B$1882,1,FALSE)),"Not listed","")</f>
        <v/>
      </c>
      <c r="B39" t="s">
        <v>267</v>
      </c>
      <c r="C39" s="3" t="s">
        <v>421</v>
      </c>
      <c r="D39" t="s">
        <v>428</v>
      </c>
    </row>
    <row r="40" spans="1:4" x14ac:dyDescent="0.2">
      <c r="A40" t="str">
        <f>IF(ISNA(VLOOKUP(B40,Definitions!B$2:B$1882,1,FALSE)),"Not listed","")</f>
        <v/>
      </c>
      <c r="B40" t="s">
        <v>270</v>
      </c>
      <c r="C40" s="3" t="s">
        <v>421</v>
      </c>
      <c r="D40" t="s">
        <v>428</v>
      </c>
    </row>
    <row r="41" spans="1:4" x14ac:dyDescent="0.2">
      <c r="A41" t="str">
        <f>IF(ISNA(VLOOKUP(B41,Definitions!B$2:B$1882,1,FALSE)),"Not listed","")</f>
        <v/>
      </c>
      <c r="B41" t="s">
        <v>237</v>
      </c>
      <c r="C41" s="3" t="s">
        <v>421</v>
      </c>
      <c r="D41" t="s">
        <v>429</v>
      </c>
    </row>
    <row r="42" spans="1:4" x14ac:dyDescent="0.2">
      <c r="A42" t="str">
        <f>IF(ISNA(VLOOKUP(B42,Definitions!B$2:B$1882,1,FALSE)),"Not listed","")</f>
        <v/>
      </c>
      <c r="B42" t="s">
        <v>240</v>
      </c>
      <c r="C42" s="3" t="s">
        <v>421</v>
      </c>
      <c r="D42" t="s">
        <v>429</v>
      </c>
    </row>
    <row r="43" spans="1:4" x14ac:dyDescent="0.2">
      <c r="A43" t="str">
        <f>IF(ISNA(VLOOKUP(B43,Definitions!B$2:B$1882,1,FALSE)),"Not listed","")</f>
        <v/>
      </c>
      <c r="B43" t="s">
        <v>243</v>
      </c>
      <c r="C43" s="3" t="s">
        <v>421</v>
      </c>
      <c r="D43" t="s">
        <v>429</v>
      </c>
    </row>
    <row r="44" spans="1:4" x14ac:dyDescent="0.2">
      <c r="A44" t="str">
        <f>IF(ISNA(VLOOKUP(B44,Definitions!B$2:B$1882,1,FALSE)),"Not listed","")</f>
        <v/>
      </c>
      <c r="B44" t="s">
        <v>254</v>
      </c>
      <c r="C44" s="3" t="s">
        <v>421</v>
      </c>
      <c r="D44" t="s">
        <v>429</v>
      </c>
    </row>
    <row r="45" spans="1:4" x14ac:dyDescent="0.2">
      <c r="A45" t="str">
        <f>IF(ISNA(VLOOKUP(B45,Definitions!B$2:B$1882,1,FALSE)),"Not listed","")</f>
        <v/>
      </c>
      <c r="B45" t="s">
        <v>42</v>
      </c>
      <c r="C45" s="3" t="s">
        <v>421</v>
      </c>
      <c r="D45" t="s">
        <v>430</v>
      </c>
    </row>
    <row r="46" spans="1:4" x14ac:dyDescent="0.2">
      <c r="A46" t="str">
        <f>IF(ISNA(VLOOKUP(B46,Definitions!B$2:B$1882,1,FALSE)),"Not listed","")</f>
        <v/>
      </c>
      <c r="B46" t="s">
        <v>360</v>
      </c>
      <c r="C46" s="3" t="s">
        <v>421</v>
      </c>
      <c r="D46" t="s">
        <v>430</v>
      </c>
    </row>
    <row r="47" spans="1:4" x14ac:dyDescent="0.2">
      <c r="A47" t="str">
        <f>IF(ISNA(VLOOKUP(B47,Definitions!B$2:B$1882,1,FALSE)),"Not listed","")</f>
        <v/>
      </c>
      <c r="B47" t="s">
        <v>245</v>
      </c>
      <c r="C47" s="3" t="s">
        <v>421</v>
      </c>
      <c r="D47" t="s">
        <v>431</v>
      </c>
    </row>
    <row r="48" spans="1:4" x14ac:dyDescent="0.2">
      <c r="A48" t="str">
        <f>IF(ISNA(VLOOKUP(B48,Definitions!B$2:B$1882,1,FALSE)),"Not listed","")</f>
        <v/>
      </c>
      <c r="B48" t="s">
        <v>248</v>
      </c>
      <c r="C48" s="3" t="s">
        <v>421</v>
      </c>
      <c r="D48" t="s">
        <v>431</v>
      </c>
    </row>
    <row r="49" spans="1:4" x14ac:dyDescent="0.2">
      <c r="A49" t="str">
        <f>IF(ISNA(VLOOKUP(B49,Definitions!B$2:B$1882,1,FALSE)),"Not listed","")</f>
        <v/>
      </c>
      <c r="B49" t="s">
        <v>291</v>
      </c>
      <c r="C49" s="3" t="s">
        <v>421</v>
      </c>
      <c r="D49" t="s">
        <v>431</v>
      </c>
    </row>
    <row r="50" spans="1:4" x14ac:dyDescent="0.2">
      <c r="A50" t="str">
        <f>IF(ISNA(VLOOKUP(B50,Definitions!B$2:B$1882,1,FALSE)),"Not listed","")</f>
        <v/>
      </c>
      <c r="B50" t="s">
        <v>294</v>
      </c>
      <c r="C50" s="3" t="s">
        <v>421</v>
      </c>
      <c r="D50" t="s">
        <v>431</v>
      </c>
    </row>
    <row r="51" spans="1:4" x14ac:dyDescent="0.2">
      <c r="A51" t="str">
        <f>IF(ISNA(VLOOKUP(B51,Definitions!B$2:B$1882,1,FALSE)),"Not listed","")</f>
        <v/>
      </c>
      <c r="B51" t="s">
        <v>297</v>
      </c>
      <c r="C51" s="3" t="s">
        <v>421</v>
      </c>
      <c r="D51" t="s">
        <v>431</v>
      </c>
    </row>
    <row r="52" spans="1:4" x14ac:dyDescent="0.2">
      <c r="A52" t="str">
        <f>IF(ISNA(VLOOKUP(B52,Definitions!B$2:B$1882,1,FALSE)),"Not listed","")</f>
        <v/>
      </c>
      <c r="B52" t="s">
        <v>357</v>
      </c>
      <c r="C52" s="3" t="s">
        <v>421</v>
      </c>
      <c r="D52" t="s">
        <v>431</v>
      </c>
    </row>
    <row r="53" spans="1:4" x14ac:dyDescent="0.2">
      <c r="A53" t="str">
        <f>IF(ISNA(VLOOKUP(B53,Definitions!B$2:B$1882,1,FALSE)),"Not listed","")</f>
        <v/>
      </c>
      <c r="B53" t="s">
        <v>360</v>
      </c>
      <c r="C53" s="3" t="s">
        <v>421</v>
      </c>
      <c r="D53" t="s">
        <v>431</v>
      </c>
    </row>
    <row r="54" spans="1:4" x14ac:dyDescent="0.2">
      <c r="A54" t="str">
        <f>IF(ISNA(VLOOKUP(B54,Definitions!B$2:B$1882,1,FALSE)),"Not listed","")</f>
        <v/>
      </c>
      <c r="B54" t="s">
        <v>393</v>
      </c>
      <c r="C54" s="3" t="s">
        <v>421</v>
      </c>
      <c r="D54" t="s">
        <v>431</v>
      </c>
    </row>
    <row r="55" spans="1:4" x14ac:dyDescent="0.2">
      <c r="A55" t="str">
        <f>IF(ISNA(VLOOKUP(B55,Definitions!B$2:B$1882,1,FALSE)),"Not listed","")</f>
        <v/>
      </c>
      <c r="B55" t="s">
        <v>396</v>
      </c>
      <c r="C55" s="3" t="s">
        <v>421</v>
      </c>
      <c r="D55" t="s">
        <v>431</v>
      </c>
    </row>
    <row r="56" spans="1:4" x14ac:dyDescent="0.2">
      <c r="A56" t="str">
        <f>IF(ISNA(VLOOKUP(B56,Definitions!B$2:B$1882,1,FALSE)),"Not listed","")</f>
        <v/>
      </c>
      <c r="B56" t="s">
        <v>399</v>
      </c>
      <c r="C56" s="3" t="s">
        <v>421</v>
      </c>
      <c r="D56" t="s">
        <v>431</v>
      </c>
    </row>
    <row r="57" spans="1:4" x14ac:dyDescent="0.2">
      <c r="A57" t="str">
        <f>IF(ISNA(VLOOKUP(B57,Definitions!B$2:B$1882,1,FALSE)),"Not listed","")</f>
        <v/>
      </c>
      <c r="B57" t="s">
        <v>285</v>
      </c>
      <c r="C57" s="3" t="s">
        <v>421</v>
      </c>
      <c r="D57" t="s">
        <v>432</v>
      </c>
    </row>
    <row r="58" spans="1:4" x14ac:dyDescent="0.2">
      <c r="A58" t="str">
        <f>IF(ISNA(VLOOKUP(B58,Definitions!B$2:B$1882,1,FALSE)),"Not listed","")</f>
        <v/>
      </c>
      <c r="B58" t="s">
        <v>288</v>
      </c>
      <c r="C58" s="3" t="s">
        <v>421</v>
      </c>
      <c r="D58" t="s">
        <v>432</v>
      </c>
    </row>
    <row r="59" spans="1:4" x14ac:dyDescent="0.2">
      <c r="A59" t="str">
        <f>IF(ISNA(VLOOKUP(B59,Definitions!B$2:B$1882,1,FALSE)),"Not listed","")</f>
        <v/>
      </c>
      <c r="B59" t="s">
        <v>291</v>
      </c>
      <c r="C59" s="3" t="s">
        <v>421</v>
      </c>
      <c r="D59" t="s">
        <v>432</v>
      </c>
    </row>
    <row r="60" spans="1:4" x14ac:dyDescent="0.2">
      <c r="A60" t="str">
        <f>IF(ISNA(VLOOKUP(B60,Definitions!B$2:B$1882,1,FALSE)),"Not listed","")</f>
        <v/>
      </c>
      <c r="B60" t="s">
        <v>294</v>
      </c>
      <c r="C60" s="3" t="s">
        <v>421</v>
      </c>
      <c r="D60" t="s">
        <v>432</v>
      </c>
    </row>
    <row r="61" spans="1:4" x14ac:dyDescent="0.2">
      <c r="A61" t="str">
        <f>IF(ISNA(VLOOKUP(B61,Definitions!B$2:B$1882,1,FALSE)),"Not listed","")</f>
        <v/>
      </c>
      <c r="B61" t="s">
        <v>297</v>
      </c>
      <c r="C61" s="3" t="s">
        <v>421</v>
      </c>
      <c r="D61" t="s">
        <v>432</v>
      </c>
    </row>
    <row r="62" spans="1:4" x14ac:dyDescent="0.2">
      <c r="A62" t="str">
        <f>IF(ISNA(VLOOKUP(B62,Definitions!B$2:B$1882,1,FALSE)),"Not listed","")</f>
        <v/>
      </c>
      <c r="B62" t="s">
        <v>300</v>
      </c>
      <c r="C62" s="3" t="s">
        <v>421</v>
      </c>
      <c r="D62" t="s">
        <v>432</v>
      </c>
    </row>
    <row r="63" spans="1:4" x14ac:dyDescent="0.2">
      <c r="A63" t="str">
        <f>IF(ISNA(VLOOKUP(B63,Definitions!B$2:B$1882,1,FALSE)),"Not listed","")</f>
        <v/>
      </c>
      <c r="B63" t="s">
        <v>223</v>
      </c>
      <c r="C63" s="3" t="s">
        <v>421</v>
      </c>
      <c r="D63" t="s">
        <v>433</v>
      </c>
    </row>
    <row r="64" spans="1:4" x14ac:dyDescent="0.2">
      <c r="A64" t="str">
        <f>IF(ISNA(VLOOKUP(B64,Definitions!B$2:B$1882,1,FALSE)),"Not listed","")</f>
        <v/>
      </c>
      <c r="B64" t="s">
        <v>303</v>
      </c>
      <c r="C64" s="3" t="s">
        <v>421</v>
      </c>
      <c r="D64" t="s">
        <v>433</v>
      </c>
    </row>
    <row r="65" spans="1:4" x14ac:dyDescent="0.2">
      <c r="A65" t="str">
        <f>IF(ISNA(VLOOKUP(B65,Definitions!B$2:B$1882,1,FALSE)),"Not listed","")</f>
        <v/>
      </c>
      <c r="B65" t="s">
        <v>306</v>
      </c>
      <c r="C65" s="3" t="s">
        <v>421</v>
      </c>
      <c r="D65" t="s">
        <v>433</v>
      </c>
    </row>
    <row r="66" spans="1:4" x14ac:dyDescent="0.2">
      <c r="A66" t="str">
        <f>IF(ISNA(VLOOKUP(B66,Definitions!B$2:B$1882,1,FALSE)),"Not listed","")</f>
        <v/>
      </c>
      <c r="B66" t="s">
        <v>318</v>
      </c>
      <c r="C66" s="3" t="s">
        <v>421</v>
      </c>
      <c r="D66" t="s">
        <v>433</v>
      </c>
    </row>
    <row r="67" spans="1:4" x14ac:dyDescent="0.2">
      <c r="A67" t="str">
        <f>IF(ISNA(VLOOKUP(B67,Definitions!B$2:B$1882,1,FALSE)),"Not listed","")</f>
        <v/>
      </c>
      <c r="B67" t="s">
        <v>321</v>
      </c>
      <c r="C67" s="3" t="s">
        <v>421</v>
      </c>
      <c r="D67" t="s">
        <v>433</v>
      </c>
    </row>
    <row r="68" spans="1:4" x14ac:dyDescent="0.2">
      <c r="A68" t="str">
        <f>IF(ISNA(VLOOKUP(B68,Definitions!B$2:B$1882,1,FALSE)),"Not listed","")</f>
        <v/>
      </c>
      <c r="B68" t="s">
        <v>366</v>
      </c>
      <c r="C68" s="3" t="s">
        <v>421</v>
      </c>
      <c r="D68" t="s">
        <v>433</v>
      </c>
    </row>
    <row r="69" spans="1:4" x14ac:dyDescent="0.2">
      <c r="A69" t="str">
        <f>IF(ISNA(VLOOKUP(B69,Definitions!B$2:B$1882,1,FALSE)),"Not listed","")</f>
        <v/>
      </c>
      <c r="B69" t="s">
        <v>223</v>
      </c>
      <c r="C69" s="3" t="s">
        <v>421</v>
      </c>
      <c r="D69" t="s">
        <v>434</v>
      </c>
    </row>
    <row r="70" spans="1:4" x14ac:dyDescent="0.2">
      <c r="A70" t="str">
        <f>IF(ISNA(VLOOKUP(B70,Definitions!B$2:B$1882,1,FALSE)),"Not listed","")</f>
        <v/>
      </c>
      <c r="B70" t="s">
        <v>303</v>
      </c>
      <c r="C70" s="3" t="s">
        <v>421</v>
      </c>
      <c r="D70" t="s">
        <v>434</v>
      </c>
    </row>
    <row r="71" spans="1:4" x14ac:dyDescent="0.2">
      <c r="A71" t="str">
        <f>IF(ISNA(VLOOKUP(B71,Definitions!B$2:B$1882,1,FALSE)),"Not listed","")</f>
        <v/>
      </c>
      <c r="B71" t="s">
        <v>306</v>
      </c>
      <c r="C71" s="3" t="s">
        <v>421</v>
      </c>
      <c r="D71" t="s">
        <v>434</v>
      </c>
    </row>
    <row r="72" spans="1:4" x14ac:dyDescent="0.2">
      <c r="A72" t="str">
        <f>IF(ISNA(VLOOKUP(B72,Definitions!B$2:B$1882,1,FALSE)),"Not listed","")</f>
        <v/>
      </c>
      <c r="B72" t="s">
        <v>318</v>
      </c>
      <c r="C72" s="3" t="s">
        <v>421</v>
      </c>
      <c r="D72" t="s">
        <v>434</v>
      </c>
    </row>
    <row r="73" spans="1:4" x14ac:dyDescent="0.2">
      <c r="A73" t="str">
        <f>IF(ISNA(VLOOKUP(B73,Definitions!B$2:B$1882,1,FALSE)),"Not listed","")</f>
        <v/>
      </c>
      <c r="B73" t="s">
        <v>321</v>
      </c>
      <c r="C73" s="3" t="s">
        <v>421</v>
      </c>
      <c r="D73" t="s">
        <v>434</v>
      </c>
    </row>
    <row r="74" spans="1:4" x14ac:dyDescent="0.2">
      <c r="A74" t="str">
        <f>IF(ISNA(VLOOKUP(B74,Definitions!B$2:B$1882,1,FALSE)),"Not listed","")</f>
        <v/>
      </c>
      <c r="B74" t="s">
        <v>366</v>
      </c>
      <c r="C74" s="3" t="s">
        <v>421</v>
      </c>
      <c r="D74" t="s">
        <v>434</v>
      </c>
    </row>
    <row r="75" spans="1:4" x14ac:dyDescent="0.2">
      <c r="A75" t="str">
        <f>IF(ISNA(VLOOKUP(B75,Definitions!B$2:B$1882,1,FALSE)),"Not listed","")</f>
        <v/>
      </c>
      <c r="B75" t="s">
        <v>279</v>
      </c>
      <c r="C75" s="3" t="s">
        <v>421</v>
      </c>
      <c r="D75" t="s">
        <v>435</v>
      </c>
    </row>
    <row r="76" spans="1:4" x14ac:dyDescent="0.2">
      <c r="A76" t="str">
        <f>IF(ISNA(VLOOKUP(B76,Definitions!B$2:B$1882,1,FALSE)),"Not listed","")</f>
        <v/>
      </c>
      <c r="B76" t="s">
        <v>282</v>
      </c>
      <c r="C76" s="3" t="s">
        <v>421</v>
      </c>
      <c r="D76" t="s">
        <v>435</v>
      </c>
    </row>
    <row r="77" spans="1:4" x14ac:dyDescent="0.2">
      <c r="A77" t="str">
        <f>IF(ISNA(VLOOKUP(B77,Definitions!B$2:B$1882,1,FALSE)),"Not listed","")</f>
        <v/>
      </c>
      <c r="B77" t="s">
        <v>375</v>
      </c>
      <c r="C77" s="3" t="s">
        <v>421</v>
      </c>
      <c r="D77" t="s">
        <v>435</v>
      </c>
    </row>
    <row r="78" spans="1:4" x14ac:dyDescent="0.2">
      <c r="A78" t="str">
        <f>IF(ISNA(VLOOKUP(B78,Definitions!B$2:B$1882,1,FALSE)),"Not listed","")</f>
        <v/>
      </c>
      <c r="B78" t="s">
        <v>378</v>
      </c>
      <c r="C78" s="3" t="s">
        <v>421</v>
      </c>
      <c r="D78" t="s">
        <v>435</v>
      </c>
    </row>
    <row r="79" spans="1:4" x14ac:dyDescent="0.2">
      <c r="A79" t="str">
        <f>IF(ISNA(VLOOKUP(B79,Definitions!B$2:B$1882,1,FALSE)),"Not listed","")</f>
        <v/>
      </c>
      <c r="B79" t="s">
        <v>381</v>
      </c>
      <c r="C79" s="3" t="s">
        <v>421</v>
      </c>
      <c r="D79" t="s">
        <v>435</v>
      </c>
    </row>
    <row r="80" spans="1:4" x14ac:dyDescent="0.2">
      <c r="A80" t="str">
        <f>IF(ISNA(VLOOKUP(B80,Definitions!B$2:B$1882,1,FALSE)),"Not listed","")</f>
        <v/>
      </c>
      <c r="B80" t="s">
        <v>384</v>
      </c>
      <c r="C80" s="3" t="s">
        <v>421</v>
      </c>
      <c r="D80" t="s">
        <v>435</v>
      </c>
    </row>
    <row r="81" spans="1:4" x14ac:dyDescent="0.2">
      <c r="A81" t="str">
        <f>IF(ISNA(VLOOKUP(B81,Definitions!B$2:B$1882,1,FALSE)),"Not listed","")</f>
        <v/>
      </c>
      <c r="B81" t="s">
        <v>312</v>
      </c>
      <c r="C81" s="3" t="s">
        <v>421</v>
      </c>
      <c r="D81" t="s">
        <v>436</v>
      </c>
    </row>
    <row r="82" spans="1:4" x14ac:dyDescent="0.2">
      <c r="A82" t="str">
        <f>IF(ISNA(VLOOKUP(B82,Definitions!B$2:B$1882,1,FALSE)),"Not listed","")</f>
        <v/>
      </c>
      <c r="B82" t="s">
        <v>315</v>
      </c>
      <c r="C82" s="3" t="s">
        <v>421</v>
      </c>
      <c r="D82" t="s">
        <v>436</v>
      </c>
    </row>
    <row r="83" spans="1:4" x14ac:dyDescent="0.2">
      <c r="A83" t="str">
        <f>IF(ISNA(VLOOKUP(B83,Definitions!B$2:B$1882,1,FALSE)),"Not listed","")</f>
        <v/>
      </c>
      <c r="B83" t="s">
        <v>348</v>
      </c>
      <c r="C83" s="3" t="s">
        <v>421</v>
      </c>
      <c r="D83" t="s">
        <v>436</v>
      </c>
    </row>
    <row r="84" spans="1:4" x14ac:dyDescent="0.2">
      <c r="A84" t="str">
        <f>IF(ISNA(VLOOKUP(B84,Definitions!B$2:B$1882,1,FALSE)),"Not listed","")</f>
        <v/>
      </c>
      <c r="B84" t="s">
        <v>214</v>
      </c>
      <c r="C84" s="3" t="s">
        <v>421</v>
      </c>
      <c r="D84" t="s">
        <v>437</v>
      </c>
    </row>
    <row r="85" spans="1:4" x14ac:dyDescent="0.2">
      <c r="A85" t="str">
        <f>IF(ISNA(VLOOKUP(B85,Definitions!B$2:B$1882,1,FALSE)),"Not listed","")</f>
        <v/>
      </c>
      <c r="B85" t="s">
        <v>223</v>
      </c>
      <c r="C85" s="3" t="s">
        <v>421</v>
      </c>
      <c r="D85" t="s">
        <v>437</v>
      </c>
    </row>
    <row r="86" spans="1:4" x14ac:dyDescent="0.2">
      <c r="A86" t="str">
        <f>IF(ISNA(VLOOKUP(B86,Definitions!B$2:B$1882,1,FALSE)),"Not listed","")</f>
        <v/>
      </c>
      <c r="B86" t="s">
        <v>229</v>
      </c>
      <c r="C86" s="3" t="s">
        <v>421</v>
      </c>
      <c r="D86" t="s">
        <v>437</v>
      </c>
    </row>
    <row r="87" spans="1:4" x14ac:dyDescent="0.2">
      <c r="A87" t="str">
        <f>IF(ISNA(VLOOKUP(B87,Definitions!B$2:B$1882,1,FALSE)),"Not listed","")</f>
        <v/>
      </c>
      <c r="B87" t="s">
        <v>303</v>
      </c>
      <c r="C87" s="3" t="s">
        <v>421</v>
      </c>
      <c r="D87" t="s">
        <v>437</v>
      </c>
    </row>
    <row r="88" spans="1:4" x14ac:dyDescent="0.2">
      <c r="A88" t="str">
        <f>IF(ISNA(VLOOKUP(B88,Definitions!B$2:B$1882,1,FALSE)),"Not listed","")</f>
        <v/>
      </c>
      <c r="B88" t="s">
        <v>306</v>
      </c>
      <c r="C88" s="3" t="s">
        <v>421</v>
      </c>
      <c r="D88" t="s">
        <v>437</v>
      </c>
    </row>
    <row r="89" spans="1:4" x14ac:dyDescent="0.2">
      <c r="A89" t="str">
        <f>IF(ISNA(VLOOKUP(B89,Definitions!B$2:B$1882,1,FALSE)),"Not listed","")</f>
        <v/>
      </c>
      <c r="B89" t="s">
        <v>309</v>
      </c>
      <c r="C89" s="3" t="s">
        <v>421</v>
      </c>
      <c r="D89" t="s">
        <v>437</v>
      </c>
    </row>
    <row r="90" spans="1:4" x14ac:dyDescent="0.2">
      <c r="A90" t="str">
        <f>IF(ISNA(VLOOKUP(B90,Definitions!B$2:B$1882,1,FALSE)),"Not listed","")</f>
        <v/>
      </c>
      <c r="B90" t="s">
        <v>318</v>
      </c>
      <c r="C90" s="3" t="s">
        <v>421</v>
      </c>
      <c r="D90" t="s">
        <v>437</v>
      </c>
    </row>
    <row r="91" spans="1:4" x14ac:dyDescent="0.2">
      <c r="A91" t="str">
        <f>IF(ISNA(VLOOKUP(B91,Definitions!B$2:B$1882,1,FALSE)),"Not listed","")</f>
        <v/>
      </c>
      <c r="B91" t="s">
        <v>321</v>
      </c>
      <c r="C91" s="3" t="s">
        <v>421</v>
      </c>
      <c r="D91" t="s">
        <v>437</v>
      </c>
    </row>
    <row r="92" spans="1:4" x14ac:dyDescent="0.2">
      <c r="A92" t="str">
        <f>IF(ISNA(VLOOKUP(B92,Definitions!B$2:B$1882,1,FALSE)),"Not listed","")</f>
        <v/>
      </c>
      <c r="B92" t="s">
        <v>351</v>
      </c>
      <c r="C92" s="3" t="s">
        <v>421</v>
      </c>
      <c r="D92" t="s">
        <v>437</v>
      </c>
    </row>
    <row r="93" spans="1:4" x14ac:dyDescent="0.2">
      <c r="A93" t="str">
        <f>IF(ISNA(VLOOKUP(B93,Definitions!B$2:B$1882,1,FALSE)),"Not listed","")</f>
        <v/>
      </c>
      <c r="B93" t="s">
        <v>366</v>
      </c>
      <c r="C93" s="3" t="s">
        <v>421</v>
      </c>
      <c r="D93" t="s">
        <v>437</v>
      </c>
    </row>
    <row r="94" spans="1:4" x14ac:dyDescent="0.2">
      <c r="A94" t="str">
        <f>IF(ISNA(VLOOKUP(B94,Definitions!B$2:B$1882,1,FALSE)),"Not listed","")</f>
        <v/>
      </c>
      <c r="B94" t="s">
        <v>214</v>
      </c>
      <c r="C94" s="3" t="s">
        <v>421</v>
      </c>
      <c r="D94" t="s">
        <v>438</v>
      </c>
    </row>
    <row r="95" spans="1:4" x14ac:dyDescent="0.2">
      <c r="A95" t="str">
        <f>IF(ISNA(VLOOKUP(B95,Definitions!B$2:B$1882,1,FALSE)),"Not listed","")</f>
        <v/>
      </c>
      <c r="B95" t="s">
        <v>223</v>
      </c>
      <c r="C95" s="3" t="s">
        <v>421</v>
      </c>
      <c r="D95" t="s">
        <v>438</v>
      </c>
    </row>
    <row r="96" spans="1:4" x14ac:dyDescent="0.2">
      <c r="A96" t="str">
        <f>IF(ISNA(VLOOKUP(B96,Definitions!B$2:B$1882,1,FALSE)),"Not listed","")</f>
        <v/>
      </c>
      <c r="B96" t="s">
        <v>229</v>
      </c>
      <c r="C96" s="3" t="s">
        <v>421</v>
      </c>
      <c r="D96" t="s">
        <v>438</v>
      </c>
    </row>
    <row r="97" spans="1:4" x14ac:dyDescent="0.2">
      <c r="A97" t="str">
        <f>IF(ISNA(VLOOKUP(B97,Definitions!B$2:B$1882,1,FALSE)),"Not listed","")</f>
        <v/>
      </c>
      <c r="B97" t="s">
        <v>303</v>
      </c>
      <c r="C97" s="3" t="s">
        <v>421</v>
      </c>
      <c r="D97" t="s">
        <v>438</v>
      </c>
    </row>
    <row r="98" spans="1:4" x14ac:dyDescent="0.2">
      <c r="A98" t="str">
        <f>IF(ISNA(VLOOKUP(B98,Definitions!B$2:B$1882,1,FALSE)),"Not listed","")</f>
        <v/>
      </c>
      <c r="B98" t="s">
        <v>306</v>
      </c>
      <c r="C98" s="3" t="s">
        <v>421</v>
      </c>
      <c r="D98" t="s">
        <v>438</v>
      </c>
    </row>
    <row r="99" spans="1:4" x14ac:dyDescent="0.2">
      <c r="A99" t="str">
        <f>IF(ISNA(VLOOKUP(B99,Definitions!B$2:B$1882,1,FALSE)),"Not listed","")</f>
        <v/>
      </c>
      <c r="B99" t="s">
        <v>309</v>
      </c>
      <c r="C99" s="3" t="s">
        <v>421</v>
      </c>
      <c r="D99" t="s">
        <v>438</v>
      </c>
    </row>
    <row r="100" spans="1:4" x14ac:dyDescent="0.2">
      <c r="A100" t="str">
        <f>IF(ISNA(VLOOKUP(B100,Definitions!B$2:B$1882,1,FALSE)),"Not listed","")</f>
        <v/>
      </c>
      <c r="B100" t="s">
        <v>318</v>
      </c>
      <c r="C100" s="3" t="s">
        <v>421</v>
      </c>
      <c r="D100" t="s">
        <v>438</v>
      </c>
    </row>
    <row r="101" spans="1:4" x14ac:dyDescent="0.2">
      <c r="A101" t="str">
        <f>IF(ISNA(VLOOKUP(B101,Definitions!B$2:B$1882,1,FALSE)),"Not listed","")</f>
        <v/>
      </c>
      <c r="B101" t="s">
        <v>321</v>
      </c>
      <c r="C101" s="3" t="s">
        <v>421</v>
      </c>
      <c r="D101" t="s">
        <v>438</v>
      </c>
    </row>
    <row r="102" spans="1:4" x14ac:dyDescent="0.2">
      <c r="A102" t="str">
        <f>IF(ISNA(VLOOKUP(B102,Definitions!B$2:B$1882,1,FALSE)),"Not listed","")</f>
        <v/>
      </c>
      <c r="B102" t="s">
        <v>366</v>
      </c>
      <c r="C102" s="3" t="s">
        <v>421</v>
      </c>
      <c r="D102" t="s">
        <v>438</v>
      </c>
    </row>
    <row r="103" spans="1:4" x14ac:dyDescent="0.2">
      <c r="A103" t="str">
        <f>IF(ISNA(VLOOKUP(B103,Definitions!B$2:B$1882,1,FALSE)),"Not listed","")</f>
        <v/>
      </c>
      <c r="B103" t="s">
        <v>327</v>
      </c>
      <c r="C103" s="3" t="s">
        <v>421</v>
      </c>
      <c r="D103" t="s">
        <v>439</v>
      </c>
    </row>
    <row r="104" spans="1:4" x14ac:dyDescent="0.2">
      <c r="A104" t="str">
        <f>IF(ISNA(VLOOKUP(B104,Definitions!B$2:B$1882,1,FALSE)),"Not listed","")</f>
        <v/>
      </c>
      <c r="B104" t="s">
        <v>324</v>
      </c>
      <c r="C104" s="3" t="s">
        <v>421</v>
      </c>
      <c r="D104" t="s">
        <v>439</v>
      </c>
    </row>
    <row r="105" spans="1:4" x14ac:dyDescent="0.2">
      <c r="A105" t="str">
        <f>IF(ISNA(VLOOKUP(B105,Definitions!B$2:B$1882,1,FALSE)),"Not listed","")</f>
        <v/>
      </c>
      <c r="B105" t="s">
        <v>330</v>
      </c>
      <c r="C105" s="3" t="s">
        <v>421</v>
      </c>
      <c r="D105" t="s">
        <v>439</v>
      </c>
    </row>
    <row r="106" spans="1:4" x14ac:dyDescent="0.2">
      <c r="A106" t="str">
        <f>IF(ISNA(VLOOKUP(B106,Definitions!B$2:B$1882,1,FALSE)),"Not listed","")</f>
        <v/>
      </c>
      <c r="B106" t="s">
        <v>333</v>
      </c>
      <c r="C106" s="3" t="s">
        <v>421</v>
      </c>
      <c r="D106" t="s">
        <v>439</v>
      </c>
    </row>
    <row r="107" spans="1:4" x14ac:dyDescent="0.2">
      <c r="A107" t="str">
        <f>IF(ISNA(VLOOKUP(B107,Definitions!B$2:B$1882,1,FALSE)),"Not listed","")</f>
        <v/>
      </c>
      <c r="B107" t="s">
        <v>336</v>
      </c>
      <c r="C107" s="3" t="s">
        <v>421</v>
      </c>
      <c r="D107" t="s">
        <v>439</v>
      </c>
    </row>
    <row r="108" spans="1:4" x14ac:dyDescent="0.2">
      <c r="A108" t="str">
        <f>IF(ISNA(VLOOKUP(B108,Definitions!B$2:B$1882,1,FALSE)),"Not listed","")</f>
        <v/>
      </c>
      <c r="B108" t="s">
        <v>339</v>
      </c>
      <c r="C108" s="3" t="s">
        <v>421</v>
      </c>
      <c r="D108" t="s">
        <v>439</v>
      </c>
    </row>
    <row r="109" spans="1:4" x14ac:dyDescent="0.2">
      <c r="A109" t="str">
        <f>IF(ISNA(VLOOKUP(B109,Definitions!B$2:B$1882,1,FALSE)),"Not listed","")</f>
        <v/>
      </c>
      <c r="B109" t="s">
        <v>357</v>
      </c>
      <c r="C109" s="3" t="s">
        <v>421</v>
      </c>
      <c r="D109" t="s">
        <v>440</v>
      </c>
    </row>
    <row r="110" spans="1:4" x14ac:dyDescent="0.2">
      <c r="A110" t="str">
        <f>IF(ISNA(VLOOKUP(B110,Definitions!B$2:B$1882,1,FALSE)),"Not listed","")</f>
        <v/>
      </c>
      <c r="B110" t="s">
        <v>360</v>
      </c>
      <c r="C110" s="3" t="s">
        <v>421</v>
      </c>
      <c r="D110" t="s">
        <v>440</v>
      </c>
    </row>
    <row r="111" spans="1:4" x14ac:dyDescent="0.2">
      <c r="A111" t="str">
        <f>IF(ISNA(VLOOKUP(B111,Definitions!B$2:B$1882,1,FALSE)),"Not listed","")</f>
        <v/>
      </c>
      <c r="B111" t="s">
        <v>237</v>
      </c>
      <c r="C111" s="3" t="s">
        <v>421</v>
      </c>
      <c r="D111" t="s">
        <v>441</v>
      </c>
    </row>
    <row r="112" spans="1:4" x14ac:dyDescent="0.2">
      <c r="A112" t="str">
        <f>IF(ISNA(VLOOKUP(B112,Definitions!B$2:B$1882,1,FALSE)),"Not listed","")</f>
        <v/>
      </c>
      <c r="B112" t="s">
        <v>245</v>
      </c>
      <c r="C112" s="3" t="s">
        <v>421</v>
      </c>
      <c r="D112" t="s">
        <v>441</v>
      </c>
    </row>
    <row r="113" spans="1:4" x14ac:dyDescent="0.2">
      <c r="A113" t="str">
        <f>IF(ISNA(VLOOKUP(B113,Definitions!B$2:B$1882,1,FALSE)),"Not listed","")</f>
        <v/>
      </c>
      <c r="B113" t="s">
        <v>248</v>
      </c>
      <c r="C113" s="3" t="s">
        <v>421</v>
      </c>
      <c r="D113" t="s">
        <v>441</v>
      </c>
    </row>
    <row r="114" spans="1:4" x14ac:dyDescent="0.2">
      <c r="A114" t="str">
        <f>IF(ISNA(VLOOKUP(B114,Definitions!B$2:B$1882,1,FALSE)),"Not listed","")</f>
        <v/>
      </c>
      <c r="B114" t="s">
        <v>251</v>
      </c>
      <c r="C114" s="3" t="s">
        <v>421</v>
      </c>
      <c r="D114" t="s">
        <v>441</v>
      </c>
    </row>
    <row r="115" spans="1:4" x14ac:dyDescent="0.2">
      <c r="A115" t="str">
        <f>IF(ISNA(VLOOKUP(B115,Definitions!B$2:B$1882,1,FALSE)),"Not listed","")</f>
        <v/>
      </c>
      <c r="B115" t="s">
        <v>273</v>
      </c>
      <c r="C115" s="3" t="s">
        <v>421</v>
      </c>
      <c r="D115" t="s">
        <v>441</v>
      </c>
    </row>
    <row r="116" spans="1:4" x14ac:dyDescent="0.2">
      <c r="A116" t="str">
        <f>IF(ISNA(VLOOKUP(B116,Definitions!B$2:B$1882,1,FALSE)),"Not listed","")</f>
        <v/>
      </c>
      <c r="B116" t="s">
        <v>276</v>
      </c>
      <c r="C116" s="3" t="s">
        <v>421</v>
      </c>
      <c r="D116" t="s">
        <v>441</v>
      </c>
    </row>
    <row r="117" spans="1:4" x14ac:dyDescent="0.2">
      <c r="A117" t="str">
        <f>IF(ISNA(VLOOKUP(B117,Definitions!B$2:B$1882,1,FALSE)),"Not listed","")</f>
        <v/>
      </c>
      <c r="B117" t="s">
        <v>360</v>
      </c>
      <c r="C117" s="3" t="s">
        <v>421</v>
      </c>
      <c r="D117" t="s">
        <v>441</v>
      </c>
    </row>
    <row r="118" spans="1:4" ht="17" x14ac:dyDescent="0.2">
      <c r="A118" t="str">
        <f>IF(ISNA(VLOOKUP(B118,Definitions!B$2:B$1882,1,FALSE)),"Not listed","")</f>
        <v/>
      </c>
      <c r="B118" s="10" t="s">
        <v>223</v>
      </c>
      <c r="C118" s="3" t="s">
        <v>421</v>
      </c>
      <c r="D118" t="s">
        <v>424</v>
      </c>
    </row>
    <row r="119" spans="1:4" ht="17" x14ac:dyDescent="0.2">
      <c r="A119" t="str">
        <f>IF(ISNA(VLOOKUP(B119,Definitions!B$2:B$1882,1,FALSE)),"Not listed","")</f>
        <v/>
      </c>
      <c r="B119" s="10" t="s">
        <v>226</v>
      </c>
      <c r="C119" s="3" t="s">
        <v>421</v>
      </c>
      <c r="D119" t="s">
        <v>424</v>
      </c>
    </row>
    <row r="120" spans="1:4" ht="17" x14ac:dyDescent="0.2">
      <c r="A120" t="str">
        <f>IF(ISNA(VLOOKUP(B120,Definitions!B$2:B$1882,1,FALSE)),"Not listed","")</f>
        <v/>
      </c>
      <c r="B120" s="10" t="s">
        <v>229</v>
      </c>
      <c r="C120" s="3" t="s">
        <v>421</v>
      </c>
      <c r="D120" t="s">
        <v>424</v>
      </c>
    </row>
    <row r="121" spans="1:4" ht="17" x14ac:dyDescent="0.2">
      <c r="A121" t="str">
        <f>IF(ISNA(VLOOKUP(B121,Definitions!B$2:B$1882,1,FALSE)),"Not listed","")</f>
        <v/>
      </c>
      <c r="B121" s="10" t="s">
        <v>234</v>
      </c>
      <c r="C121" s="3" t="s">
        <v>421</v>
      </c>
      <c r="D121" t="s">
        <v>424</v>
      </c>
    </row>
    <row r="122" spans="1:4" ht="17" x14ac:dyDescent="0.2">
      <c r="A122" t="str">
        <f>IF(ISNA(VLOOKUP(B122,Definitions!B$2:B$1882,1,FALSE)),"Not listed","")</f>
        <v/>
      </c>
      <c r="B122" s="10" t="s">
        <v>237</v>
      </c>
      <c r="C122" s="3" t="s">
        <v>421</v>
      </c>
      <c r="D122" t="s">
        <v>424</v>
      </c>
    </row>
    <row r="123" spans="1:4" ht="17" x14ac:dyDescent="0.2">
      <c r="A123" t="str">
        <f>IF(ISNA(VLOOKUP(B123,Definitions!B$2:B$1882,1,FALSE)),"Not listed","")</f>
        <v/>
      </c>
      <c r="B123" s="10" t="s">
        <v>257</v>
      </c>
      <c r="C123" s="3" t="s">
        <v>421</v>
      </c>
      <c r="D123" t="s">
        <v>424</v>
      </c>
    </row>
    <row r="124" spans="1:4" ht="17" x14ac:dyDescent="0.2">
      <c r="A124" t="str">
        <f>IF(ISNA(VLOOKUP(B124,Definitions!B$2:B$1882,1,FALSE)),"Not listed","")</f>
        <v/>
      </c>
      <c r="B124" s="10" t="s">
        <v>260</v>
      </c>
      <c r="C124" s="3" t="s">
        <v>421</v>
      </c>
      <c r="D124" t="s">
        <v>424</v>
      </c>
    </row>
    <row r="125" spans="1:4" ht="17" x14ac:dyDescent="0.2">
      <c r="A125" t="str">
        <f>IF(ISNA(VLOOKUP(B125,Definitions!B$2:B$1882,1,FALSE)),"Not listed","")</f>
        <v/>
      </c>
      <c r="B125" s="10" t="s">
        <v>300</v>
      </c>
      <c r="C125" s="3" t="s">
        <v>421</v>
      </c>
      <c r="D125" t="s">
        <v>424</v>
      </c>
    </row>
    <row r="126" spans="1:4" ht="17" x14ac:dyDescent="0.2">
      <c r="A126" t="str">
        <f>IF(ISNA(VLOOKUP(B126,Definitions!B$2:B$1882,1,FALSE)),"Not listed","")</f>
        <v/>
      </c>
      <c r="B126" s="10" t="s">
        <v>318</v>
      </c>
      <c r="C126" s="3" t="s">
        <v>421</v>
      </c>
      <c r="D126" t="s">
        <v>424</v>
      </c>
    </row>
    <row r="127" spans="1:4" ht="17" x14ac:dyDescent="0.2">
      <c r="A127" t="str">
        <f>IF(ISNA(VLOOKUP(B127,Definitions!B$2:B$1882,1,FALSE)),"Not listed","")</f>
        <v/>
      </c>
      <c r="B127" s="10" t="s">
        <v>321</v>
      </c>
      <c r="C127" s="3" t="s">
        <v>421</v>
      </c>
      <c r="D127" t="s">
        <v>424</v>
      </c>
    </row>
    <row r="128" spans="1:4" ht="17" x14ac:dyDescent="0.2">
      <c r="A128" t="str">
        <f>IF(ISNA(VLOOKUP(B128,Definitions!B$2:B$1882,1,FALSE)),"Not listed","")</f>
        <v/>
      </c>
      <c r="B128" s="10" t="s">
        <v>354</v>
      </c>
      <c r="C128" s="3" t="s">
        <v>421</v>
      </c>
      <c r="D128" t="s">
        <v>424</v>
      </c>
    </row>
    <row r="129" spans="1:4" ht="17" x14ac:dyDescent="0.2">
      <c r="A129" t="str">
        <f>IF(ISNA(VLOOKUP(B129,Definitions!B$2:B$1882,1,FALSE)),"Not listed","")</f>
        <v/>
      </c>
      <c r="B129" s="10" t="s">
        <v>357</v>
      </c>
      <c r="C129" s="3" t="s">
        <v>421</v>
      </c>
      <c r="D129" t="s">
        <v>424</v>
      </c>
    </row>
    <row r="130" spans="1:4" ht="17" x14ac:dyDescent="0.2">
      <c r="A130" t="str">
        <f>IF(ISNA(VLOOKUP(B130,Definitions!B$2:B$1882,1,FALSE)),"Not listed","")</f>
        <v/>
      </c>
      <c r="B130" s="10" t="s">
        <v>363</v>
      </c>
      <c r="C130" s="3" t="s">
        <v>421</v>
      </c>
      <c r="D130" t="s">
        <v>424</v>
      </c>
    </row>
    <row r="131" spans="1:4" ht="17" x14ac:dyDescent="0.2">
      <c r="A131" t="str">
        <f>IF(ISNA(VLOOKUP(B131,Definitions!B$2:B$1882,1,FALSE)),"Not listed","")</f>
        <v/>
      </c>
      <c r="B131" s="10" t="s">
        <v>366</v>
      </c>
      <c r="C131" s="3" t="s">
        <v>421</v>
      </c>
      <c r="D131" t="s">
        <v>424</v>
      </c>
    </row>
    <row r="132" spans="1:4" ht="17" x14ac:dyDescent="0.2">
      <c r="A132" t="str">
        <f>IF(ISNA(VLOOKUP(B132,Definitions!B$2:B$1882,1,FALSE)),"Not listed","")</f>
        <v/>
      </c>
      <c r="B132" s="10" t="s">
        <v>369</v>
      </c>
      <c r="C132" s="3" t="s">
        <v>421</v>
      </c>
      <c r="D132" t="s">
        <v>424</v>
      </c>
    </row>
    <row r="133" spans="1:4" ht="17" x14ac:dyDescent="0.2">
      <c r="A133" t="str">
        <f>IF(ISNA(VLOOKUP(B133,Definitions!B$2:B$1882,1,FALSE)),"Not listed","")</f>
        <v/>
      </c>
      <c r="B133" s="10" t="s">
        <v>372</v>
      </c>
      <c r="C133" s="3" t="s">
        <v>421</v>
      </c>
      <c r="D133" t="s">
        <v>424</v>
      </c>
    </row>
    <row r="134" spans="1:4" ht="17" x14ac:dyDescent="0.2">
      <c r="A134" t="str">
        <f>IF(ISNA(VLOOKUP(B134,Definitions!B$2:B$1882,1,FALSE)),"Not listed","")</f>
        <v/>
      </c>
      <c r="B134" s="10" t="s">
        <v>387</v>
      </c>
      <c r="C134" s="3" t="s">
        <v>421</v>
      </c>
      <c r="D134" t="s">
        <v>424</v>
      </c>
    </row>
    <row r="135" spans="1:4" ht="17" x14ac:dyDescent="0.2">
      <c r="A135" t="str">
        <f>IF(ISNA(VLOOKUP(B135,Definitions!B$2:B$1882,1,FALSE)),"Not listed","")</f>
        <v/>
      </c>
      <c r="B135" s="10" t="s">
        <v>390</v>
      </c>
      <c r="C135" s="3" t="s">
        <v>421</v>
      </c>
      <c r="D135" t="s">
        <v>424</v>
      </c>
    </row>
    <row r="136" spans="1:4" ht="17" x14ac:dyDescent="0.2">
      <c r="A136" t="str">
        <f>IF(ISNA(VLOOKUP(B136,Definitions!B$2:B$1882,1,FALSE)),"Not listed","")</f>
        <v/>
      </c>
      <c r="B136" s="10" t="s">
        <v>402</v>
      </c>
      <c r="C136" s="3" t="s">
        <v>421</v>
      </c>
      <c r="D136" t="s">
        <v>424</v>
      </c>
    </row>
    <row r="137" spans="1:4" ht="17" x14ac:dyDescent="0.2">
      <c r="A137" s="22" t="str">
        <f>IF(ISNA(VLOOKUP(B137,Definitions!B$2:B$1882,1,FALSE)),"Not listed","")</f>
        <v/>
      </c>
      <c r="B137" s="23" t="s">
        <v>479</v>
      </c>
      <c r="C137" s="3" t="s">
        <v>421</v>
      </c>
      <c r="D137" t="s">
        <v>424</v>
      </c>
    </row>
    <row r="138" spans="1:4" ht="17" x14ac:dyDescent="0.2">
      <c r="A138" s="22" t="str">
        <f>IF(ISNA(VLOOKUP(B138,Definitions!B$2:B$1882,1,FALSE)),"Not listed","")</f>
        <v/>
      </c>
      <c r="B138" s="23" t="s">
        <v>474</v>
      </c>
      <c r="C138" s="3" t="s">
        <v>421</v>
      </c>
      <c r="D138" t="s">
        <v>424</v>
      </c>
    </row>
    <row r="139" spans="1:4" ht="17" x14ac:dyDescent="0.2">
      <c r="A139" s="22" t="str">
        <f>IF(ISNA(VLOOKUP(B139,Definitions!B$2:B$1882,1,FALSE)),"Not listed","")</f>
        <v/>
      </c>
      <c r="B139" s="23" t="s">
        <v>479</v>
      </c>
      <c r="C139" s="3" t="s">
        <v>421</v>
      </c>
      <c r="D139" t="s">
        <v>480</v>
      </c>
    </row>
    <row r="140" spans="1:4" ht="17" x14ac:dyDescent="0.2">
      <c r="A140" s="22" t="str">
        <f>IF(ISNA(VLOOKUP(B140,Definitions!B$2:B$1882,1,FALSE)),"Not listed","")</f>
        <v/>
      </c>
      <c r="B140" s="23" t="s">
        <v>474</v>
      </c>
      <c r="C140" s="3" t="s">
        <v>421</v>
      </c>
      <c r="D140" t="s">
        <v>480</v>
      </c>
    </row>
    <row r="141" spans="1:4" ht="17" x14ac:dyDescent="0.2">
      <c r="A141" s="22" t="str">
        <f>IF(ISNA(VLOOKUP(B141,Definitions!B$2:B$1882,1,FALSE)),"Not listed","")</f>
        <v/>
      </c>
      <c r="B141" s="23" t="s">
        <v>479</v>
      </c>
      <c r="C141" s="3" t="s">
        <v>421</v>
      </c>
      <c r="D141" t="s">
        <v>481</v>
      </c>
    </row>
    <row r="142" spans="1:4" ht="17" x14ac:dyDescent="0.2">
      <c r="A142" s="22" t="str">
        <f>IF(ISNA(VLOOKUP(B142,Definitions!B$2:B$1882,1,FALSE)),"Not listed","")</f>
        <v/>
      </c>
      <c r="B142" s="23" t="s">
        <v>474</v>
      </c>
      <c r="C142" s="3" t="s">
        <v>421</v>
      </c>
      <c r="D142" t="s">
        <v>481</v>
      </c>
    </row>
    <row r="143" spans="1:4" ht="17" x14ac:dyDescent="0.2">
      <c r="A143" s="22" t="str">
        <f>IF(ISNA(VLOOKUP(B143,Definitions!B$2:B$1882,1,FALSE)),"Not listed","")</f>
        <v/>
      </c>
      <c r="B143" s="23" t="s">
        <v>479</v>
      </c>
      <c r="C143" s="3" t="s">
        <v>421</v>
      </c>
      <c r="D143" t="s">
        <v>482</v>
      </c>
    </row>
    <row r="144" spans="1:4" ht="17" x14ac:dyDescent="0.2">
      <c r="A144" s="22" t="str">
        <f>IF(ISNA(VLOOKUP(B144,Definitions!B$2:B$1882,1,FALSE)),"Not listed","")</f>
        <v/>
      </c>
      <c r="B144" s="23" t="s">
        <v>474</v>
      </c>
      <c r="C144" s="3" t="s">
        <v>421</v>
      </c>
      <c r="D144" t="s">
        <v>482</v>
      </c>
    </row>
    <row r="145" spans="1:4" ht="17" x14ac:dyDescent="0.2">
      <c r="A145" s="22" t="str">
        <f>IF(ISNA(VLOOKUP(B145,Definitions!B$2:B$1882,1,FALSE)),"Not listed","")</f>
        <v/>
      </c>
      <c r="B145" s="23" t="s">
        <v>479</v>
      </c>
      <c r="C145" s="3" t="s">
        <v>421</v>
      </c>
      <c r="D145" t="s">
        <v>437</v>
      </c>
    </row>
    <row r="146" spans="1:4" ht="17" x14ac:dyDescent="0.2">
      <c r="A146" s="22" t="str">
        <f>IF(ISNA(VLOOKUP(B146,Definitions!B$2:B$1882,1,FALSE)),"Not listed","")</f>
        <v/>
      </c>
      <c r="B146" s="23" t="s">
        <v>474</v>
      </c>
      <c r="C146" s="3" t="s">
        <v>421</v>
      </c>
      <c r="D146" t="s">
        <v>437</v>
      </c>
    </row>
    <row r="147" spans="1:4" ht="17" x14ac:dyDescent="0.2">
      <c r="A147" s="22" t="str">
        <f>IF(ISNA(VLOOKUP(B147,Definitions!B$2:B$1882,1,FALSE)),"Not listed","")</f>
        <v/>
      </c>
      <c r="B147" s="23" t="s">
        <v>479</v>
      </c>
      <c r="C147" s="3" t="s">
        <v>421</v>
      </c>
      <c r="D147" t="s">
        <v>438</v>
      </c>
    </row>
    <row r="148" spans="1:4" ht="17" x14ac:dyDescent="0.2">
      <c r="A148" s="22" t="str">
        <f>IF(ISNA(VLOOKUP(B148,Definitions!B$2:B$1882,1,FALSE)),"Not listed","")</f>
        <v/>
      </c>
      <c r="B148" s="23" t="s">
        <v>474</v>
      </c>
      <c r="C148" s="3" t="s">
        <v>421</v>
      </c>
      <c r="D148" t="s">
        <v>438</v>
      </c>
    </row>
  </sheetData>
  <sortState xmlns:xlrd2="http://schemas.microsoft.com/office/spreadsheetml/2017/richdata2" ref="A2:C2">
    <sortCondition ref="C2"/>
    <sortCondition ref="A2"/>
  </sortState>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3"/>
  <sheetViews>
    <sheetView topLeftCell="A171" zoomScale="130" zoomScaleNormal="130" workbookViewId="0">
      <selection activeCell="B199" sqref="B199"/>
    </sheetView>
  </sheetViews>
  <sheetFormatPr baseColWidth="10" defaultColWidth="11" defaultRowHeight="16" x14ac:dyDescent="0.2"/>
  <cols>
    <col min="2" max="2" width="21.1640625" customWidth="1"/>
    <col min="3" max="3" width="54.1640625" customWidth="1"/>
    <col min="4" max="4" width="44" customWidth="1"/>
  </cols>
  <sheetData>
    <row r="1" spans="1:13" x14ac:dyDescent="0.2">
      <c r="A1" t="s">
        <v>165</v>
      </c>
      <c r="B1" t="s">
        <v>207</v>
      </c>
      <c r="C1" t="s">
        <v>206</v>
      </c>
      <c r="D1" t="s">
        <v>466</v>
      </c>
      <c r="M1" t="s">
        <v>463</v>
      </c>
    </row>
    <row r="2" spans="1:13" x14ac:dyDescent="0.2">
      <c r="B2" t="s">
        <v>179</v>
      </c>
      <c r="C2" t="s">
        <v>26</v>
      </c>
      <c r="D2" s="7" t="str">
        <f>VLOOKUP(Table6[[#This Row],[QuantityClass]],M$1:M$175,1,FALSE)</f>
        <v>absorbed dose</v>
      </c>
      <c r="M2" t="s">
        <v>454</v>
      </c>
    </row>
    <row r="3" spans="1:13" x14ac:dyDescent="0.2">
      <c r="B3" t="s">
        <v>175</v>
      </c>
      <c r="C3" t="s">
        <v>450</v>
      </c>
      <c r="D3" s="7" t="str">
        <f>VLOOKUP(Table6[[#This Row],[QuantityClass]],M$1:M$175,1,FALSE)</f>
        <v>activity [of radioactivity]</v>
      </c>
      <c r="M3" t="s">
        <v>459</v>
      </c>
    </row>
    <row r="4" spans="1:13" x14ac:dyDescent="0.2">
      <c r="B4" s="9" t="s">
        <v>174</v>
      </c>
      <c r="C4" t="s">
        <v>27</v>
      </c>
      <c r="D4" s="7" t="str">
        <f>VLOOKUP(Table6[[#This Row],[QuantityClass]],M$1:M$175,1,FALSE)</f>
        <v>amount of substance</v>
      </c>
      <c r="M4" t="s">
        <v>461</v>
      </c>
    </row>
    <row r="5" spans="1:13" x14ac:dyDescent="0.2">
      <c r="B5" s="9" t="s">
        <v>189</v>
      </c>
      <c r="C5" t="s">
        <v>28</v>
      </c>
      <c r="D5" s="7" t="str">
        <f>VLOOKUP(Table6[[#This Row],[QuantityClass]],M$1:M$175,1,FALSE)</f>
        <v>amount of substance per amount of substance</v>
      </c>
      <c r="M5" t="s">
        <v>460</v>
      </c>
    </row>
    <row r="6" spans="1:13" x14ac:dyDescent="0.2">
      <c r="B6" t="s">
        <v>168</v>
      </c>
      <c r="C6" t="s">
        <v>29</v>
      </c>
      <c r="D6" s="7" t="str">
        <f>VLOOKUP(Table6[[#This Row],[QuantityClass]],M$1:M$175,1,FALSE)</f>
        <v>amount of substance per area</v>
      </c>
      <c r="M6" t="s">
        <v>457</v>
      </c>
    </row>
    <row r="7" spans="1:13" x14ac:dyDescent="0.2">
      <c r="B7" t="s">
        <v>167</v>
      </c>
      <c r="C7" t="s">
        <v>445</v>
      </c>
      <c r="D7" s="7" t="e">
        <f>VLOOKUP(Table6[[#This Row],[QuantityClass]],M$1:M$175,1,FALSE)</f>
        <v>#N/A</v>
      </c>
      <c r="E7" t="s">
        <v>446</v>
      </c>
      <c r="M7" t="s">
        <v>456</v>
      </c>
    </row>
    <row r="8" spans="1:13" x14ac:dyDescent="0.2">
      <c r="B8" t="s">
        <v>178</v>
      </c>
      <c r="C8" t="s">
        <v>30</v>
      </c>
      <c r="D8" s="7" t="str">
        <f>VLOOKUP(Table6[[#This Row],[QuantityClass]],M$1:M$175,1,FALSE)</f>
        <v>amount of substance per time</v>
      </c>
      <c r="M8" t="s">
        <v>452</v>
      </c>
    </row>
    <row r="9" spans="1:13" x14ac:dyDescent="0.2">
      <c r="B9" s="9" t="s">
        <v>1</v>
      </c>
      <c r="C9" t="s">
        <v>463</v>
      </c>
      <c r="D9" s="7" t="str">
        <f>VLOOKUP(Table6[[#This Row],[QuantityClass]],M$1:M$175,1,FALSE)</f>
        <v>(amount of substance per time) per area</v>
      </c>
      <c r="M9" t="s">
        <v>453</v>
      </c>
    </row>
    <row r="10" spans="1:13" x14ac:dyDescent="0.2">
      <c r="B10" t="s">
        <v>166</v>
      </c>
      <c r="C10" t="s">
        <v>31</v>
      </c>
      <c r="D10" s="7" t="str">
        <f>VLOOKUP(Table6[[#This Row],[QuantityClass]],M$1:M$175,1,FALSE)</f>
        <v>amount of substance per volume</v>
      </c>
      <c r="M10" t="s">
        <v>458</v>
      </c>
    </row>
    <row r="11" spans="1:13" x14ac:dyDescent="0.2">
      <c r="B11" s="9" t="s">
        <v>177</v>
      </c>
      <c r="C11" t="s">
        <v>32</v>
      </c>
      <c r="D11" s="7" t="str">
        <f>VLOOKUP(Table6[[#This Row],[QuantityClass]],M$1:M$175,1,FALSE)</f>
        <v>angle per length</v>
      </c>
      <c r="M11" t="s">
        <v>455</v>
      </c>
    </row>
    <row r="12" spans="1:13" x14ac:dyDescent="0.2">
      <c r="B12" t="s">
        <v>172</v>
      </c>
      <c r="C12" t="s">
        <v>33</v>
      </c>
      <c r="D12" s="7" t="str">
        <f>VLOOKUP(Table6[[#This Row],[QuantityClass]],M$1:M$175,1,FALSE)</f>
        <v>angle per volume</v>
      </c>
      <c r="M12" t="s">
        <v>451</v>
      </c>
    </row>
    <row r="13" spans="1:13" x14ac:dyDescent="0.2">
      <c r="B13" t="s">
        <v>173</v>
      </c>
      <c r="C13" t="s">
        <v>34</v>
      </c>
      <c r="D13" s="7" t="str">
        <f>VLOOKUP(Table6[[#This Row],[QuantityClass]],M$1:M$175,1,FALSE)</f>
        <v>angular acceleration</v>
      </c>
      <c r="M13" t="s">
        <v>26</v>
      </c>
    </row>
    <row r="14" spans="1:13" x14ac:dyDescent="0.2">
      <c r="B14" t="s">
        <v>171</v>
      </c>
      <c r="C14" t="s">
        <v>35</v>
      </c>
      <c r="D14" s="7" t="str">
        <f>VLOOKUP(Table6[[#This Row],[QuantityClass]],M$1:M$175,1,FALSE)</f>
        <v>angular velocity</v>
      </c>
      <c r="M14" t="s">
        <v>450</v>
      </c>
    </row>
    <row r="15" spans="1:13" x14ac:dyDescent="0.2">
      <c r="B15" t="s">
        <v>170</v>
      </c>
      <c r="C15" t="s">
        <v>194</v>
      </c>
      <c r="D15" s="7" t="str">
        <f>VLOOKUP(Table6[[#This Row],[QuantityClass]],M$1:M$175,1,FALSE)</f>
        <v>API gamma ray</v>
      </c>
      <c r="M15" t="s">
        <v>27</v>
      </c>
    </row>
    <row r="16" spans="1:13" x14ac:dyDescent="0.2">
      <c r="B16" t="s">
        <v>169</v>
      </c>
      <c r="C16" t="s">
        <v>195</v>
      </c>
      <c r="D16" s="7" t="str">
        <f>VLOOKUP(Table6[[#This Row],[QuantityClass]],M$1:M$175,1,FALSE)</f>
        <v>API gravity</v>
      </c>
      <c r="M16" t="s">
        <v>28</v>
      </c>
    </row>
    <row r="17" spans="2:13" x14ac:dyDescent="0.2">
      <c r="B17" t="s">
        <v>176</v>
      </c>
      <c r="C17" t="s">
        <v>196</v>
      </c>
      <c r="D17" s="7" t="str">
        <f>VLOOKUP(Table6[[#This Row],[QuantityClass]],M$1:M$175,1,FALSE)</f>
        <v>API neutron</v>
      </c>
      <c r="M17" t="s">
        <v>29</v>
      </c>
    </row>
    <row r="18" spans="2:13" x14ac:dyDescent="0.2">
      <c r="B18" t="s">
        <v>180</v>
      </c>
      <c r="C18" t="s">
        <v>36</v>
      </c>
      <c r="D18" s="7" t="str">
        <f>VLOOKUP(Table6[[#This Row],[QuantityClass]],M$1:M$175,1,FALSE)</f>
        <v>area</v>
      </c>
      <c r="M18" t="s">
        <v>30</v>
      </c>
    </row>
    <row r="19" spans="2:13" x14ac:dyDescent="0.2">
      <c r="B19" t="s">
        <v>210</v>
      </c>
      <c r="C19" t="s">
        <v>37</v>
      </c>
      <c r="D19" s="7" t="str">
        <f>VLOOKUP(Table6[[#This Row],[QuantityClass]],M$1:M$175,1,FALSE)</f>
        <v>area per amount of substance</v>
      </c>
      <c r="M19" t="s">
        <v>31</v>
      </c>
    </row>
    <row r="20" spans="2:13" x14ac:dyDescent="0.2">
      <c r="B20" s="9" t="s">
        <v>182</v>
      </c>
      <c r="C20" t="s">
        <v>38</v>
      </c>
      <c r="D20" s="7" t="str">
        <f>VLOOKUP(Table6[[#This Row],[QuantityClass]],M$1:M$175,1,FALSE)</f>
        <v>area per area</v>
      </c>
      <c r="M20" t="s">
        <v>32</v>
      </c>
    </row>
    <row r="21" spans="2:13" x14ac:dyDescent="0.2">
      <c r="B21" t="s">
        <v>184</v>
      </c>
      <c r="C21" t="s">
        <v>198</v>
      </c>
      <c r="D21" s="7" t="e">
        <f>VLOOKUP(Table6[[#This Row],[QuantityClass]],M$1:M$175,1,FALSE)</f>
        <v>#N/A</v>
      </c>
      <c r="E21" t="s">
        <v>468</v>
      </c>
      <c r="M21" t="s">
        <v>33</v>
      </c>
    </row>
    <row r="22" spans="2:13" x14ac:dyDescent="0.2">
      <c r="B22" t="s">
        <v>183</v>
      </c>
      <c r="C22" t="s">
        <v>39</v>
      </c>
      <c r="D22" s="7" t="str">
        <f>VLOOKUP(Table6[[#This Row],[QuantityClass]],M$1:M$175,1,FALSE)</f>
        <v>area per mass</v>
      </c>
      <c r="M22" t="s">
        <v>34</v>
      </c>
    </row>
    <row r="23" spans="2:13" x14ac:dyDescent="0.2">
      <c r="B23" t="s">
        <v>181</v>
      </c>
      <c r="C23" t="s">
        <v>15</v>
      </c>
      <c r="D23" s="7" t="str">
        <f>VLOOKUP(Table6[[#This Row],[QuantityClass]],M$1:M$175,1,FALSE)</f>
        <v>area per time</v>
      </c>
      <c r="M23" t="s">
        <v>35</v>
      </c>
    </row>
    <row r="24" spans="2:13" x14ac:dyDescent="0.2">
      <c r="B24" t="s">
        <v>192</v>
      </c>
      <c r="C24" t="s">
        <v>40</v>
      </c>
      <c r="D24" s="7" t="str">
        <f>VLOOKUP(Table6[[#This Row],[QuantityClass]],M$1:M$175,1,FALSE)</f>
        <v>area per volume</v>
      </c>
      <c r="M24" t="s">
        <v>263</v>
      </c>
    </row>
    <row r="25" spans="2:13" x14ac:dyDescent="0.2">
      <c r="B25" t="s">
        <v>186</v>
      </c>
      <c r="C25" t="s">
        <v>41</v>
      </c>
      <c r="D25" s="7" t="str">
        <f>VLOOKUP(Table6[[#This Row],[QuantityClass]],M$1:M$175,1,FALSE)</f>
        <v>attenuation per frequency interval</v>
      </c>
      <c r="M25" t="s">
        <v>464</v>
      </c>
    </row>
    <row r="26" spans="2:13" x14ac:dyDescent="0.2">
      <c r="B26" t="s">
        <v>187</v>
      </c>
      <c r="C26" t="s">
        <v>42</v>
      </c>
      <c r="D26" s="7" t="str">
        <f>VLOOKUP(Table6[[#This Row],[QuantityClass]],M$1:M$175,1,FALSE)</f>
        <v>capacitance</v>
      </c>
      <c r="M26" t="s">
        <v>465</v>
      </c>
    </row>
    <row r="27" spans="2:13" x14ac:dyDescent="0.2">
      <c r="B27" s="9" t="s">
        <v>4</v>
      </c>
      <c r="C27" t="s">
        <v>43</v>
      </c>
      <c r="D27" s="7" t="str">
        <f>VLOOKUP(Table6[[#This Row],[QuantityClass]],M$1:M$175,1,FALSE)</f>
        <v>data transfer speed</v>
      </c>
      <c r="M27" t="s">
        <v>36</v>
      </c>
    </row>
    <row r="28" spans="2:13" x14ac:dyDescent="0.2">
      <c r="B28" s="9" t="s">
        <v>4</v>
      </c>
      <c r="C28" t="s">
        <v>44</v>
      </c>
      <c r="D28" s="7" t="str">
        <f>VLOOKUP(Table6[[#This Row],[QuantityClass]],M$1:M$175,1,FALSE)</f>
        <v>diffusion coefficient</v>
      </c>
      <c r="M28" t="s">
        <v>37</v>
      </c>
    </row>
    <row r="29" spans="2:13" x14ac:dyDescent="0.2">
      <c r="B29" t="s">
        <v>25</v>
      </c>
      <c r="C29" t="s">
        <v>199</v>
      </c>
      <c r="D29" s="7" t="e">
        <f>VLOOKUP(Table6[[#This Row],[QuantityClass]],M$1:M$175,1,FALSE)</f>
        <v>#N/A</v>
      </c>
      <c r="E29" t="s">
        <v>468</v>
      </c>
      <c r="M29" t="s">
        <v>38</v>
      </c>
    </row>
    <row r="30" spans="2:13" x14ac:dyDescent="0.2">
      <c r="B30" t="s">
        <v>193</v>
      </c>
      <c r="C30" t="s">
        <v>45</v>
      </c>
      <c r="D30" s="7" t="str">
        <f>VLOOKUP(Table6[[#This Row],[QuantityClass]],M$1:M$175,1,FALSE)</f>
        <v>digital storage</v>
      </c>
      <c r="M30" t="s">
        <v>39</v>
      </c>
    </row>
    <row r="31" spans="2:13" x14ac:dyDescent="0.2">
      <c r="B31" t="s">
        <v>191</v>
      </c>
      <c r="C31" t="s">
        <v>10</v>
      </c>
      <c r="D31" s="7" t="str">
        <f>VLOOKUP(Table6[[#This Row],[QuantityClass]],M$1:M$175,1,FALSE)</f>
        <v>dimensionless</v>
      </c>
      <c r="M31" t="s">
        <v>15</v>
      </c>
    </row>
    <row r="32" spans="2:13" x14ac:dyDescent="0.2">
      <c r="B32" t="s">
        <v>188</v>
      </c>
      <c r="C32" t="s">
        <v>46</v>
      </c>
      <c r="D32" s="7" t="str">
        <f>VLOOKUP(Table6[[#This Row],[QuantityClass]],M$1:M$175,1,FALSE)</f>
        <v>dipole moment</v>
      </c>
      <c r="M32" t="s">
        <v>40</v>
      </c>
    </row>
    <row r="33" spans="2:13" x14ac:dyDescent="0.2">
      <c r="B33" t="s">
        <v>185</v>
      </c>
      <c r="C33" t="s">
        <v>47</v>
      </c>
      <c r="D33" s="7" t="str">
        <f>VLOOKUP(Table6[[#This Row],[QuantityClass]],M$1:M$175,1,FALSE)</f>
        <v>dose equivalent</v>
      </c>
      <c r="M33" t="s">
        <v>41</v>
      </c>
    </row>
    <row r="34" spans="2:13" x14ac:dyDescent="0.2">
      <c r="B34" t="s">
        <v>190</v>
      </c>
      <c r="C34" t="s">
        <v>48</v>
      </c>
      <c r="D34" s="7" t="str">
        <f>VLOOKUP(Table6[[#This Row],[QuantityClass]],M$1:M$175,1,FALSE)</f>
        <v>dynamic viscosity</v>
      </c>
      <c r="M34" t="s">
        <v>42</v>
      </c>
    </row>
    <row r="35" spans="2:13" x14ac:dyDescent="0.2">
      <c r="B35" s="9" t="s">
        <v>209</v>
      </c>
      <c r="C35" t="s">
        <v>49</v>
      </c>
      <c r="D35" s="7" t="str">
        <f>VLOOKUP(Table6[[#This Row],[QuantityClass]],M$1:M$175,1,FALSE)</f>
        <v>electric charge</v>
      </c>
      <c r="M35" t="s">
        <v>43</v>
      </c>
    </row>
    <row r="36" spans="2:13" x14ac:dyDescent="0.2">
      <c r="C36" t="s">
        <v>50</v>
      </c>
      <c r="D36" s="7" t="str">
        <f>VLOOKUP(Table6[[#This Row],[QuantityClass]],M$1:M$175,1,FALSE)</f>
        <v>electric charge per area</v>
      </c>
      <c r="M36" t="s">
        <v>44</v>
      </c>
    </row>
    <row r="37" spans="2:13" x14ac:dyDescent="0.2">
      <c r="C37" t="s">
        <v>51</v>
      </c>
      <c r="D37" s="7" t="str">
        <f>VLOOKUP(Table6[[#This Row],[QuantityClass]],M$1:M$175,1,FALSE)</f>
        <v>electric charge per mass</v>
      </c>
      <c r="M37" t="s">
        <v>45</v>
      </c>
    </row>
    <row r="38" spans="2:13" x14ac:dyDescent="0.2">
      <c r="C38" t="s">
        <v>52</v>
      </c>
      <c r="D38" s="7" t="str">
        <f>VLOOKUP(Table6[[#This Row],[QuantityClass]],M$1:M$175,1,FALSE)</f>
        <v>electric charge per volume</v>
      </c>
      <c r="M38" t="s">
        <v>10</v>
      </c>
    </row>
    <row r="39" spans="2:13" x14ac:dyDescent="0.2">
      <c r="C39" t="s">
        <v>53</v>
      </c>
      <c r="D39" s="7" t="str">
        <f>VLOOKUP(Table6[[#This Row],[QuantityClass]],M$1:M$175,1,FALSE)</f>
        <v>electric conductance</v>
      </c>
      <c r="M39" t="s">
        <v>46</v>
      </c>
    </row>
    <row r="40" spans="2:13" x14ac:dyDescent="0.2">
      <c r="C40" t="s">
        <v>16</v>
      </c>
      <c r="D40" s="7" t="str">
        <f>VLOOKUP(Table6[[#This Row],[QuantityClass]],M$1:M$175,1,FALSE)</f>
        <v>electric conductivity</v>
      </c>
      <c r="M40" t="s">
        <v>47</v>
      </c>
    </row>
    <row r="41" spans="2:13" x14ac:dyDescent="0.2">
      <c r="C41" t="s">
        <v>54</v>
      </c>
      <c r="D41" s="7" t="str">
        <f>VLOOKUP(Table6[[#This Row],[QuantityClass]],M$1:M$175,1,FALSE)</f>
        <v>electric current</v>
      </c>
      <c r="M41" t="s">
        <v>48</v>
      </c>
    </row>
    <row r="42" spans="2:13" x14ac:dyDescent="0.2">
      <c r="C42" t="s">
        <v>55</v>
      </c>
      <c r="D42" s="7" t="str">
        <f>VLOOKUP(Table6[[#This Row],[QuantityClass]],M$1:M$175,1,FALSE)</f>
        <v>electric current density</v>
      </c>
      <c r="M42" t="s">
        <v>49</v>
      </c>
    </row>
    <row r="43" spans="2:13" x14ac:dyDescent="0.2">
      <c r="C43" t="s">
        <v>56</v>
      </c>
      <c r="D43" s="7" t="str">
        <f>VLOOKUP(Table6[[#This Row],[QuantityClass]],M$1:M$175,1,FALSE)</f>
        <v>electric field strength</v>
      </c>
      <c r="M43" t="s">
        <v>50</v>
      </c>
    </row>
    <row r="44" spans="2:13" x14ac:dyDescent="0.2">
      <c r="C44" t="s">
        <v>24</v>
      </c>
      <c r="D44" s="7" t="str">
        <f>VLOOKUP(Table6[[#This Row],[QuantityClass]],M$1:M$175,1,FALSE)</f>
        <v>electric potential difference</v>
      </c>
      <c r="M44" t="s">
        <v>51</v>
      </c>
    </row>
    <row r="45" spans="2:13" x14ac:dyDescent="0.2">
      <c r="C45" t="s">
        <v>57</v>
      </c>
      <c r="D45" s="7" t="str">
        <f>VLOOKUP(Table6[[#This Row],[QuantityClass]],M$1:M$175,1,FALSE)</f>
        <v>electric resistance</v>
      </c>
      <c r="M45" t="s">
        <v>52</v>
      </c>
    </row>
    <row r="46" spans="2:13" x14ac:dyDescent="0.2">
      <c r="C46" t="s">
        <v>58</v>
      </c>
      <c r="D46" s="7" t="str">
        <f>VLOOKUP(Table6[[#This Row],[QuantityClass]],M$1:M$175,1,FALSE)</f>
        <v>electric resistance per length</v>
      </c>
      <c r="M46" t="s">
        <v>53</v>
      </c>
    </row>
    <row r="47" spans="2:13" x14ac:dyDescent="0.2">
      <c r="C47" t="s">
        <v>20</v>
      </c>
      <c r="D47" s="7" t="str">
        <f>VLOOKUP(Table6[[#This Row],[QuantityClass]],M$1:M$175,1,FALSE)</f>
        <v>electrical resistivity</v>
      </c>
      <c r="M47" t="s">
        <v>16</v>
      </c>
    </row>
    <row r="48" spans="2:13" x14ac:dyDescent="0.2">
      <c r="C48" t="s">
        <v>59</v>
      </c>
      <c r="D48" s="7" t="str">
        <f>VLOOKUP(Table6[[#This Row],[QuantityClass]],M$1:M$175,1,FALSE)</f>
        <v>electromagnetic moment</v>
      </c>
      <c r="M48" t="s">
        <v>54</v>
      </c>
    </row>
    <row r="49" spans="3:13" x14ac:dyDescent="0.2">
      <c r="C49" t="s">
        <v>60</v>
      </c>
      <c r="D49" s="7" t="str">
        <f>VLOOKUP(Table6[[#This Row],[QuantityClass]],M$1:M$175,1,FALSE)</f>
        <v>energy</v>
      </c>
      <c r="M49" t="s">
        <v>55</v>
      </c>
    </row>
    <row r="50" spans="3:13" x14ac:dyDescent="0.2">
      <c r="C50" t="s">
        <v>61</v>
      </c>
      <c r="D50" s="7" t="str">
        <f>VLOOKUP(Table6[[#This Row],[QuantityClass]],M$1:M$175,1,FALSE)</f>
        <v>energy length per area</v>
      </c>
      <c r="M50" t="s">
        <v>56</v>
      </c>
    </row>
    <row r="51" spans="3:13" x14ac:dyDescent="0.2">
      <c r="C51" t="s">
        <v>62</v>
      </c>
      <c r="D51" s="7" t="str">
        <f>VLOOKUP(Table6[[#This Row],[QuantityClass]],M$1:M$175,1,FALSE)</f>
        <v>energy length per time area temperature</v>
      </c>
      <c r="M51" t="s">
        <v>24</v>
      </c>
    </row>
    <row r="52" spans="3:13" x14ac:dyDescent="0.2">
      <c r="C52" t="s">
        <v>63</v>
      </c>
      <c r="D52" s="7" t="str">
        <f>VLOOKUP(Table6[[#This Row],[QuantityClass]],M$1:M$175,1,FALSE)</f>
        <v>energy per area</v>
      </c>
      <c r="M52" t="s">
        <v>57</v>
      </c>
    </row>
    <row r="53" spans="3:13" x14ac:dyDescent="0.2">
      <c r="C53" t="s">
        <v>64</v>
      </c>
      <c r="D53" s="7" t="str">
        <f>VLOOKUP(Table6[[#This Row],[QuantityClass]],M$1:M$175,1,FALSE)</f>
        <v>energy per length</v>
      </c>
      <c r="M53" t="s">
        <v>58</v>
      </c>
    </row>
    <row r="54" spans="3:13" x14ac:dyDescent="0.2">
      <c r="C54" t="s">
        <v>65</v>
      </c>
      <c r="D54" s="7" t="str">
        <f>VLOOKUP(Table6[[#This Row],[QuantityClass]],M$1:M$175,1,FALSE)</f>
        <v>energy per mass</v>
      </c>
      <c r="M54" t="s">
        <v>20</v>
      </c>
    </row>
    <row r="55" spans="3:13" x14ac:dyDescent="0.2">
      <c r="C55" t="s">
        <v>454</v>
      </c>
      <c r="D55" s="7" t="str">
        <f>VLOOKUP(Table6[[#This Row],[QuantityClass]],M$1:M$175,1,FALSE)</f>
        <v>(energy per mass) per time</v>
      </c>
      <c r="M55" t="s">
        <v>59</v>
      </c>
    </row>
    <row r="56" spans="3:13" x14ac:dyDescent="0.2">
      <c r="C56" t="s">
        <v>66</v>
      </c>
      <c r="D56" s="7" t="str">
        <f>VLOOKUP(Table6[[#This Row],[QuantityClass]],M$1:M$175,1,FALSE)</f>
        <v>energy per volume</v>
      </c>
      <c r="M56" t="s">
        <v>60</v>
      </c>
    </row>
    <row r="57" spans="3:13" x14ac:dyDescent="0.2">
      <c r="C57" t="s">
        <v>5</v>
      </c>
      <c r="D57" s="7" t="str">
        <f>VLOOKUP(Table6[[#This Row],[QuantityClass]],M$1:M$175,1,FALSE)</f>
        <v>force</v>
      </c>
      <c r="M57" t="s">
        <v>61</v>
      </c>
    </row>
    <row r="58" spans="3:13" x14ac:dyDescent="0.2">
      <c r="C58" t="s">
        <v>67</v>
      </c>
      <c r="D58" s="7" t="str">
        <f>VLOOKUP(Table6[[#This Row],[QuantityClass]],M$1:M$175,1,FALSE)</f>
        <v>force area</v>
      </c>
      <c r="M58" t="s">
        <v>62</v>
      </c>
    </row>
    <row r="59" spans="3:13" x14ac:dyDescent="0.2">
      <c r="C59" t="s">
        <v>68</v>
      </c>
      <c r="D59" s="7" t="str">
        <f>VLOOKUP(Table6[[#This Row],[QuantityClass]],M$1:M$175,1,FALSE)</f>
        <v>force length per length</v>
      </c>
      <c r="M59" t="s">
        <v>63</v>
      </c>
    </row>
    <row r="60" spans="3:13" x14ac:dyDescent="0.2">
      <c r="C60" t="s">
        <v>444</v>
      </c>
      <c r="D60" s="7" t="e">
        <f>VLOOKUP(Table6[[#This Row],[QuantityClass]],M$1:M$175,1,FALSE)</f>
        <v>#N/A</v>
      </c>
      <c r="E60" t="s">
        <v>448</v>
      </c>
      <c r="M60" t="s">
        <v>64</v>
      </c>
    </row>
    <row r="61" spans="3:13" x14ac:dyDescent="0.2">
      <c r="C61" t="s">
        <v>18</v>
      </c>
      <c r="D61" s="7" t="str">
        <f>VLOOKUP(Table6[[#This Row],[QuantityClass]],M$1:M$175,1,FALSE)</f>
        <v>force per force</v>
      </c>
      <c r="M61" t="s">
        <v>65</v>
      </c>
    </row>
    <row r="62" spans="3:13" x14ac:dyDescent="0.2">
      <c r="C62" t="s">
        <v>69</v>
      </c>
      <c r="D62" s="7" t="str">
        <f>VLOOKUP(Table6[[#This Row],[QuantityClass]],M$1:M$175,1,FALSE)</f>
        <v>force per length</v>
      </c>
      <c r="M62" t="s">
        <v>66</v>
      </c>
    </row>
    <row r="63" spans="3:13" x14ac:dyDescent="0.2">
      <c r="C63" t="s">
        <v>6</v>
      </c>
      <c r="D63" s="7" t="str">
        <f>VLOOKUP(Table6[[#This Row],[QuantityClass]],M$1:M$175,1,FALSE)</f>
        <v>force per volume</v>
      </c>
      <c r="M63" t="s">
        <v>5</v>
      </c>
    </row>
    <row r="64" spans="3:13" x14ac:dyDescent="0.2">
      <c r="C64" t="s">
        <v>70</v>
      </c>
      <c r="D64" s="7" t="str">
        <f>VLOOKUP(Table6[[#This Row],[QuantityClass]],M$1:M$175,1,FALSE)</f>
        <v>frequency</v>
      </c>
      <c r="M64" t="s">
        <v>67</v>
      </c>
    </row>
    <row r="65" spans="3:13" x14ac:dyDescent="0.2">
      <c r="C65" t="s">
        <v>71</v>
      </c>
      <c r="D65" s="7" t="str">
        <f>VLOOKUP(Table6[[#This Row],[QuantityClass]],M$1:M$175,1,FALSE)</f>
        <v>frequency interval</v>
      </c>
      <c r="M65" t="s">
        <v>68</v>
      </c>
    </row>
    <row r="66" spans="3:13" x14ac:dyDescent="0.2">
      <c r="C66" t="s">
        <v>442</v>
      </c>
      <c r="D66" s="7" t="e">
        <f>VLOOKUP(Table6[[#This Row],[QuantityClass]],M$1:M$175,1,FALSE)</f>
        <v>#N/A</v>
      </c>
      <c r="E66" t="s">
        <v>469</v>
      </c>
      <c r="M66" t="s">
        <v>18</v>
      </c>
    </row>
    <row r="67" spans="3:13" x14ac:dyDescent="0.2">
      <c r="C67" t="s">
        <v>72</v>
      </c>
      <c r="D67" s="7" t="str">
        <f>VLOOKUP(Table6[[#This Row],[QuantityClass]],M$1:M$175,1,FALSE)</f>
        <v>heat capacity</v>
      </c>
      <c r="M67" t="s">
        <v>69</v>
      </c>
    </row>
    <row r="68" spans="3:13" x14ac:dyDescent="0.2">
      <c r="C68" t="s">
        <v>73</v>
      </c>
      <c r="D68" s="7" t="str">
        <f>VLOOKUP(Table6[[#This Row],[QuantityClass]],M$1:M$175,1,FALSE)</f>
        <v>heat flow rate</v>
      </c>
      <c r="M68" t="s">
        <v>6</v>
      </c>
    </row>
    <row r="69" spans="3:13" x14ac:dyDescent="0.2">
      <c r="C69" t="s">
        <v>74</v>
      </c>
      <c r="D69" s="7" t="str">
        <f>VLOOKUP(Table6[[#This Row],[QuantityClass]],M$1:M$175,1,FALSE)</f>
        <v>heat transfer coefficient</v>
      </c>
      <c r="M69" t="s">
        <v>70</v>
      </c>
    </row>
    <row r="70" spans="3:13" x14ac:dyDescent="0.2">
      <c r="C70" t="s">
        <v>75</v>
      </c>
      <c r="D70" s="7" t="str">
        <f>VLOOKUP(Table6[[#This Row],[QuantityClass]],M$1:M$175,1,FALSE)</f>
        <v>illuminance</v>
      </c>
      <c r="M70" t="s">
        <v>71</v>
      </c>
    </row>
    <row r="71" spans="3:13" x14ac:dyDescent="0.2">
      <c r="C71" t="s">
        <v>76</v>
      </c>
      <c r="D71" s="7" t="str">
        <f>VLOOKUP(Table6[[#This Row],[QuantityClass]],M$1:M$175,1,FALSE)</f>
        <v>inductance</v>
      </c>
      <c r="M71" t="s">
        <v>72</v>
      </c>
    </row>
    <row r="72" spans="3:13" x14ac:dyDescent="0.2">
      <c r="C72" t="s">
        <v>77</v>
      </c>
      <c r="D72" s="7" t="str">
        <f>VLOOKUP(Table6[[#This Row],[QuantityClass]],M$1:M$175,1,FALSE)</f>
        <v>isothermal compressibility</v>
      </c>
      <c r="M72" t="s">
        <v>73</v>
      </c>
    </row>
    <row r="73" spans="3:13" x14ac:dyDescent="0.2">
      <c r="C73" t="s">
        <v>78</v>
      </c>
      <c r="D73" s="7" t="str">
        <f>VLOOKUP(Table6[[#This Row],[QuantityClass]],M$1:M$175,1,FALSE)</f>
        <v>kinematic viscosity</v>
      </c>
      <c r="M73" t="s">
        <v>74</v>
      </c>
    </row>
    <row r="74" spans="3:13" x14ac:dyDescent="0.2">
      <c r="C74" t="s">
        <v>2</v>
      </c>
      <c r="D74" s="7" t="str">
        <f>VLOOKUP(Table6[[#This Row],[QuantityClass]],M$1:M$175,1,FALSE)</f>
        <v>length</v>
      </c>
      <c r="M74" t="s">
        <v>75</v>
      </c>
    </row>
    <row r="75" spans="3:13" x14ac:dyDescent="0.2">
      <c r="C75" t="s">
        <v>19</v>
      </c>
      <c r="D75" s="7" t="str">
        <f>VLOOKUP(Table6[[#This Row],[QuantityClass]],M$1:M$175,1,FALSE)</f>
        <v>length per length</v>
      </c>
      <c r="M75" t="s">
        <v>76</v>
      </c>
    </row>
    <row r="76" spans="3:13" x14ac:dyDescent="0.2">
      <c r="C76" t="s">
        <v>79</v>
      </c>
      <c r="D76" s="7" t="str">
        <f>VLOOKUP(Table6[[#This Row],[QuantityClass]],M$1:M$175,1,FALSE)</f>
        <v>length per mass</v>
      </c>
      <c r="M76" t="s">
        <v>77</v>
      </c>
    </row>
    <row r="77" spans="3:13" x14ac:dyDescent="0.2">
      <c r="C77" t="s">
        <v>80</v>
      </c>
      <c r="D77" s="7" t="str">
        <f>VLOOKUP(Table6[[#This Row],[QuantityClass]],M$1:M$175,1,FALSE)</f>
        <v>length per pressure</v>
      </c>
      <c r="M77" t="s">
        <v>78</v>
      </c>
    </row>
    <row r="78" spans="3:13" x14ac:dyDescent="0.2">
      <c r="C78" t="s">
        <v>81</v>
      </c>
      <c r="D78" s="7" t="str">
        <f>VLOOKUP(Table6[[#This Row],[QuantityClass]],M$1:M$175,1,FALSE)</f>
        <v>length per temperature</v>
      </c>
      <c r="M78" t="s">
        <v>2</v>
      </c>
    </row>
    <row r="79" spans="3:13" x14ac:dyDescent="0.2">
      <c r="C79" t="s">
        <v>23</v>
      </c>
      <c r="D79" s="7" t="str">
        <f>VLOOKUP(Table6[[#This Row],[QuantityClass]],M$1:M$175,1,FALSE)</f>
        <v>length per time</v>
      </c>
      <c r="M79" t="s">
        <v>19</v>
      </c>
    </row>
    <row r="80" spans="3:13" x14ac:dyDescent="0.2">
      <c r="C80" t="s">
        <v>82</v>
      </c>
      <c r="D80" s="7" t="str">
        <f>VLOOKUP(Table6[[#This Row],[QuantityClass]],M$1:M$175,1,FALSE)</f>
        <v>length per volume</v>
      </c>
      <c r="M80" t="s">
        <v>79</v>
      </c>
    </row>
    <row r="81" spans="3:13" x14ac:dyDescent="0.2">
      <c r="C81" t="s">
        <v>83</v>
      </c>
      <c r="D81" s="7" t="str">
        <f>VLOOKUP(Table6[[#This Row],[QuantityClass]],M$1:M$175,1,FALSE)</f>
        <v>light exposure</v>
      </c>
      <c r="M81" t="s">
        <v>80</v>
      </c>
    </row>
    <row r="82" spans="3:13" x14ac:dyDescent="0.2">
      <c r="C82" t="s">
        <v>84</v>
      </c>
      <c r="D82" s="7" t="str">
        <f>VLOOKUP(Table6[[#This Row],[QuantityClass]],M$1:M$175,1,FALSE)</f>
        <v>linear acceleration</v>
      </c>
      <c r="M82" t="s">
        <v>81</v>
      </c>
    </row>
    <row r="83" spans="3:13" x14ac:dyDescent="0.2">
      <c r="C83" t="s">
        <v>85</v>
      </c>
      <c r="D83" s="7" t="str">
        <f>VLOOKUP(Table6[[#This Row],[QuantityClass]],M$1:M$175,1,FALSE)</f>
        <v>linear thermal expansion</v>
      </c>
      <c r="M83" t="s">
        <v>23</v>
      </c>
    </row>
    <row r="84" spans="3:13" x14ac:dyDescent="0.2">
      <c r="C84" t="s">
        <v>86</v>
      </c>
      <c r="D84" s="7" t="str">
        <f>VLOOKUP(Table6[[#This Row],[QuantityClass]],M$1:M$175,1,FALSE)</f>
        <v>logarithmic power ratio</v>
      </c>
      <c r="M84" t="s">
        <v>82</v>
      </c>
    </row>
    <row r="85" spans="3:13" x14ac:dyDescent="0.2">
      <c r="C85" t="s">
        <v>87</v>
      </c>
      <c r="D85" s="7" t="str">
        <f>VLOOKUP(Table6[[#This Row],[QuantityClass]],M$1:M$175,1,FALSE)</f>
        <v>logarithmic power ratio per length</v>
      </c>
      <c r="M85" t="s">
        <v>83</v>
      </c>
    </row>
    <row r="86" spans="3:13" x14ac:dyDescent="0.2">
      <c r="C86" t="s">
        <v>88</v>
      </c>
      <c r="D86" s="7" t="str">
        <f>VLOOKUP(Table6[[#This Row],[QuantityClass]],M$1:M$175,1,FALSE)</f>
        <v>luminance</v>
      </c>
      <c r="M86" t="s">
        <v>84</v>
      </c>
    </row>
    <row r="87" spans="3:13" x14ac:dyDescent="0.2">
      <c r="C87" t="s">
        <v>89</v>
      </c>
      <c r="D87" s="7" t="str">
        <f>VLOOKUP(Table6[[#This Row],[QuantityClass]],M$1:M$175,1,FALSE)</f>
        <v>luminous efficacy</v>
      </c>
      <c r="M87" t="s">
        <v>85</v>
      </c>
    </row>
    <row r="88" spans="3:13" x14ac:dyDescent="0.2">
      <c r="C88" t="s">
        <v>90</v>
      </c>
      <c r="D88" s="7" t="str">
        <f>VLOOKUP(Table6[[#This Row],[QuantityClass]],M$1:M$175,1,FALSE)</f>
        <v>luminous flux</v>
      </c>
      <c r="M88" t="s">
        <v>86</v>
      </c>
    </row>
    <row r="89" spans="3:13" x14ac:dyDescent="0.2">
      <c r="C89" t="s">
        <v>91</v>
      </c>
      <c r="D89" s="7" t="str">
        <f>VLOOKUP(Table6[[#This Row],[QuantityClass]],M$1:M$175,1,FALSE)</f>
        <v>luminous intensity</v>
      </c>
      <c r="M89" t="s">
        <v>87</v>
      </c>
    </row>
    <row r="90" spans="3:13" x14ac:dyDescent="0.2">
      <c r="C90" t="s">
        <v>92</v>
      </c>
      <c r="D90" s="7" t="str">
        <f>VLOOKUP(Table6[[#This Row],[QuantityClass]],M$1:M$175,1,FALSE)</f>
        <v>magnetic dipole moment</v>
      </c>
      <c r="M90" t="s">
        <v>88</v>
      </c>
    </row>
    <row r="91" spans="3:13" x14ac:dyDescent="0.2">
      <c r="C91" t="s">
        <v>93</v>
      </c>
      <c r="D91" s="7" t="str">
        <f>VLOOKUP(Table6[[#This Row],[QuantityClass]],M$1:M$175,1,FALSE)</f>
        <v>magnetic field strength</v>
      </c>
      <c r="M91" t="s">
        <v>89</v>
      </c>
    </row>
    <row r="92" spans="3:13" x14ac:dyDescent="0.2">
      <c r="C92" t="s">
        <v>94</v>
      </c>
      <c r="D92" s="7" t="str">
        <f>VLOOKUP(Table6[[#This Row],[QuantityClass]],M$1:M$175,1,FALSE)</f>
        <v>magnetic flux</v>
      </c>
      <c r="M92" t="s">
        <v>90</v>
      </c>
    </row>
    <row r="93" spans="3:13" x14ac:dyDescent="0.2">
      <c r="C93" t="s">
        <v>95</v>
      </c>
      <c r="D93" s="7" t="str">
        <f>VLOOKUP(Table6[[#This Row],[QuantityClass]],M$1:M$175,1,FALSE)</f>
        <v>magnetic flux density</v>
      </c>
      <c r="M93" t="s">
        <v>91</v>
      </c>
    </row>
    <row r="94" spans="3:13" x14ac:dyDescent="0.2">
      <c r="C94" t="s">
        <v>96</v>
      </c>
      <c r="D94" s="7" t="str">
        <f>VLOOKUP(Table6[[#This Row],[QuantityClass]],M$1:M$175,1,FALSE)</f>
        <v>magnetic flux density per length</v>
      </c>
      <c r="M94" t="s">
        <v>92</v>
      </c>
    </row>
    <row r="95" spans="3:13" x14ac:dyDescent="0.2">
      <c r="C95" t="s">
        <v>97</v>
      </c>
      <c r="D95" s="7" t="str">
        <f>VLOOKUP(Table6[[#This Row],[QuantityClass]],M$1:M$175,1,FALSE)</f>
        <v>magnetic permeability</v>
      </c>
      <c r="M95" t="s">
        <v>93</v>
      </c>
    </row>
    <row r="96" spans="3:13" x14ac:dyDescent="0.2">
      <c r="C96" t="s">
        <v>98</v>
      </c>
      <c r="D96" s="7" t="str">
        <f>VLOOKUP(Table6[[#This Row],[QuantityClass]],M$1:M$175,1,FALSE)</f>
        <v>magnetic vector potential</v>
      </c>
      <c r="M96" t="s">
        <v>94</v>
      </c>
    </row>
    <row r="97" spans="3:13" x14ac:dyDescent="0.2">
      <c r="C97" t="s">
        <v>99</v>
      </c>
      <c r="D97" s="7" t="str">
        <f>VLOOKUP(Table6[[#This Row],[QuantityClass]],M$1:M$175,1,FALSE)</f>
        <v>mass</v>
      </c>
      <c r="M97" t="s">
        <v>95</v>
      </c>
    </row>
    <row r="98" spans="3:13" x14ac:dyDescent="0.2">
      <c r="C98" t="s">
        <v>100</v>
      </c>
      <c r="D98" s="7" t="str">
        <f>VLOOKUP(Table6[[#This Row],[QuantityClass]],M$1:M$175,1,FALSE)</f>
        <v>mass length</v>
      </c>
      <c r="M98" t="s">
        <v>96</v>
      </c>
    </row>
    <row r="99" spans="3:13" x14ac:dyDescent="0.2">
      <c r="C99" t="s">
        <v>101</v>
      </c>
      <c r="D99" s="7" t="str">
        <f>VLOOKUP(Table6[[#This Row],[QuantityClass]],M$1:M$175,1,FALSE)</f>
        <v>mass per area</v>
      </c>
      <c r="M99" t="s">
        <v>97</v>
      </c>
    </row>
    <row r="100" spans="3:13" x14ac:dyDescent="0.2">
      <c r="C100" t="s">
        <v>102</v>
      </c>
      <c r="D100" s="7" t="str">
        <f>VLOOKUP(Table6[[#This Row],[QuantityClass]],M$1:M$175,1,FALSE)</f>
        <v>mass per energy</v>
      </c>
      <c r="M100" t="s">
        <v>98</v>
      </c>
    </row>
    <row r="101" spans="3:13" x14ac:dyDescent="0.2">
      <c r="C101" t="s">
        <v>103</v>
      </c>
      <c r="D101" s="7" t="str">
        <f>VLOOKUP(Table6[[#This Row],[QuantityClass]],M$1:M$175,1,FALSE)</f>
        <v>mass per length</v>
      </c>
      <c r="M101" t="s">
        <v>99</v>
      </c>
    </row>
    <row r="102" spans="3:13" x14ac:dyDescent="0.2">
      <c r="C102" t="s">
        <v>104</v>
      </c>
      <c r="D102" s="7" t="str">
        <f>VLOOKUP(Table6[[#This Row],[QuantityClass]],M$1:M$175,1,FALSE)</f>
        <v>mass per mass</v>
      </c>
      <c r="M102" t="s">
        <v>100</v>
      </c>
    </row>
    <row r="103" spans="3:13" x14ac:dyDescent="0.2">
      <c r="C103" t="s">
        <v>105</v>
      </c>
      <c r="D103" s="7" t="str">
        <f>VLOOKUP(Table6[[#This Row],[QuantityClass]],M$1:M$175,1,FALSE)</f>
        <v>mass per time</v>
      </c>
      <c r="M103" t="s">
        <v>101</v>
      </c>
    </row>
    <row r="104" spans="3:13" x14ac:dyDescent="0.2">
      <c r="C104" t="s">
        <v>459</v>
      </c>
      <c r="D104" s="7" t="str">
        <f>VLOOKUP(Table6[[#This Row],[QuantityClass]],M$1:M$175,1,FALSE)</f>
        <v>(mass per time) per area</v>
      </c>
      <c r="M104" t="s">
        <v>102</v>
      </c>
    </row>
    <row r="105" spans="3:13" x14ac:dyDescent="0.2">
      <c r="C105" t="s">
        <v>461</v>
      </c>
      <c r="D105" s="7" t="str">
        <f>VLOOKUP(Table6[[#This Row],[QuantityClass]],M$1:M$175,1,FALSE)</f>
        <v>(mass per time) per length</v>
      </c>
      <c r="M105" t="s">
        <v>103</v>
      </c>
    </row>
    <row r="106" spans="3:13" x14ac:dyDescent="0.2">
      <c r="C106" t="s">
        <v>17</v>
      </c>
      <c r="D106" s="7" t="str">
        <f>VLOOKUP(Table6[[#This Row],[QuantityClass]],M$1:M$175,1,FALSE)</f>
        <v>mass per volume</v>
      </c>
      <c r="M106" t="s">
        <v>104</v>
      </c>
    </row>
    <row r="107" spans="3:13" x14ac:dyDescent="0.2">
      <c r="C107" t="s">
        <v>460</v>
      </c>
      <c r="D107" s="7" t="str">
        <f>VLOOKUP(Table6[[#This Row],[QuantityClass]],M$1:M$175,1,FALSE)</f>
        <v>(mass per volume) per length</v>
      </c>
      <c r="M107" t="s">
        <v>105</v>
      </c>
    </row>
    <row r="108" spans="3:13" x14ac:dyDescent="0.2">
      <c r="C108" t="s">
        <v>470</v>
      </c>
      <c r="D108" s="7" t="e">
        <f>VLOOKUP(Table6[[#This Row],[QuantityClass]],M$1:M$175,1,FALSE)</f>
        <v>#N/A</v>
      </c>
      <c r="E108" t="s">
        <v>468</v>
      </c>
      <c r="M108" t="s">
        <v>17</v>
      </c>
    </row>
    <row r="109" spans="3:13" x14ac:dyDescent="0.2">
      <c r="C109" t="s">
        <v>471</v>
      </c>
      <c r="D109" s="7" t="e">
        <f>VLOOKUP(Table6[[#This Row],[QuantityClass]],M$1:M$175,1,FALSE)</f>
        <v>#N/A</v>
      </c>
      <c r="E109" t="s">
        <v>468</v>
      </c>
      <c r="M109" t="s">
        <v>106</v>
      </c>
    </row>
    <row r="110" spans="3:13" x14ac:dyDescent="0.2">
      <c r="C110" t="s">
        <v>106</v>
      </c>
      <c r="D110" s="7" t="str">
        <f>VLOOKUP(Table6[[#This Row],[QuantityClass]],M$1:M$175,1,FALSE)</f>
        <v>mobility</v>
      </c>
      <c r="M110" t="s">
        <v>107</v>
      </c>
    </row>
    <row r="111" spans="3:13" x14ac:dyDescent="0.2">
      <c r="C111" t="s">
        <v>107</v>
      </c>
      <c r="D111" s="7" t="str">
        <f>VLOOKUP(Table6[[#This Row],[QuantityClass]],M$1:M$175,1,FALSE)</f>
        <v>molar energy</v>
      </c>
      <c r="M111" t="s">
        <v>108</v>
      </c>
    </row>
    <row r="112" spans="3:13" x14ac:dyDescent="0.2">
      <c r="C112" t="s">
        <v>108</v>
      </c>
      <c r="D112" s="7" t="str">
        <f>VLOOKUP(Table6[[#This Row],[QuantityClass]],M$1:M$175,1,FALSE)</f>
        <v>molar heat capacity</v>
      </c>
      <c r="M112" t="s">
        <v>109</v>
      </c>
    </row>
    <row r="113" spans="3:13" x14ac:dyDescent="0.2">
      <c r="C113" t="s">
        <v>109</v>
      </c>
      <c r="D113" s="7" t="str">
        <f>VLOOKUP(Table6[[#This Row],[QuantityClass]],M$1:M$175,1,FALSE)</f>
        <v>molar volume</v>
      </c>
      <c r="M113" t="s">
        <v>110</v>
      </c>
    </row>
    <row r="114" spans="3:13" x14ac:dyDescent="0.2">
      <c r="C114" t="s">
        <v>110</v>
      </c>
      <c r="D114" s="7" t="str">
        <f>VLOOKUP(Table6[[#This Row],[QuantityClass]],M$1:M$175,1,FALSE)</f>
        <v>molecular weight</v>
      </c>
      <c r="M114" t="s">
        <v>111</v>
      </c>
    </row>
    <row r="115" spans="3:13" x14ac:dyDescent="0.2">
      <c r="C115" t="s">
        <v>111</v>
      </c>
      <c r="D115" s="7" t="str">
        <f>VLOOKUP(Table6[[#This Row],[QuantityClass]],M$1:M$175,1,FALSE)</f>
        <v>moment of force</v>
      </c>
      <c r="M115" t="s">
        <v>112</v>
      </c>
    </row>
    <row r="116" spans="3:13" x14ac:dyDescent="0.2">
      <c r="C116" t="s">
        <v>112</v>
      </c>
      <c r="D116" s="7" t="str">
        <f>VLOOKUP(Table6[[#This Row],[QuantityClass]],M$1:M$175,1,FALSE)</f>
        <v>moment of inertia</v>
      </c>
      <c r="M116" t="s">
        <v>113</v>
      </c>
    </row>
    <row r="117" spans="3:13" x14ac:dyDescent="0.2">
      <c r="C117" t="s">
        <v>113</v>
      </c>
      <c r="D117" s="7" t="str">
        <f>VLOOKUP(Table6[[#This Row],[QuantityClass]],M$1:M$175,1,FALSE)</f>
        <v>momentum</v>
      </c>
      <c r="M117" t="s">
        <v>114</v>
      </c>
    </row>
    <row r="118" spans="3:13" x14ac:dyDescent="0.2">
      <c r="C118" t="s">
        <v>114</v>
      </c>
      <c r="D118" s="7" t="str">
        <f>VLOOKUP(Table6[[#This Row],[QuantityClass]],M$1:M$175,1,FALSE)</f>
        <v>normalized power</v>
      </c>
      <c r="M118" t="s">
        <v>115</v>
      </c>
    </row>
    <row r="119" spans="3:13" x14ac:dyDescent="0.2">
      <c r="C119" t="s">
        <v>115</v>
      </c>
      <c r="D119" s="7" t="str">
        <f>VLOOKUP(Table6[[#This Row],[QuantityClass]],M$1:M$175,1,FALSE)</f>
        <v>permeability length</v>
      </c>
      <c r="M119" t="s">
        <v>116</v>
      </c>
    </row>
    <row r="120" spans="3:13" x14ac:dyDescent="0.2">
      <c r="C120" t="s">
        <v>116</v>
      </c>
      <c r="D120" s="7" t="str">
        <f>VLOOKUP(Table6[[#This Row],[QuantityClass]],M$1:M$175,1,FALSE)</f>
        <v>permeability rock</v>
      </c>
      <c r="M120" t="s">
        <v>117</v>
      </c>
    </row>
    <row r="121" spans="3:13" x14ac:dyDescent="0.2">
      <c r="C121" t="s">
        <v>117</v>
      </c>
      <c r="D121" s="7" t="str">
        <f>VLOOKUP(Table6[[#This Row],[QuantityClass]],M$1:M$175,1,FALSE)</f>
        <v>permittivity</v>
      </c>
      <c r="M121" t="s">
        <v>11</v>
      </c>
    </row>
    <row r="122" spans="3:13" x14ac:dyDescent="0.2">
      <c r="C122" t="s">
        <v>11</v>
      </c>
      <c r="D122" s="7" t="str">
        <f>VLOOKUP(Table6[[#This Row],[QuantityClass]],M$1:M$175,1,FALSE)</f>
        <v>plane angle</v>
      </c>
      <c r="M122" t="s">
        <v>118</v>
      </c>
    </row>
    <row r="123" spans="3:13" x14ac:dyDescent="0.2">
      <c r="C123" t="s">
        <v>118</v>
      </c>
      <c r="D123" s="7" t="str">
        <f>VLOOKUP(Table6[[#This Row],[QuantityClass]],M$1:M$175,1,FALSE)</f>
        <v>potential difference per power drop</v>
      </c>
      <c r="M123" t="s">
        <v>119</v>
      </c>
    </row>
    <row r="124" spans="3:13" x14ac:dyDescent="0.2">
      <c r="C124" t="s">
        <v>119</v>
      </c>
      <c r="D124" s="7" t="str">
        <f>VLOOKUP(Table6[[#This Row],[QuantityClass]],M$1:M$175,1,FALSE)</f>
        <v>power</v>
      </c>
      <c r="M124" t="s">
        <v>120</v>
      </c>
    </row>
    <row r="125" spans="3:13" x14ac:dyDescent="0.2">
      <c r="C125" t="s">
        <v>120</v>
      </c>
      <c r="D125" s="7" t="str">
        <f>VLOOKUP(Table6[[#This Row],[QuantityClass]],M$1:M$175,1,FALSE)</f>
        <v>power per area</v>
      </c>
      <c r="M125" t="s">
        <v>121</v>
      </c>
    </row>
    <row r="126" spans="3:13" x14ac:dyDescent="0.2">
      <c r="C126" t="s">
        <v>121</v>
      </c>
      <c r="D126" s="7" t="str">
        <f>VLOOKUP(Table6[[#This Row],[QuantityClass]],M$1:M$175,1,FALSE)</f>
        <v>power per power</v>
      </c>
      <c r="M126" t="s">
        <v>122</v>
      </c>
    </row>
    <row r="127" spans="3:13" x14ac:dyDescent="0.2">
      <c r="C127" t="s">
        <v>122</v>
      </c>
      <c r="D127" s="7" t="str">
        <f>VLOOKUP(Table6[[#This Row],[QuantityClass]],M$1:M$175,1,FALSE)</f>
        <v>power per volume</v>
      </c>
      <c r="M127" t="s">
        <v>3</v>
      </c>
    </row>
    <row r="128" spans="3:13" x14ac:dyDescent="0.2">
      <c r="C128" t="s">
        <v>3</v>
      </c>
      <c r="D128" s="7" t="str">
        <f>VLOOKUP(Table6[[#This Row],[QuantityClass]],M$1:M$175,1,FALSE)</f>
        <v>pressure</v>
      </c>
      <c r="M128" t="s">
        <v>123</v>
      </c>
    </row>
    <row r="129" spans="3:13" x14ac:dyDescent="0.2">
      <c r="C129" t="s">
        <v>197</v>
      </c>
      <c r="D129" s="7" t="e">
        <f>VLOOKUP(Table6[[#This Row],[QuantityClass]],M$1:M$175,1,FALSE)</f>
        <v>#N/A</v>
      </c>
      <c r="E129" t="s">
        <v>468</v>
      </c>
      <c r="M129" t="s">
        <v>124</v>
      </c>
    </row>
    <row r="130" spans="3:13" x14ac:dyDescent="0.2">
      <c r="C130" t="s">
        <v>123</v>
      </c>
      <c r="D130" s="7" t="str">
        <f>VLOOKUP(Table6[[#This Row],[QuantityClass]],M$1:M$175,1,FALSE)</f>
        <v>pressure per time</v>
      </c>
      <c r="M130" t="s">
        <v>125</v>
      </c>
    </row>
    <row r="131" spans="3:13" x14ac:dyDescent="0.2">
      <c r="C131" t="s">
        <v>124</v>
      </c>
      <c r="D131" s="7" t="str">
        <f>VLOOKUP(Table6[[#This Row],[QuantityClass]],M$1:M$175,1,FALSE)</f>
        <v>pressure per volume</v>
      </c>
      <c r="M131" t="s">
        <v>462</v>
      </c>
    </row>
    <row r="132" spans="3:13" x14ac:dyDescent="0.2">
      <c r="C132" t="s">
        <v>125</v>
      </c>
      <c r="D132" s="7" t="str">
        <f>VLOOKUP(Table6[[#This Row],[QuantityClass]],M$1:M$175,1,FALSE)</f>
        <v>pressure squared</v>
      </c>
      <c r="M132" t="s">
        <v>126</v>
      </c>
    </row>
    <row r="133" spans="3:13" x14ac:dyDescent="0.2">
      <c r="C133" t="s">
        <v>462</v>
      </c>
      <c r="D133" s="7" t="str">
        <f>VLOOKUP(Table6[[#This Row],[QuantityClass]],M$1:M$175,1,FALSE)</f>
        <v>pressure squared per (force time per area)</v>
      </c>
      <c r="M133" t="s">
        <v>127</v>
      </c>
    </row>
    <row r="134" spans="3:13" x14ac:dyDescent="0.2">
      <c r="C134" t="s">
        <v>126</v>
      </c>
      <c r="D134" s="7" t="str">
        <f>VLOOKUP(Table6[[#This Row],[QuantityClass]],M$1:M$175,1,FALSE)</f>
        <v>pressure time per volume</v>
      </c>
      <c r="M134" t="s">
        <v>128</v>
      </c>
    </row>
    <row r="135" spans="3:13" x14ac:dyDescent="0.2">
      <c r="C135" t="s">
        <v>127</v>
      </c>
      <c r="D135" s="7" t="str">
        <f>VLOOKUP(Table6[[#This Row],[QuantityClass]],M$1:M$175,1,FALSE)</f>
        <v>quantity of light</v>
      </c>
      <c r="M135" t="s">
        <v>129</v>
      </c>
    </row>
    <row r="136" spans="3:13" x14ac:dyDescent="0.2">
      <c r="C136" t="s">
        <v>128</v>
      </c>
      <c r="D136" s="7" t="str">
        <f>VLOOKUP(Table6[[#This Row],[QuantityClass]],M$1:M$175,1,FALSE)</f>
        <v>radiance</v>
      </c>
      <c r="M136" t="s">
        <v>449</v>
      </c>
    </row>
    <row r="137" spans="3:13" x14ac:dyDescent="0.2">
      <c r="C137" t="s">
        <v>129</v>
      </c>
      <c r="D137" s="7" t="str">
        <f>VLOOKUP(Table6[[#This Row],[QuantityClass]],M$1:M$175,1,FALSE)</f>
        <v>radiant intensity</v>
      </c>
      <c r="M137" t="s">
        <v>130</v>
      </c>
    </row>
    <row r="138" spans="3:13" x14ac:dyDescent="0.2">
      <c r="C138" t="s">
        <v>130</v>
      </c>
      <c r="D138" s="7" t="str">
        <f>VLOOKUP(Table6[[#This Row],[QuantityClass]],M$1:M$175,1,FALSE)</f>
        <v>reciprocal area</v>
      </c>
      <c r="M138" t="s">
        <v>131</v>
      </c>
    </row>
    <row r="139" spans="3:13" x14ac:dyDescent="0.2">
      <c r="C139" t="s">
        <v>131</v>
      </c>
      <c r="D139" s="7" t="str">
        <f>VLOOKUP(Table6[[#This Row],[QuantityClass]],M$1:M$175,1,FALSE)</f>
        <v>reciprocal electric potential difference</v>
      </c>
      <c r="M139" t="s">
        <v>132</v>
      </c>
    </row>
    <row r="140" spans="3:13" x14ac:dyDescent="0.2">
      <c r="C140" t="s">
        <v>132</v>
      </c>
      <c r="D140" s="7" t="str">
        <f>VLOOKUP(Table6[[#This Row],[QuantityClass]],M$1:M$175,1,FALSE)</f>
        <v>reciprocal force</v>
      </c>
      <c r="M140" t="s">
        <v>133</v>
      </c>
    </row>
    <row r="141" spans="3:13" x14ac:dyDescent="0.2">
      <c r="C141" t="s">
        <v>133</v>
      </c>
      <c r="D141" s="7" t="str">
        <f>VLOOKUP(Table6[[#This Row],[QuantityClass]],M$1:M$175,1,FALSE)</f>
        <v>reciprocal length</v>
      </c>
      <c r="M141" t="s">
        <v>134</v>
      </c>
    </row>
    <row r="142" spans="3:13" x14ac:dyDescent="0.2">
      <c r="C142" t="s">
        <v>134</v>
      </c>
      <c r="D142" s="7" t="str">
        <f>VLOOKUP(Table6[[#This Row],[QuantityClass]],M$1:M$175,1,FALSE)</f>
        <v>reciprocal mass</v>
      </c>
      <c r="M142" t="s">
        <v>135</v>
      </c>
    </row>
    <row r="143" spans="3:13" x14ac:dyDescent="0.2">
      <c r="C143" t="s">
        <v>449</v>
      </c>
      <c r="D143" s="7" t="str">
        <f>VLOOKUP(Table6[[#This Row],[QuantityClass]],M$1:M$175,1,FALSE)</f>
        <v>reciprocal (mass time)</v>
      </c>
      <c r="M143" t="s">
        <v>136</v>
      </c>
    </row>
    <row r="144" spans="3:13" x14ac:dyDescent="0.2">
      <c r="C144" t="s">
        <v>135</v>
      </c>
      <c r="D144" s="7" t="str">
        <f>VLOOKUP(Table6[[#This Row],[QuantityClass]],M$1:M$175,1,FALSE)</f>
        <v>reciprocal pressure</v>
      </c>
      <c r="M144" t="s">
        <v>137</v>
      </c>
    </row>
    <row r="145" spans="3:13" x14ac:dyDescent="0.2">
      <c r="C145" t="s">
        <v>136</v>
      </c>
      <c r="D145" s="7" t="str">
        <f>VLOOKUP(Table6[[#This Row],[QuantityClass]],M$1:M$175,1,FALSE)</f>
        <v>reciprocal time</v>
      </c>
      <c r="M145" t="s">
        <v>138</v>
      </c>
    </row>
    <row r="146" spans="3:13" x14ac:dyDescent="0.2">
      <c r="C146" t="s">
        <v>137</v>
      </c>
      <c r="D146" s="7" t="str">
        <f>VLOOKUP(Table6[[#This Row],[QuantityClass]],M$1:M$175,1,FALSE)</f>
        <v>reciprocal volume</v>
      </c>
      <c r="M146" t="s">
        <v>139</v>
      </c>
    </row>
    <row r="147" spans="3:13" x14ac:dyDescent="0.2">
      <c r="C147" t="s">
        <v>443</v>
      </c>
      <c r="D147" s="7" t="e">
        <f>VLOOKUP(Table6[[#This Row],[QuantityClass]],M$1:M$175,1,FALSE)</f>
        <v>#N/A</v>
      </c>
      <c r="E147" t="s">
        <v>447</v>
      </c>
      <c r="M147" t="s">
        <v>140</v>
      </c>
    </row>
    <row r="148" spans="3:13" x14ac:dyDescent="0.2">
      <c r="C148" t="s">
        <v>138</v>
      </c>
      <c r="D148" s="7" t="str">
        <f>VLOOKUP(Table6[[#This Row],[QuantityClass]],M$1:M$175,1,FALSE)</f>
        <v>reluctance</v>
      </c>
      <c r="M148" t="s">
        <v>141</v>
      </c>
    </row>
    <row r="149" spans="3:13" x14ac:dyDescent="0.2">
      <c r="C149" t="s">
        <v>139</v>
      </c>
      <c r="D149" s="7" t="str">
        <f>VLOOKUP(Table6[[#This Row],[QuantityClass]],M$1:M$175,1,FALSE)</f>
        <v>second moment of area</v>
      </c>
      <c r="M149" t="s">
        <v>142</v>
      </c>
    </row>
    <row r="150" spans="3:13" x14ac:dyDescent="0.2">
      <c r="C150" t="s">
        <v>140</v>
      </c>
      <c r="D150" s="7" t="str">
        <f>VLOOKUP(Table6[[#This Row],[QuantityClass]],M$1:M$175,1,FALSE)</f>
        <v>signaling event per time</v>
      </c>
      <c r="M150" t="s">
        <v>143</v>
      </c>
    </row>
    <row r="151" spans="3:13" x14ac:dyDescent="0.2">
      <c r="C151" t="s">
        <v>141</v>
      </c>
      <c r="D151" s="7" t="str">
        <f>VLOOKUP(Table6[[#This Row],[QuantityClass]],M$1:M$175,1,FALSE)</f>
        <v>solid angle</v>
      </c>
      <c r="M151" t="s">
        <v>144</v>
      </c>
    </row>
    <row r="152" spans="3:13" x14ac:dyDescent="0.2">
      <c r="C152" t="s">
        <v>142</v>
      </c>
      <c r="D152" s="7" t="str">
        <f>VLOOKUP(Table6[[#This Row],[QuantityClass]],M$1:M$175,1,FALSE)</f>
        <v>specific heat capacity</v>
      </c>
      <c r="M152" t="s">
        <v>145</v>
      </c>
    </row>
    <row r="153" spans="3:13" x14ac:dyDescent="0.2">
      <c r="C153" t="s">
        <v>143</v>
      </c>
      <c r="D153" s="7" t="str">
        <f>VLOOKUP(Table6[[#This Row],[QuantityClass]],M$1:M$175,1,FALSE)</f>
        <v>temperature interval</v>
      </c>
      <c r="M153" t="s">
        <v>146</v>
      </c>
    </row>
    <row r="154" spans="3:13" x14ac:dyDescent="0.2">
      <c r="C154" t="s">
        <v>144</v>
      </c>
      <c r="D154" s="7" t="str">
        <f>VLOOKUP(Table6[[#This Row],[QuantityClass]],M$1:M$175,1,FALSE)</f>
        <v>temperature interval per length</v>
      </c>
      <c r="M154" t="s">
        <v>147</v>
      </c>
    </row>
    <row r="155" spans="3:13" x14ac:dyDescent="0.2">
      <c r="C155" t="s">
        <v>145</v>
      </c>
      <c r="D155" s="7" t="str">
        <f>VLOOKUP(Table6[[#This Row],[QuantityClass]],M$1:M$175,1,FALSE)</f>
        <v>temperature interval per pressure</v>
      </c>
      <c r="M155" t="s">
        <v>148</v>
      </c>
    </row>
    <row r="156" spans="3:13" x14ac:dyDescent="0.2">
      <c r="C156" t="s">
        <v>146</v>
      </c>
      <c r="D156" s="7" t="str">
        <f>VLOOKUP(Table6[[#This Row],[QuantityClass]],M$1:M$175,1,FALSE)</f>
        <v>temperature interval per time</v>
      </c>
      <c r="M156" t="s">
        <v>149</v>
      </c>
    </row>
    <row r="157" spans="3:13" x14ac:dyDescent="0.2">
      <c r="C157" t="s">
        <v>147</v>
      </c>
      <c r="D157" s="7" t="str">
        <f>VLOOKUP(Table6[[#This Row],[QuantityClass]],M$1:M$175,1,FALSE)</f>
        <v>thermal conductance</v>
      </c>
      <c r="M157" t="s">
        <v>150</v>
      </c>
    </row>
    <row r="158" spans="3:13" x14ac:dyDescent="0.2">
      <c r="C158" t="s">
        <v>148</v>
      </c>
      <c r="D158" s="7" t="str">
        <f>VLOOKUP(Table6[[#This Row],[QuantityClass]],M$1:M$175,1,FALSE)</f>
        <v>thermal conductivity</v>
      </c>
      <c r="M158" t="s">
        <v>151</v>
      </c>
    </row>
    <row r="159" spans="3:13" x14ac:dyDescent="0.2">
      <c r="C159" t="s">
        <v>149</v>
      </c>
      <c r="D159" s="7" t="str">
        <f>VLOOKUP(Table6[[#This Row],[QuantityClass]],M$1:M$175,1,FALSE)</f>
        <v>thermal diffusivity</v>
      </c>
      <c r="M159" t="s">
        <v>22</v>
      </c>
    </row>
    <row r="160" spans="3:13" x14ac:dyDescent="0.2">
      <c r="C160" t="s">
        <v>150</v>
      </c>
      <c r="D160" s="7" t="str">
        <f>VLOOKUP(Table6[[#This Row],[QuantityClass]],M$1:M$175,1,FALSE)</f>
        <v>thermal insulance</v>
      </c>
      <c r="M160" t="s">
        <v>25</v>
      </c>
    </row>
    <row r="161" spans="3:13" x14ac:dyDescent="0.2">
      <c r="C161" t="s">
        <v>151</v>
      </c>
      <c r="D161" s="7" t="str">
        <f>VLOOKUP(Table6[[#This Row],[QuantityClass]],M$1:M$175,1,FALSE)</f>
        <v>thermal resistance</v>
      </c>
      <c r="M161" t="s">
        <v>21</v>
      </c>
    </row>
    <row r="162" spans="3:13" x14ac:dyDescent="0.2">
      <c r="C162" t="s">
        <v>22</v>
      </c>
      <c r="D162" s="7" t="str">
        <f>VLOOKUP(Table6[[#This Row],[QuantityClass]],M$1:M$175,1,FALSE)</f>
        <v>thermodynamic temperature</v>
      </c>
      <c r="M162" t="s">
        <v>152</v>
      </c>
    </row>
    <row r="163" spans="3:13" x14ac:dyDescent="0.2">
      <c r="C163" t="s">
        <v>200</v>
      </c>
      <c r="D163" s="7" t="e">
        <f>VLOOKUP(Table6[[#This Row],[QuantityClass]],M$1:M$175,1,FALSE)</f>
        <v>#N/A</v>
      </c>
      <c r="E163" t="s">
        <v>468</v>
      </c>
      <c r="M163" t="s">
        <v>153</v>
      </c>
    </row>
    <row r="164" spans="3:13" x14ac:dyDescent="0.2">
      <c r="C164" t="s">
        <v>25</v>
      </c>
      <c r="D164" s="7" t="str">
        <f>VLOOKUP(Table6[[#This Row],[QuantityClass]],M$1:M$175,1,FALSE)</f>
        <v>time</v>
      </c>
      <c r="M164" t="s">
        <v>154</v>
      </c>
    </row>
    <row r="165" spans="3:13" x14ac:dyDescent="0.2">
      <c r="C165" t="s">
        <v>21</v>
      </c>
      <c r="D165" s="7" t="str">
        <f>VLOOKUP(Table6[[#This Row],[QuantityClass]],M$1:M$175,1,FALSE)</f>
        <v>time per length</v>
      </c>
      <c r="M165" t="s">
        <v>155</v>
      </c>
    </row>
    <row r="166" spans="3:13" x14ac:dyDescent="0.2">
      <c r="C166" t="s">
        <v>152</v>
      </c>
      <c r="D166" s="7" t="str">
        <f>VLOOKUP(Table6[[#This Row],[QuantityClass]],M$1:M$175,1,FALSE)</f>
        <v>time per mass</v>
      </c>
      <c r="M166" t="s">
        <v>156</v>
      </c>
    </row>
    <row r="167" spans="3:13" x14ac:dyDescent="0.2">
      <c r="C167" t="s">
        <v>153</v>
      </c>
      <c r="D167" s="7" t="str">
        <f>VLOOKUP(Table6[[#This Row],[QuantityClass]],M$1:M$175,1,FALSE)</f>
        <v>time per time</v>
      </c>
      <c r="M167" t="s">
        <v>157</v>
      </c>
    </row>
    <row r="168" spans="3:13" x14ac:dyDescent="0.2">
      <c r="C168" t="s">
        <v>154</v>
      </c>
      <c r="D168" s="7" t="str">
        <f>VLOOKUP(Table6[[#This Row],[QuantityClass]],M$1:M$175,1,FALSE)</f>
        <v>time per volume</v>
      </c>
      <c r="M168" t="s">
        <v>158</v>
      </c>
    </row>
    <row r="169" spans="3:13" x14ac:dyDescent="0.2">
      <c r="C169" t="s">
        <v>155</v>
      </c>
      <c r="D169" s="7" t="str">
        <f>VLOOKUP(Table6[[#This Row],[QuantityClass]],M$1:M$175,1,FALSE)</f>
        <v>volume</v>
      </c>
      <c r="M169" t="s">
        <v>159</v>
      </c>
    </row>
    <row r="170" spans="3:13" x14ac:dyDescent="0.2">
      <c r="C170" t="s">
        <v>156</v>
      </c>
      <c r="D170" s="7" t="str">
        <f>VLOOKUP(Table6[[#This Row],[QuantityClass]],M$1:M$175,1,FALSE)</f>
        <v>volume flow rate per volume flow rate</v>
      </c>
      <c r="M170" t="s">
        <v>160</v>
      </c>
    </row>
    <row r="171" spans="3:13" x14ac:dyDescent="0.2">
      <c r="C171" t="s">
        <v>157</v>
      </c>
      <c r="D171" s="7" t="str">
        <f>VLOOKUP(Table6[[#This Row],[QuantityClass]],M$1:M$175,1,FALSE)</f>
        <v>volume per area</v>
      </c>
      <c r="M171" t="s">
        <v>161</v>
      </c>
    </row>
    <row r="172" spans="3:13" x14ac:dyDescent="0.2">
      <c r="C172" t="s">
        <v>158</v>
      </c>
      <c r="D172" s="7" t="str">
        <f>VLOOKUP(Table6[[#This Row],[QuantityClass]],M$1:M$175,1,FALSE)</f>
        <v>volume per length</v>
      </c>
      <c r="M172" t="s">
        <v>162</v>
      </c>
    </row>
    <row r="173" spans="3:13" x14ac:dyDescent="0.2">
      <c r="C173" t="s">
        <v>159</v>
      </c>
      <c r="D173" s="7" t="str">
        <f>VLOOKUP(Table6[[#This Row],[QuantityClass]],M$1:M$175,1,FALSE)</f>
        <v>volume per mass</v>
      </c>
      <c r="M173" t="s">
        <v>12</v>
      </c>
    </row>
    <row r="174" spans="3:13" x14ac:dyDescent="0.2">
      <c r="C174" t="s">
        <v>160</v>
      </c>
      <c r="D174" s="7" t="str">
        <f>VLOOKUP(Table6[[#This Row],[QuantityClass]],M$1:M$175,1,FALSE)</f>
        <v>volume per pressure</v>
      </c>
      <c r="M174" t="s">
        <v>163</v>
      </c>
    </row>
    <row r="175" spans="3:13" x14ac:dyDescent="0.2">
      <c r="C175" t="s">
        <v>161</v>
      </c>
      <c r="D175" s="7" t="str">
        <f>VLOOKUP(Table6[[#This Row],[QuantityClass]],M$1:M$175,1,FALSE)</f>
        <v>volume per rotation</v>
      </c>
      <c r="M175" t="s">
        <v>164</v>
      </c>
    </row>
    <row r="176" spans="3:13" x14ac:dyDescent="0.2">
      <c r="C176" t="s">
        <v>162</v>
      </c>
      <c r="D176" s="7" t="str">
        <f>VLOOKUP(Table6[[#This Row],[QuantityClass]],M$1:M$175,1,FALSE)</f>
        <v>volume per time</v>
      </c>
    </row>
    <row r="177" spans="3:5" x14ac:dyDescent="0.2">
      <c r="C177" t="s">
        <v>457</v>
      </c>
      <c r="D177" s="7" t="str">
        <f>VLOOKUP(Table6[[#This Row],[QuantityClass]],M$1:M$175,1,FALSE)</f>
        <v>(volume per time) length</v>
      </c>
    </row>
    <row r="178" spans="3:5" x14ac:dyDescent="0.2">
      <c r="C178" t="s">
        <v>452</v>
      </c>
      <c r="D178" s="7" t="str">
        <f>VLOOKUP(Table6[[#This Row],[QuantityClass]],M$1:M$175,1,FALSE)</f>
        <v>(volume per time) per area</v>
      </c>
    </row>
    <row r="179" spans="3:5" x14ac:dyDescent="0.2">
      <c r="C179" t="s">
        <v>453</v>
      </c>
      <c r="D179" s="7" t="str">
        <f>VLOOKUP(Table6[[#This Row],[QuantityClass]],M$1:M$175,1,FALSE)</f>
        <v>(volume per time) per length</v>
      </c>
    </row>
    <row r="180" spans="3:5" x14ac:dyDescent="0.2">
      <c r="C180" t="s">
        <v>458</v>
      </c>
      <c r="D180" s="7" t="str">
        <f>VLOOKUP(Table6[[#This Row],[QuantityClass]],M$1:M$175,1,FALSE)</f>
        <v>(volume per time) per pressure</v>
      </c>
    </row>
    <row r="181" spans="3:5" x14ac:dyDescent="0.2">
      <c r="C181" t="s">
        <v>456</v>
      </c>
      <c r="D181" s="7" t="str">
        <f>VLOOKUP(Table6[[#This Row],[QuantityClass]],M$1:M$175,1,FALSE)</f>
        <v>(volume per time) per (pressure length)</v>
      </c>
    </row>
    <row r="182" spans="3:5" x14ac:dyDescent="0.2">
      <c r="C182" t="s">
        <v>455</v>
      </c>
      <c r="D182" s="7" t="str">
        <f>VLOOKUP(Table6[[#This Row],[QuantityClass]],M$1:M$175,1,FALSE)</f>
        <v>(volume per time) per time</v>
      </c>
    </row>
    <row r="183" spans="3:5" x14ac:dyDescent="0.2">
      <c r="C183" t="s">
        <v>451</v>
      </c>
      <c r="D183" s="8" t="str">
        <f>VLOOKUP(Table6[[#This Row],[QuantityClass]],M$1:M$175,1,FALSE)</f>
        <v>(volume per time) per volume</v>
      </c>
    </row>
    <row r="184" spans="3:5" x14ac:dyDescent="0.2">
      <c r="C184" t="s">
        <v>12</v>
      </c>
      <c r="D184" s="8" t="str">
        <f>VLOOKUP(Table6[[#This Row],[QuantityClass]],M$1:M$175,1,FALSE)</f>
        <v>volume per volume</v>
      </c>
    </row>
    <row r="185" spans="3:5" x14ac:dyDescent="0.2">
      <c r="C185" t="s">
        <v>163</v>
      </c>
      <c r="D185" t="str">
        <f>VLOOKUP(Table6[[#This Row],[QuantityClass]],M$1:M$175,1,FALSE)</f>
        <v>volumetric heat transfer coefficient</v>
      </c>
    </row>
    <row r="186" spans="3:5" x14ac:dyDescent="0.2">
      <c r="C186" t="s">
        <v>164</v>
      </c>
      <c r="D186" t="str">
        <f>VLOOKUP(Table6[[#This Row],[QuantityClass]],M$1:M$175,1,FALSE)</f>
        <v>volumetric thermal expansion</v>
      </c>
    </row>
    <row r="187" spans="3:5" x14ac:dyDescent="0.2">
      <c r="C187" t="s">
        <v>467</v>
      </c>
      <c r="D187" t="e">
        <f>VLOOKUP(Table6[[#This Row],[QuantityClass]],M$1:M$175,1,FALSE)</f>
        <v>#N/A</v>
      </c>
      <c r="E187" t="s">
        <v>472</v>
      </c>
    </row>
    <row r="188" spans="3:5" x14ac:dyDescent="0.2">
      <c r="C188" t="s">
        <v>473</v>
      </c>
      <c r="D188" t="e">
        <f>VLOOKUP(Table6[[#This Row],[QuantityClass]],M$1:M$175,1,FALSE)</f>
        <v>#N/A</v>
      </c>
      <c r="E188" t="s">
        <v>472</v>
      </c>
    </row>
    <row r="192" spans="3:5" x14ac:dyDescent="0.2">
      <c r="E192" s="19"/>
    </row>
    <row r="193" spans="5:5" x14ac:dyDescent="0.2">
      <c r="E193" s="20"/>
    </row>
    <row r="194" spans="5:5" x14ac:dyDescent="0.2">
      <c r="E194" s="19"/>
    </row>
    <row r="195" spans="5:5" x14ac:dyDescent="0.2">
      <c r="E195" s="19"/>
    </row>
    <row r="196" spans="5:5" x14ac:dyDescent="0.2">
      <c r="E196" s="19"/>
    </row>
    <row r="197" spans="5:5" x14ac:dyDescent="0.2">
      <c r="E197" s="19"/>
    </row>
    <row r="198" spans="5:5" x14ac:dyDescent="0.2">
      <c r="E198" s="19"/>
    </row>
    <row r="199" spans="5:5" x14ac:dyDescent="0.2">
      <c r="E199" s="19"/>
    </row>
    <row r="200" spans="5:5" x14ac:dyDescent="0.2">
      <c r="E200" s="19"/>
    </row>
    <row r="201" spans="5:5" x14ac:dyDescent="0.2">
      <c r="E201" s="19"/>
    </row>
    <row r="202" spans="5:5" x14ac:dyDescent="0.2">
      <c r="E202" s="19"/>
    </row>
    <row r="203" spans="5:5" x14ac:dyDescent="0.2">
      <c r="E203" s="19"/>
    </row>
  </sheetData>
  <sortState xmlns:xlrd2="http://schemas.microsoft.com/office/spreadsheetml/2017/richdata2" ref="E192:E203">
    <sortCondition ref="E192:E203"/>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DictionaryName</vt:lpstr>
      <vt:lpstr>Definitions</vt:lpstr>
      <vt:lpstr>AssociatedElements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Ponti, Daniel J</cp:lastModifiedBy>
  <dcterms:created xsi:type="dcterms:W3CDTF">2018-10-28T20:07:54Z</dcterms:created>
  <dcterms:modified xsi:type="dcterms:W3CDTF">2026-03-07T21:46:41Z</dcterms:modified>
</cp:coreProperties>
</file>