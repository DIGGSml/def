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1207"/>
  <workbookPr codeName="ThisWorkbook"/>
  <mc:AlternateContent xmlns:mc="http://schemas.openxmlformats.org/markup-compatibility/2006">
    <mc:Choice Requires="x15">
      <x15ac:absPath xmlns:x15ac="http://schemas.microsoft.com/office/spreadsheetml/2010/11/ac" url="/Users/dponti/GitHub/def/Codelist Excel Files and Conversion Templates to XML/"/>
    </mc:Choice>
  </mc:AlternateContent>
  <xr:revisionPtr revIDLastSave="0" documentId="13_ncr:1_{03445C36-9447-FC4B-BE1D-4EF0F660D79E}" xr6:coauthVersionLast="47" xr6:coauthVersionMax="47" xr10:uidLastSave="{00000000-0000-0000-0000-000000000000}"/>
  <bookViews>
    <workbookView xWindow="0" yWindow="500" windowWidth="39940" windowHeight="25180" tabRatio="500" activeTab="3" xr2:uid="{00000000-000D-0000-FFFF-FFFF00000000}"/>
  </bookViews>
  <sheets>
    <sheet name="DictionaryName" sheetId="3" r:id="rId1"/>
    <sheet name="Definitions" sheetId="1" r:id="rId2"/>
    <sheet name="AssociatedElements" sheetId="2" r:id="rId3"/>
    <sheet name="Lists" sheetId="5"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18" i="2" l="1"/>
  <c r="A119" i="2"/>
  <c r="A120" i="2"/>
  <c r="A121" i="2"/>
  <c r="A122" i="2"/>
  <c r="A123" i="2"/>
  <c r="A124" i="2"/>
  <c r="A125" i="2"/>
  <c r="A126" i="2"/>
  <c r="A127" i="2"/>
  <c r="A128" i="2"/>
  <c r="A129" i="2"/>
  <c r="A130" i="2"/>
  <c r="A131" i="2"/>
  <c r="A132" i="2"/>
  <c r="A133" i="2"/>
  <c r="A134" i="2"/>
  <c r="A135" i="2"/>
  <c r="A136" i="2"/>
  <c r="A94" i="2"/>
  <c r="A35" i="2"/>
  <c r="A36" i="2"/>
  <c r="A63" i="2"/>
  <c r="A69" i="2"/>
  <c r="A85" i="2"/>
  <c r="A95" i="2"/>
  <c r="A2" i="2"/>
  <c r="A3" i="2"/>
  <c r="A37" i="2"/>
  <c r="A86" i="2"/>
  <c r="A96" i="2"/>
  <c r="A4" i="2"/>
  <c r="A45" i="2"/>
  <c r="A5" i="2"/>
  <c r="A29" i="2"/>
  <c r="A41" i="2"/>
  <c r="A111" i="2"/>
  <c r="A6" i="2"/>
  <c r="A42" i="2"/>
  <c r="A43" i="2"/>
  <c r="A47" i="2"/>
  <c r="A112" i="2"/>
  <c r="A48" i="2"/>
  <c r="A113" i="2"/>
  <c r="A114" i="2"/>
  <c r="A26" i="2"/>
  <c r="A103" i="2"/>
  <c r="A104" i="2"/>
  <c r="A44" i="2"/>
  <c r="A7" i="2"/>
  <c r="A8" i="2"/>
  <c r="A38" i="2"/>
  <c r="A39" i="2"/>
  <c r="A40" i="2"/>
  <c r="A30" i="2"/>
  <c r="A115" i="2"/>
  <c r="A31" i="2"/>
  <c r="A116" i="2"/>
  <c r="A105" i="2"/>
  <c r="A75" i="2"/>
  <c r="A76" i="2"/>
  <c r="A57" i="2"/>
  <c r="A58" i="2"/>
  <c r="A49" i="2"/>
  <c r="A59" i="2"/>
  <c r="A50" i="2"/>
  <c r="A60" i="2"/>
  <c r="A51" i="2"/>
  <c r="A61" i="2"/>
  <c r="A62" i="2"/>
  <c r="A9" i="2"/>
  <c r="A106" i="2"/>
  <c r="A64" i="2"/>
  <c r="A70" i="2"/>
  <c r="A87" i="2"/>
  <c r="A97" i="2"/>
  <c r="A65" i="2"/>
  <c r="A71" i="2"/>
  <c r="A88" i="2"/>
  <c r="A98" i="2"/>
  <c r="A89" i="2"/>
  <c r="A99" i="2"/>
  <c r="A107" i="2"/>
  <c r="A81" i="2"/>
  <c r="A82" i="2"/>
  <c r="A66" i="2"/>
  <c r="A72" i="2"/>
  <c r="A90" i="2"/>
  <c r="A100" i="2"/>
  <c r="A10" i="2"/>
  <c r="A67" i="2"/>
  <c r="A73" i="2"/>
  <c r="A91" i="2"/>
  <c r="A101" i="2"/>
  <c r="A11" i="2"/>
  <c r="A32" i="2"/>
  <c r="A33" i="2"/>
  <c r="A83" i="2"/>
  <c r="A108" i="2"/>
  <c r="A92" i="2"/>
  <c r="A12" i="2"/>
  <c r="A27" i="2"/>
  <c r="A34" i="2"/>
  <c r="A52" i="2"/>
  <c r="A109" i="2"/>
  <c r="A13" i="2"/>
  <c r="A28" i="2"/>
  <c r="A46" i="2"/>
  <c r="A53" i="2"/>
  <c r="A110" i="2"/>
  <c r="A117" i="2"/>
  <c r="A14" i="2"/>
  <c r="A68" i="2"/>
  <c r="A74" i="2"/>
  <c r="A93" i="2"/>
  <c r="A102" i="2"/>
  <c r="A15" i="2"/>
  <c r="A16" i="2"/>
  <c r="A17" i="2"/>
  <c r="A77" i="2"/>
  <c r="A78" i="2"/>
  <c r="A79" i="2"/>
  <c r="A80" i="2"/>
  <c r="A18" i="2"/>
  <c r="A19" i="2"/>
  <c r="A54" i="2"/>
  <c r="A55" i="2"/>
  <c r="A56" i="2"/>
  <c r="A20" i="2"/>
  <c r="A21" i="2"/>
  <c r="A22" i="2"/>
  <c r="A23" i="2"/>
  <c r="A24" i="2"/>
  <c r="A25" i="2"/>
  <c r="A3" i="1"/>
  <c r="A4" i="1"/>
  <c r="A5" i="1"/>
  <c r="A6" i="1"/>
  <c r="A7" i="1"/>
  <c r="A8" i="1"/>
  <c r="A9" i="1"/>
  <c r="A10" i="1"/>
  <c r="A11" i="1"/>
  <c r="A12" i="1"/>
  <c r="A13" i="1"/>
  <c r="A14" i="1"/>
  <c r="A15" i="1"/>
  <c r="A16" i="1"/>
  <c r="A17" i="1"/>
  <c r="A18" i="1"/>
  <c r="A19" i="1"/>
  <c r="A20" i="1"/>
  <c r="A21" i="1"/>
  <c r="A22" i="1"/>
  <c r="A23" i="1"/>
  <c r="A24" i="1"/>
  <c r="A25" i="1"/>
  <c r="A26" i="1"/>
  <c r="A27" i="1"/>
  <c r="A28" i="1"/>
  <c r="A29" i="1"/>
  <c r="A30" i="1"/>
  <c r="A31" i="1"/>
  <c r="A32" i="1"/>
  <c r="A33" i="1"/>
  <c r="A34" i="1"/>
  <c r="A35" i="1"/>
  <c r="A36" i="1"/>
  <c r="A37" i="1"/>
  <c r="A38" i="1"/>
  <c r="A39" i="1"/>
  <c r="A40" i="1"/>
  <c r="A41" i="1"/>
  <c r="A42" i="1"/>
  <c r="A43" i="1"/>
  <c r="A44" i="1"/>
  <c r="A45" i="1"/>
  <c r="A46" i="1"/>
  <c r="A47" i="1"/>
  <c r="A48" i="1"/>
  <c r="A49" i="1"/>
  <c r="A50" i="1"/>
  <c r="A51" i="1"/>
  <c r="A52" i="1"/>
  <c r="A53" i="1"/>
  <c r="A54" i="1"/>
  <c r="A55" i="1"/>
  <c r="A56" i="1"/>
  <c r="A57" i="1"/>
  <c r="A58" i="1"/>
  <c r="A59" i="1"/>
  <c r="A60" i="1"/>
  <c r="A61" i="1"/>
  <c r="A62" i="1"/>
  <c r="A63" i="1"/>
  <c r="A64" i="1"/>
  <c r="A65" i="1"/>
  <c r="A66" i="1"/>
  <c r="A67" i="1"/>
  <c r="A68" i="1"/>
  <c r="A69" i="1"/>
  <c r="A70" i="1"/>
  <c r="A84" i="2" l="1"/>
  <c r="A2" i="1"/>
</calcChain>
</file>

<file path=xl/sharedStrings.xml><?xml version="1.0" encoding="utf-8"?>
<sst xmlns="http://schemas.openxmlformats.org/spreadsheetml/2006/main" count="995" uniqueCount="465">
  <si>
    <t>Description</t>
  </si>
  <si>
    <t>double</t>
  </si>
  <si>
    <t>length</t>
  </si>
  <si>
    <t>pressure</t>
  </si>
  <si>
    <t>string</t>
  </si>
  <si>
    <t>force</t>
  </si>
  <si>
    <t>force per volume</t>
  </si>
  <si>
    <t>Dictionary ID</t>
  </si>
  <si>
    <t>Name</t>
  </si>
  <si>
    <t>Authority</t>
  </si>
  <si>
    <t>dimensionless</t>
  </si>
  <si>
    <t>plane angle</t>
  </si>
  <si>
    <t>volume per volume</t>
  </si>
  <si>
    <t>Start</t>
  </si>
  <si>
    <t>DictionaryName</t>
  </si>
  <si>
    <t>area per time</t>
  </si>
  <si>
    <t>electric conductivity</t>
  </si>
  <si>
    <t>mass per volume</t>
  </si>
  <si>
    <t>force per force</t>
  </si>
  <si>
    <t>length per length</t>
  </si>
  <si>
    <t>electrical resistivity</t>
  </si>
  <si>
    <t>time per length</t>
  </si>
  <si>
    <t>thermodynamic temperature</t>
  </si>
  <si>
    <t>length per time</t>
  </si>
  <si>
    <t>electric potential difference</t>
  </si>
  <si>
    <t>time</t>
  </si>
  <si>
    <t>absorbed dose</t>
  </si>
  <si>
    <t>amount of substance</t>
  </si>
  <si>
    <t>amount of substance per amount of substance</t>
  </si>
  <si>
    <t>amount of substance per area</t>
  </si>
  <si>
    <t>amount of substance per time</t>
  </si>
  <si>
    <t>amount of substance per volume</t>
  </si>
  <si>
    <t>angle per length</t>
  </si>
  <si>
    <t>angle per volume</t>
  </si>
  <si>
    <t>angular acceleration</t>
  </si>
  <si>
    <t>angular velocity</t>
  </si>
  <si>
    <t>area</t>
  </si>
  <si>
    <t>area per amount of substance</t>
  </si>
  <si>
    <t>area per area</t>
  </si>
  <si>
    <t>area per mass</t>
  </si>
  <si>
    <t>area per volume</t>
  </si>
  <si>
    <t>attenuation per frequency interval</t>
  </si>
  <si>
    <t>capacitance</t>
  </si>
  <si>
    <t>data transfer speed</t>
  </si>
  <si>
    <t>diffusion coefficient</t>
  </si>
  <si>
    <t>digital storage</t>
  </si>
  <si>
    <t>dipole moment</t>
  </si>
  <si>
    <t>dose equivalent</t>
  </si>
  <si>
    <t>dynamic viscosity</t>
  </si>
  <si>
    <t>electric charge</t>
  </si>
  <si>
    <t>electric charge per area</t>
  </si>
  <si>
    <t>electric charge per mass</t>
  </si>
  <si>
    <t>electric charge per volume</t>
  </si>
  <si>
    <t>electric conductance</t>
  </si>
  <si>
    <t>electric current</t>
  </si>
  <si>
    <t>electric current density</t>
  </si>
  <si>
    <t>electric field strength</t>
  </si>
  <si>
    <t>electric resistance</t>
  </si>
  <si>
    <t>electric resistance per length</t>
  </si>
  <si>
    <t>electromagnetic moment</t>
  </si>
  <si>
    <t>energy</t>
  </si>
  <si>
    <t>energy length per area</t>
  </si>
  <si>
    <t>energy length per time area temperature</t>
  </si>
  <si>
    <t>energy per area</t>
  </si>
  <si>
    <t>energy per length</t>
  </si>
  <si>
    <t>energy per mass</t>
  </si>
  <si>
    <t>energy per volume</t>
  </si>
  <si>
    <t>force area</t>
  </si>
  <si>
    <t>force length per length</t>
  </si>
  <si>
    <t>force per length</t>
  </si>
  <si>
    <t>frequency</t>
  </si>
  <si>
    <t>frequency interval</t>
  </si>
  <si>
    <t>heat capacity</t>
  </si>
  <si>
    <t>heat flow rate</t>
  </si>
  <si>
    <t>heat transfer coefficient</t>
  </si>
  <si>
    <t>illuminance</t>
  </si>
  <si>
    <t>inductance</t>
  </si>
  <si>
    <t>isothermal compressibility</t>
  </si>
  <si>
    <t>kinematic viscosity</t>
  </si>
  <si>
    <t>length per mass</t>
  </si>
  <si>
    <t>length per pressure</t>
  </si>
  <si>
    <t>length per temperature</t>
  </si>
  <si>
    <t>length per volume</t>
  </si>
  <si>
    <t>light exposure</t>
  </si>
  <si>
    <t>linear acceleration</t>
  </si>
  <si>
    <t>linear thermal expansion</t>
  </si>
  <si>
    <t>logarithmic power ratio</t>
  </si>
  <si>
    <t>logarithmic power ratio per length</t>
  </si>
  <si>
    <t>luminance</t>
  </si>
  <si>
    <t>luminous efficacy</t>
  </si>
  <si>
    <t>luminous flux</t>
  </si>
  <si>
    <t>luminous intensity</t>
  </si>
  <si>
    <t>magnetic dipole moment</t>
  </si>
  <si>
    <t>magnetic field strength</t>
  </si>
  <si>
    <t>magnetic flux</t>
  </si>
  <si>
    <t>magnetic flux density</t>
  </si>
  <si>
    <t>magnetic flux density per length</t>
  </si>
  <si>
    <t>magnetic permeability</t>
  </si>
  <si>
    <t>magnetic vector potential</t>
  </si>
  <si>
    <t>mass</t>
  </si>
  <si>
    <t>mass length</t>
  </si>
  <si>
    <t>mass per area</t>
  </si>
  <si>
    <t>mass per energy</t>
  </si>
  <si>
    <t>mass per length</t>
  </si>
  <si>
    <t>mass per mass</t>
  </si>
  <si>
    <t>mass per time</t>
  </si>
  <si>
    <t>mobility</t>
  </si>
  <si>
    <t>molar energy</t>
  </si>
  <si>
    <t>molar heat capacity</t>
  </si>
  <si>
    <t>molar volume</t>
  </si>
  <si>
    <t>molecular weight</t>
  </si>
  <si>
    <t>moment of force</t>
  </si>
  <si>
    <t>moment of inertia</t>
  </si>
  <si>
    <t>momentum</t>
  </si>
  <si>
    <t>normalized power</t>
  </si>
  <si>
    <t>permeability length</t>
  </si>
  <si>
    <t>permeability rock</t>
  </si>
  <si>
    <t>permittivity</t>
  </si>
  <si>
    <t>potential difference per power drop</t>
  </si>
  <si>
    <t>power</t>
  </si>
  <si>
    <t>power per area</t>
  </si>
  <si>
    <t>power per power</t>
  </si>
  <si>
    <t>power per volume</t>
  </si>
  <si>
    <t>pressure per time</t>
  </si>
  <si>
    <t>pressure per volume</t>
  </si>
  <si>
    <t>pressure squared</t>
  </si>
  <si>
    <t>pressure time per volume</t>
  </si>
  <si>
    <t>quantity of light</t>
  </si>
  <si>
    <t>radiance</t>
  </si>
  <si>
    <t>radiant intensity</t>
  </si>
  <si>
    <t>reciprocal area</t>
  </si>
  <si>
    <t>reciprocal electric potential difference</t>
  </si>
  <si>
    <t>reciprocal force</t>
  </si>
  <si>
    <t>reciprocal length</t>
  </si>
  <si>
    <t>reciprocal mass</t>
  </si>
  <si>
    <t>reciprocal pressure</t>
  </si>
  <si>
    <t>reciprocal time</t>
  </si>
  <si>
    <t>reciprocal volume</t>
  </si>
  <si>
    <t>reluctance</t>
  </si>
  <si>
    <t>second moment of area</t>
  </si>
  <si>
    <t>signaling event per time</t>
  </si>
  <si>
    <t>solid angle</t>
  </si>
  <si>
    <t>specific heat capacity</t>
  </si>
  <si>
    <t>temperature interval</t>
  </si>
  <si>
    <t>temperature interval per length</t>
  </si>
  <si>
    <t>temperature interval per pressure</t>
  </si>
  <si>
    <t>temperature interval per time</t>
  </si>
  <si>
    <t>thermal conductance</t>
  </si>
  <si>
    <t>thermal conductivity</t>
  </si>
  <si>
    <t>thermal diffusivity</t>
  </si>
  <si>
    <t>thermal insulance</t>
  </si>
  <si>
    <t>thermal resistance</t>
  </si>
  <si>
    <t>time per mass</t>
  </si>
  <si>
    <t>time per time</t>
  </si>
  <si>
    <t>time per volume</t>
  </si>
  <si>
    <t>volume</t>
  </si>
  <si>
    <t>volume flow rate per volume flow rate</t>
  </si>
  <si>
    <t>volume per area</t>
  </si>
  <si>
    <t>volume per length</t>
  </si>
  <si>
    <t>volume per mass</t>
  </si>
  <si>
    <t>volume per pressure</t>
  </si>
  <si>
    <t>volume per rotation</t>
  </si>
  <si>
    <t>volume per time</t>
  </si>
  <si>
    <t>volumetric heat transfer coefficient</t>
  </si>
  <si>
    <t>volumetric thermal expansion</t>
  </si>
  <si>
    <t>DataType</t>
  </si>
  <si>
    <t>duration</t>
  </si>
  <si>
    <t>dateTime</t>
  </si>
  <si>
    <t>date</t>
  </si>
  <si>
    <t>gYearMonth</t>
  </si>
  <si>
    <t>gYear</t>
  </si>
  <si>
    <t>gMonthDay</t>
  </si>
  <si>
    <t>gDay</t>
  </si>
  <si>
    <t>gMonth</t>
  </si>
  <si>
    <t>boolean</t>
  </si>
  <si>
    <t>base64binary</t>
  </si>
  <si>
    <t>hexBinary</t>
  </si>
  <si>
    <t>float</t>
  </si>
  <si>
    <t>decimal</t>
  </si>
  <si>
    <t>anyURI</t>
  </si>
  <si>
    <t>integer</t>
  </si>
  <si>
    <t>nonPositiveInteger</t>
  </si>
  <si>
    <t>long</t>
  </si>
  <si>
    <t>nonNegativeInteger</t>
  </si>
  <si>
    <t>negativeInteger</t>
  </si>
  <si>
    <t>unsignedLong</t>
  </si>
  <si>
    <t>positiveInteger</t>
  </si>
  <si>
    <t>short</t>
  </si>
  <si>
    <t>unsignedInt</t>
  </si>
  <si>
    <t>byte</t>
  </si>
  <si>
    <t>unsignedShort</t>
  </si>
  <si>
    <t>unsignedByte</t>
  </si>
  <si>
    <t>normalizedString</t>
  </si>
  <si>
    <t>token</t>
  </si>
  <si>
    <t>api gamma ray</t>
  </si>
  <si>
    <t>api gravity</t>
  </si>
  <si>
    <t>api neutron</t>
  </si>
  <si>
    <t>pressure per pressure</t>
  </si>
  <si>
    <t>activity of radioactivity</t>
  </si>
  <si>
    <t>amount of substance per time per area</t>
  </si>
  <si>
    <t>area per count</t>
  </si>
  <si>
    <t>cation exchange capacity</t>
  </si>
  <si>
    <t>diffusive time of flight</t>
  </si>
  <si>
    <t>energy per mass per time</t>
  </si>
  <si>
    <t>mass per time per area</t>
  </si>
  <si>
    <t>mass per time per length</t>
  </si>
  <si>
    <t>mass per volume per length</t>
  </si>
  <si>
    <t>mass per volume per pressure</t>
  </si>
  <si>
    <t>mass per volume per temperature</t>
  </si>
  <si>
    <t>pressure squared per force time per area</t>
  </si>
  <si>
    <t>reciprocal mass time</t>
  </si>
  <si>
    <t>thermodynamic temperature per thermodynamic temperature</t>
  </si>
  <si>
    <t>vertical coordinate</t>
  </si>
  <si>
    <t>volume per time length</t>
  </si>
  <si>
    <t>volume per time per area</t>
  </si>
  <si>
    <t>volume per time per length</t>
  </si>
  <si>
    <t>volume per time per pressure</t>
  </si>
  <si>
    <t>volume per time per pressure length</t>
  </si>
  <si>
    <t>volume per time per time</t>
  </si>
  <si>
    <t>volume per time per volume</t>
  </si>
  <si>
    <t>unitless</t>
  </si>
  <si>
    <t>density or unit weight</t>
  </si>
  <si>
    <t>Leave this line blank</t>
  </si>
  <si>
    <t>Reference</t>
  </si>
  <si>
    <t>SourceElement</t>
  </si>
  <si>
    <t>ConditionalElement</t>
  </si>
  <si>
    <t>ID</t>
  </si>
  <si>
    <t>QuantityClass</t>
  </si>
  <si>
    <t>DataType2</t>
  </si>
  <si>
    <t>DictionaryFile</t>
  </si>
  <si>
    <t>vector</t>
  </si>
  <si>
    <t>language</t>
  </si>
  <si>
    <t>propertyClass</t>
  </si>
  <si>
    <t>DIGGS Measurement Properties for Geophysics</t>
  </si>
  <si>
    <t>This dictionary contains the values for the propertyClass property of the diggs:Property object and the measurand property of the diggs:Detector object when used within the Test feature, where thetesting procedure is a ProcessedGeophysicalsurvey or WirelineLog. These values serve to define the ultimate results of geophysical field measurements. The Xpaths to these occurrences are: 1) //diggs:Property/diggs:propertyClass.</t>
  </si>
  <si>
    <t>acoustic_impedance</t>
  </si>
  <si>
    <t>Acoustic Impedence</t>
  </si>
  <si>
    <t xml:space="preserve">The resistance to the propagation of ultrasound waves through a medium. </t>
  </si>
  <si>
    <t>anomaly_bouguer</t>
  </si>
  <si>
    <t>Bouguer Anomaly</t>
  </si>
  <si>
    <t>A gravity anomaly, corrected for the height at which it is measured and the attraction of terrain. The height correction alone gives a free-air gravity anomaly.</t>
  </si>
  <si>
    <t>anomaly_free_air</t>
  </si>
  <si>
    <t>Free Air Anamoly</t>
  </si>
  <si>
    <t>The measured gravity anomaly after a free-air correction is applied to account for the elevation at which a measurement is made. It does so by adjusting these measurements of gravity to what would have been measured at a reference level, which is commonly taken as mean sea level or the geoid.</t>
  </si>
  <si>
    <t>attenuation</t>
  </si>
  <si>
    <t>Attenuation</t>
  </si>
  <si>
    <t>The reduction of the amplitude of a signal, electric current, or other oscillation during propagation.</t>
  </si>
  <si>
    <t>borehole_diameter</t>
  </si>
  <si>
    <t>Borehole Diameter</t>
  </si>
  <si>
    <t>The distance measured across an open borehole.</t>
  </si>
  <si>
    <t>bulk_density</t>
  </si>
  <si>
    <t>Density, Bulk (Natural)</t>
  </si>
  <si>
    <t>Total mass (of solids and water) divided by total volume of material, representing natural conditions</t>
  </si>
  <si>
    <t>Capacitance</t>
  </si>
  <si>
    <t>The measured capacitance which is the ratio of delta charge and delta potential</t>
  </si>
  <si>
    <t>compressional_slowness</t>
  </si>
  <si>
    <t>Compressional Slowness</t>
  </si>
  <si>
    <t>The time it takes for a compressional wave to traverse a fixed distance. The reciprocal of p_wave_velocity.</t>
  </si>
  <si>
    <t>conductivity</t>
  </si>
  <si>
    <t>Electrical Conductivity</t>
  </si>
  <si>
    <t>A measure of the ability of a specified material to pass an electric current.</t>
  </si>
  <si>
    <t>dielectric_constant</t>
  </si>
  <si>
    <t>Dielectric Constant</t>
  </si>
  <si>
    <t>The ratio of the permittivity of the medium to the permittivity of the free space</t>
  </si>
  <si>
    <t>dielectric_permittivity</t>
  </si>
  <si>
    <t>The ability of a medium to hold an electric charge.</t>
  </si>
  <si>
    <t>electric_field_x</t>
  </si>
  <si>
    <t>X Component of Electric Field</t>
  </si>
  <si>
    <t>The x component of an electric field.</t>
  </si>
  <si>
    <t>electric_field_y</t>
  </si>
  <si>
    <t>Y Component of Electric Field</t>
  </si>
  <si>
    <t>The y component of an electric field.</t>
  </si>
  <si>
    <t>electric_field_z</t>
  </si>
  <si>
    <t>Z Component of Electric Field</t>
  </si>
  <si>
    <t>The z component of an electric field.</t>
  </si>
  <si>
    <t>em_velocity</t>
  </si>
  <si>
    <t>Electromagnetic Velocity</t>
  </si>
  <si>
    <t>The velocity of electromagnetic wave propagation through a medium.</t>
  </si>
  <si>
    <t>flow_velocity</t>
  </si>
  <si>
    <t>Flow Velocity</t>
  </si>
  <si>
    <t>The rate of vertical flow of a fluid  within a borehole.</t>
  </si>
  <si>
    <t>gamma_ray</t>
  </si>
  <si>
    <t>Gamma Ray</t>
  </si>
  <si>
    <t>The intensity of natural gamma-ray radiation emitted from formations containing radioactive elements, such as Potassium, Thorium, and Uranium. Measured according to API specifications or as counts per time</t>
  </si>
  <si>
    <t>API gamma ray</t>
  </si>
  <si>
    <t>gravity_absolute</t>
  </si>
  <si>
    <t>Absolute Gravitational Field Strength</t>
  </si>
  <si>
    <t>The acceleration due to gravity (weight/mass) measured in absolute terms.</t>
  </si>
  <si>
    <t>gravity_gradient</t>
  </si>
  <si>
    <t>Gravity Gradient</t>
  </si>
  <si>
    <t>The gradient in the gravitational forces acting on different parts of a nonspherical object.</t>
  </si>
  <si>
    <t>gravity_relative</t>
  </si>
  <si>
    <t>Relative Gravitational Field Strength</t>
  </si>
  <si>
    <t>The acceleration due to gravity (weight/mass) measured measured relative to some absolute value.</t>
  </si>
  <si>
    <t>in_phase_x</t>
  </si>
  <si>
    <t>X Component of In Phase</t>
  </si>
  <si>
    <t>the x component of the in-phase wave component.</t>
  </si>
  <si>
    <t>in_phase_y</t>
  </si>
  <si>
    <t>Y Component of In Phase</t>
  </si>
  <si>
    <t>the y component of the in-phase wave component.</t>
  </si>
  <si>
    <t>larmor_frequency</t>
  </si>
  <si>
    <t>Larmor Frequency</t>
  </si>
  <si>
    <t>The hydrogen proton excitation from specific magnetic field frequency based on Earth's field.</t>
  </si>
  <si>
    <t>mag_permeability</t>
  </si>
  <si>
    <t>Magnetic Permeability</t>
  </si>
  <si>
    <t>The ratio of the flux density to the magnetic field strength.</t>
  </si>
  <si>
    <t>magnetic_field_gradient</t>
  </si>
  <si>
    <t>Magnetic Field Gradient</t>
  </si>
  <si>
    <t>The magnetic field gradient.</t>
  </si>
  <si>
    <t>magnetic_field_total</t>
  </si>
  <si>
    <t>Total Field Strength</t>
  </si>
  <si>
    <t>Total strength of the magnetic field.</t>
  </si>
  <si>
    <t>magnetic_field_x</t>
  </si>
  <si>
    <t>X Component of Magnetic Field Strength</t>
  </si>
  <si>
    <t>The x component of a magnetic field.</t>
  </si>
  <si>
    <t>magnetic_field_y</t>
  </si>
  <si>
    <t>Y Component of Magnetic Field Strength</t>
  </si>
  <si>
    <t>The y component of a magnetic field.</t>
  </si>
  <si>
    <t>magnetic_field_z</t>
  </si>
  <si>
    <t>Z Component of Magnetic Field Strength</t>
  </si>
  <si>
    <t>The z component of a magnetic field.</t>
  </si>
  <si>
    <t>magnetic_susceptibility</t>
  </si>
  <si>
    <t>Magnetic Susceptibility</t>
  </si>
  <si>
    <t>The degree to which a material becomes magnetized in response to an applied magnetic field.</t>
  </si>
  <si>
    <t>modulus_bulk</t>
  </si>
  <si>
    <t>Bulk Modulus</t>
  </si>
  <si>
    <t>Bulk modulus, denoted by K or B, is defined as a measure of how resistant to compression a substance is.</t>
  </si>
  <si>
    <t>modulus_shear</t>
  </si>
  <si>
    <t>Shear Modulus</t>
  </si>
  <si>
    <t>Shear modulus, denoted by G, is defined as the ratio of shear stress to the shear strain.</t>
  </si>
  <si>
    <t>modulus_youngs</t>
  </si>
  <si>
    <t>Young's Modulus</t>
  </si>
  <si>
    <t>The tangent modulus of the initial, linear portion of a stress-strain curve for material in axial compression or tension is called Young's modulus, also known as the tensile (compression) modulus. It is defined as the ratio of the uniaxial stress over the uniaxial strain in the range of stress in which Hooke's Law holds.  It is often calculated using theory of elasticity from other tests.</t>
  </si>
  <si>
    <t>number_beta_particles</t>
  </si>
  <si>
    <t>Number of Beta Particles</t>
  </si>
  <si>
    <t>The amount of detected beta particles in a given time.</t>
  </si>
  <si>
    <t>number_gamma_particles</t>
  </si>
  <si>
    <t>Number of Gamma Particles</t>
  </si>
  <si>
    <t>The amount of detected gamma particles in a given time.</t>
  </si>
  <si>
    <t>p_wave_velocity</t>
  </si>
  <si>
    <t>Primary Compression Wave Velocity</t>
  </si>
  <si>
    <t>The velocity of a p-wave (Vp). P-waves (primary waves) are compressional waves that are longitudinal in nature.</t>
  </si>
  <si>
    <t>poisson_ratio</t>
  </si>
  <si>
    <t>Poisson Ratio</t>
  </si>
  <si>
    <t>Ratio of the transverse contraction of a body to its longitudinal extension when stretched. Typical values in minerals are from 0.15 to 0.3 (Carbonates:0.15, Sandstones:0.2, Shales:0.25).</t>
  </si>
  <si>
    <t>electrodiffusion_potential</t>
  </si>
  <si>
    <t>Electrodiffusion Potential</t>
  </si>
  <si>
    <t>A measure of transient background potentials that come from the difference in electrolyte mobilities within porous media</t>
  </si>
  <si>
    <t>electric_potential</t>
  </si>
  <si>
    <t>Electric Potential</t>
  </si>
  <si>
    <t xml:space="preserve">A measure of the amount of work energy needed per unit of electric charge to move the charge from a reference point to a specific point in an electric field. </t>
  </si>
  <si>
    <t>kinetic_potential</t>
  </si>
  <si>
    <t>Electrokinetic Potential</t>
  </si>
  <si>
    <t>A measure of the potential that forms from electrolytes flowing through a porous medium</t>
  </si>
  <si>
    <t>mineral_potential</t>
  </si>
  <si>
    <t>Mineral Potential</t>
  </si>
  <si>
    <t>A measure of the potential from mineral deposit sources</t>
  </si>
  <si>
    <t>nerst_potential</t>
  </si>
  <si>
    <t>Nerst Potential</t>
  </si>
  <si>
    <t>The potential difference between two electrodes immersed in a homogeonous medium in which local concentration differ</t>
  </si>
  <si>
    <t>redox_potential</t>
  </si>
  <si>
    <t>Redox Potential</t>
  </si>
  <si>
    <t xml:space="preserve">A measure of the ability of chemical/biochemical systems to oxidize (lose electrons) or reduce (gain electrons). </t>
  </si>
  <si>
    <t>quadrature_x</t>
  </si>
  <si>
    <t xml:space="preserve">X Component Of Quadrature </t>
  </si>
  <si>
    <t>The x component of the quadrature component (90 degrees out of phase) of transmitted EM energy.</t>
  </si>
  <si>
    <t>quadrature_y</t>
  </si>
  <si>
    <t xml:space="preserve">Y Component Of Quadrature </t>
  </si>
  <si>
    <t>The y component of the quadrature component (90 degrees out of phase) of transmitted EM energy.</t>
  </si>
  <si>
    <t>radiation_energy</t>
  </si>
  <si>
    <t>Radiation Energy</t>
  </si>
  <si>
    <t>Radiant energy emitted by radioactive source</t>
  </si>
  <si>
    <t>reflection_coefficient</t>
  </si>
  <si>
    <t>Reflection Coefficient</t>
  </si>
  <si>
    <t>the ratio of amplitude of the reflected wave to the incident wave</t>
  </si>
  <si>
    <t>resistance</t>
  </si>
  <si>
    <t>Electrical Resistance</t>
  </si>
  <si>
    <t>The property by which a conductor opposes the flow of electrons, precisely electric current. It is the ratio of voltage to the electric current applied on an electronic device. Resistance is a physical property of the material, and hence, it depends upon the material type. It also depends upon the length and cross-sectional area of the material to which the current is applied. For a material, resistance is proportional to the length and inversely proportional to its cross-sectional area.</t>
  </si>
  <si>
    <t>resistivity</t>
  </si>
  <si>
    <t>Electrical Resistivity</t>
  </si>
  <si>
    <t>The resisting property of the material when the current is applied through it and is defined as the resistance per unit length for a unit cross-section of material. Resistivity is directly proportional to temperature.</t>
  </si>
  <si>
    <t>resistivity_app</t>
  </si>
  <si>
    <t>Apparent Resistivity</t>
  </si>
  <si>
    <t>Resistivity between electrodes.</t>
  </si>
  <si>
    <t>shear_slowness</t>
  </si>
  <si>
    <t>Shear Slowness</t>
  </si>
  <si>
    <t>Acoustic slowness of a shear wave (Vs); reciprocal of Shear_Velocity; a shear wave is a type of seismic wave in which the particle motion is perpendicular to the direction of propagation; also called S-wave or secondary wave.</t>
  </si>
  <si>
    <t>shear_velocity</t>
  </si>
  <si>
    <t>Shear Velocity</t>
  </si>
  <si>
    <t>The velocity of a shear wave (Vs); a shear wave is a type of seismic wave in which the particle motion is perpendicular to the direction of propagation in a horizontal plane ; also called S-wave or secondary wave.</t>
  </si>
  <si>
    <t>sonic_porosity</t>
  </si>
  <si>
    <t>Sonic Porosity</t>
  </si>
  <si>
    <t>A measure of porosity (defined as the percentage of empty space within a medium) made by comparing the velocity measued by an acoustic logging tool to velocities of the soil/rock matrix and borehole fluid.</t>
  </si>
  <si>
    <t>spontaneous_potential</t>
  </si>
  <si>
    <t>Spontaneous Potential</t>
  </si>
  <si>
    <t>Also called self potential, is a naturally occurring electric potential difference in the Earth, measured by an electrode relative to a fixed reference electrode. Spontaneous potentials are usually caused by charge separation in clay or other minerals, due to presence of semi-permeable interface impeding the diffusion of ions through the pore space of rocks, or by natural flow of a conducting fluid through the rocks.</t>
  </si>
  <si>
    <t>t1</t>
  </si>
  <si>
    <t>T1 Time Constant</t>
  </si>
  <si>
    <t>The time constant for regrowth of longitudinal magnetization (Mz)</t>
  </si>
  <si>
    <t>t1_relaxation</t>
  </si>
  <si>
    <t>Longitudinal (Spin-Lattice) Relaxation</t>
  </si>
  <si>
    <t xml:space="preserve">The time required for the z-component of M to reach (1 − 1/e) or about 63% of its maximum value (Mo). </t>
  </si>
  <si>
    <t>t2</t>
  </si>
  <si>
    <t>T2 Time Constant</t>
  </si>
  <si>
    <t>The time constant for decay/dephasing of transverse magnetization (Mxy)</t>
  </si>
  <si>
    <t>t2_relaxation</t>
  </si>
  <si>
    <t>Transverse (Spin-Spin) Relaxation</t>
  </si>
  <si>
    <t>The time required for the transverse magnetization to fall to approximately 37% (1/e) of its initial value.</t>
  </si>
  <si>
    <t>temperature</t>
  </si>
  <si>
    <t>Temperature</t>
  </si>
  <si>
    <t>The measure of hotness or coldness,.</t>
  </si>
  <si>
    <t>tension</t>
  </si>
  <si>
    <t>Tension</t>
  </si>
  <si>
    <t>The force tending to cause extension of a body, as experienced in a cable, rope, string, etc.</t>
  </si>
  <si>
    <t>tensor_impedance_x</t>
  </si>
  <si>
    <t>X Component of Tensor Impedance</t>
  </si>
  <si>
    <t>The x component of the magnetotelluric impedence tensor.</t>
  </si>
  <si>
    <t>tensor_impedance_y</t>
  </si>
  <si>
    <t>Y Component of Tensor Impedance</t>
  </si>
  <si>
    <t>The y component of the magnetotelluric impedence tensor.</t>
  </si>
  <si>
    <t>tensor_impedance_z</t>
  </si>
  <si>
    <t>Z Component of Tensor Impedance</t>
  </si>
  <si>
    <t>The z component of the magnetotelluric impedence tensor.</t>
  </si>
  <si>
    <t>tube_wave_velocity</t>
  </si>
  <si>
    <t>Tube Wave Velocity</t>
  </si>
  <si>
    <t>Wave velocity that propagates along a steel-cased borehole</t>
  </si>
  <si>
    <t>wall_amp</t>
  </si>
  <si>
    <t>Borehole Wall Amplitude</t>
  </si>
  <si>
    <t>amplitude of borehole wall signals</t>
  </si>
  <si>
    <t>wall_image_r</t>
  </si>
  <si>
    <t>Image R value</t>
  </si>
  <si>
    <t>Borehole wall color image R pixel value</t>
  </si>
  <si>
    <t>wall_image_g</t>
  </si>
  <si>
    <t>Image G value</t>
  </si>
  <si>
    <t>Borehole wall color image G pixel value</t>
  </si>
  <si>
    <t>wall_image_b</t>
  </si>
  <si>
    <t>Image B value</t>
  </si>
  <si>
    <t>Borehole wall color image B pixel value</t>
  </si>
  <si>
    <t>wall_time</t>
  </si>
  <si>
    <t>Borehole Wall Travel Time</t>
  </si>
  <si>
    <t>The  two-way time required for a sesimic wave to travel from the source to the borehole wall</t>
  </si>
  <si>
    <t>gp_properties</t>
  </si>
  <si>
    <t>//diggs:Property/diggs:propertyClass</t>
  </si>
  <si>
    <t>Dielectric Permittivity</t>
  </si>
  <si>
    <t>ancestor::diggs:measurement//diggs:procedure/diggs_geo:WirelineLog</t>
  </si>
  <si>
    <t>ancestor::diggs:measurement//diggs:procedure/diggs:WirelineLog</t>
  </si>
  <si>
    <t>ancestor::diggs:measurement//diggs:procedure/diggs:GeophysicalProcessing/diggs:geophysicalMethod[text()="borehole image log"]</t>
  </si>
  <si>
    <t>ancestor::diggs:measurement//diggs:procedure/diggs:GeophysicalProcessing/diggs:geophysicalMethod[text()="electrical resistivity (ERI/ERT)"]</t>
  </si>
  <si>
    <t>ancestor::diggs:measurement//diggs:procedure/diggs:GeophysicalProcessing/diggs:geophysicalMethod[text()="frequency domain EM (FDEM)"]</t>
  </si>
  <si>
    <t>ancestor::diggs:measurement//diggs:procedure/diggs:GeophysicalProcessing/diggs:geophysicalMethod[text()="gravity"]</t>
  </si>
  <si>
    <t>ancestor::diggs:measurement//diggs:procedure/diggs:GeophysicalProcessing/diggs:geophysicalMethod[text()="ground penetrating radar (GPR)"]</t>
  </si>
  <si>
    <t>ancestor::diggs:measurement//diggs:procedure/diggs:GeophysicalProcessing/diggs:geophysicalMethod[text()="induced polarization (IP)"]</t>
  </si>
  <si>
    <t>ancestor::diggs:measurement//diggs:procedure/diggs:GeophysicalProcessing/diggs:geophysicalMethod[text()="magneotellurics (MT)"]</t>
  </si>
  <si>
    <t>ancestor::diggs:measurement//diggs:procedure/diggs:GeophysicalProcessing/diggs:geophysicalMethod[text()="magnetometry"]</t>
  </si>
  <si>
    <t>ancestor::diggs:measurement//diggs:procedure/diggs:GeophysicalProcessing/diggs:geophysicalMethod[text()="MASW - active"]</t>
  </si>
  <si>
    <t>ancestor::diggs:measurement//diggs:procedure/diggs:GeophysicalProcessing/diggs:geophysicalMethod[text()="MASW - passive"]</t>
  </si>
  <si>
    <t>ancestor::diggs:measurement//diggs:procedure/diggs:GeophysicalProcessing/diggs:geophysicalMethod[text()="nuclear magnetic resonance (NMR)"]</t>
  </si>
  <si>
    <t>ancestor::diggs:measurement//diggs:procedure/diggs:GeophysicalProcessing/diggs:geophysicalMethod[text()="radiometric"]</t>
  </si>
  <si>
    <t>ancestor::diggs:measurement//diggs:procedure/diggs:GeophysicalProcessing/diggs:geophysicalMethod[text()="seismic reflection"]</t>
  </si>
  <si>
    <t>ancestor::diggs:measurement//diggs:procedure/diggs:GeophysicalProcessing/diggs:geophysicalMethod[text()="seismic refraction"]</t>
  </si>
  <si>
    <t>ancestor::diggs:measurement//diggs:procedure/diggs:GeophysicalProcessing/diggs:geophysicalMethod[text()="self-potential (SP)"]</t>
  </si>
  <si>
    <t>ancestor::diggs:measurement//diggs:procedure/diggs:GeophysicalProcessing/diggs:geophysicalMethod[text()="time-domain EM (TEM)"]</t>
  </si>
  <si>
    <t>ancestor::diggs:measurement//diggs:procedure/diggs:GeophysicalProcessing/diggs:geophysicalMethod[text()="VLF EM"]</t>
  </si>
  <si>
    <t>gravitational gradient</t>
  </si>
  <si>
    <t>relative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</si>
</sst>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2"/>
      <color theme="1"/>
      <name val="Calibri"/>
      <family val="2"/>
      <scheme val="minor"/>
    </font>
    <font>
      <b/>
      <sz val="12"/>
      <color theme="1"/>
      <name val="Calibri"/>
      <family val="2"/>
      <scheme val="minor"/>
    </font>
    <font>
      <u/>
      <sz val="12"/>
      <color theme="10"/>
      <name val="Calibri"/>
      <family val="2"/>
      <scheme val="minor"/>
    </font>
    <font>
      <u/>
      <sz val="12"/>
      <color theme="11"/>
      <name val="Calibri"/>
      <family val="2"/>
      <scheme val="minor"/>
    </font>
    <font>
      <sz val="12"/>
      <name val="Calibri"/>
      <family val="2"/>
      <scheme val="minor"/>
    </font>
    <font>
      <b/>
      <sz val="12"/>
      <color theme="0"/>
      <name val="Calibri"/>
      <family val="2"/>
      <scheme val="minor"/>
    </font>
    <font>
      <sz val="12"/>
      <color theme="0"/>
      <name val="Calibri"/>
      <family val="2"/>
      <scheme val="minor"/>
    </font>
    <font>
      <b/>
      <sz val="10"/>
      <color theme="0"/>
      <name val="Verdana"/>
      <family val="2"/>
    </font>
    <font>
      <sz val="12"/>
      <color rgb="FF000000"/>
      <name val="Helvetica"/>
      <family val="2"/>
    </font>
    <font>
      <sz val="12"/>
      <color rgb="FF003296"/>
      <name val="Helvetica"/>
      <family val="2"/>
    </font>
    <font>
      <b/>
      <sz val="12"/>
      <color rgb="FFFFFFFF"/>
      <name val="Calibri"/>
      <family val="2"/>
      <scheme val="minor"/>
    </font>
    <font>
      <sz val="12"/>
      <color rgb="FFC00000"/>
      <name val="Calibri"/>
      <family val="2"/>
      <scheme val="minor"/>
    </font>
  </fonts>
  <fills count="4">
    <fill>
      <patternFill patternType="none"/>
    </fill>
    <fill>
      <patternFill patternType="gray125"/>
    </fill>
    <fill>
      <patternFill patternType="solid">
        <fgColor rgb="FF4472C4"/>
        <bgColor rgb="FF4472C4"/>
      </patternFill>
    </fill>
    <fill>
      <patternFill patternType="solid">
        <fgColor rgb="FFDBE5F1"/>
        <bgColor indexed="64"/>
      </patternFill>
    </fill>
  </fills>
  <borders count="4">
    <border>
      <left/>
      <right/>
      <top/>
      <bottom/>
      <diagonal/>
    </border>
    <border>
      <left style="thin">
        <color rgb="FFFFFFFF"/>
      </left>
      <right style="thin">
        <color rgb="FFFFFFFF"/>
      </right>
      <top/>
      <bottom style="thick">
        <color rgb="FFFFFFFF"/>
      </bottom>
      <diagonal/>
    </border>
    <border>
      <left/>
      <right style="thin">
        <color rgb="FFFFFFFF"/>
      </right>
      <top/>
      <bottom style="thin">
        <color rgb="FFFFFFFF"/>
      </bottom>
      <diagonal/>
    </border>
    <border>
      <left/>
      <right style="thin">
        <color rgb="FFFFFFFF"/>
      </right>
      <top/>
      <bottom/>
      <diagonal/>
    </border>
  </borders>
  <cellStyleXfs count="11">
    <xf numFmtId="0" fontId="0" fillId="0" borderId="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cellStyleXfs>
  <cellXfs count="20">
    <xf numFmtId="0" fontId="0" fillId="0" borderId="0" xfId="0"/>
    <xf numFmtId="0" fontId="1" fillId="0" borderId="0" xfId="0" applyFont="1" applyAlignment="1">
      <alignment vertical="center" wrapText="1"/>
    </xf>
    <xf numFmtId="0" fontId="0" fillId="0" borderId="0" xfId="0" applyAlignment="1">
      <alignment vertical="center" wrapText="1"/>
    </xf>
    <xf numFmtId="0" fontId="4" fillId="0" borderId="0" xfId="0" applyFont="1"/>
    <xf numFmtId="0" fontId="7" fillId="0" borderId="0" xfId="0" applyFont="1"/>
    <xf numFmtId="0" fontId="5" fillId="0" borderId="0" xfId="0" applyFont="1"/>
    <xf numFmtId="0" fontId="6" fillId="0" borderId="0" xfId="0" applyFont="1"/>
    <xf numFmtId="0" fontId="9" fillId="0" borderId="0" xfId="0" applyFont="1"/>
    <xf numFmtId="0" fontId="8" fillId="0" borderId="0" xfId="0" applyFont="1"/>
    <xf numFmtId="0" fontId="11" fillId="0" borderId="0" xfId="0" applyFont="1"/>
    <xf numFmtId="0" fontId="0" fillId="0" borderId="0" xfId="0" applyAlignment="1">
      <alignment wrapText="1"/>
    </xf>
    <xf numFmtId="0" fontId="4" fillId="0" borderId="0" xfId="0" applyFont="1" applyAlignment="1">
      <alignment horizontal="left" vertical="center"/>
    </xf>
    <xf numFmtId="0" fontId="1" fillId="0" borderId="0" xfId="0" applyFont="1" applyAlignment="1">
      <alignment wrapText="1"/>
    </xf>
    <xf numFmtId="0" fontId="10" fillId="2" borderId="1" xfId="0" applyFont="1" applyFill="1" applyBorder="1" applyAlignment="1">
      <alignment wrapText="1"/>
    </xf>
    <xf numFmtId="0" fontId="0" fillId="0" borderId="0" xfId="0" applyAlignment="1">
      <alignment vertical="center"/>
    </xf>
    <xf numFmtId="0" fontId="0" fillId="3" borderId="2" xfId="0" applyFill="1" applyBorder="1" applyAlignment="1">
      <alignment horizontal="left" vertical="top" wrapText="1"/>
    </xf>
    <xf numFmtId="0" fontId="0" fillId="0" borderId="0" xfId="0" applyAlignment="1">
      <alignment horizontal="left" vertical="center" wrapText="1"/>
    </xf>
    <xf numFmtId="0" fontId="4" fillId="3" borderId="3" xfId="0" applyFont="1" applyFill="1" applyBorder="1" applyAlignment="1">
      <alignment horizontal="left" vertical="top" wrapText="1"/>
    </xf>
    <xf numFmtId="0" fontId="4" fillId="3" borderId="2" xfId="0" applyFont="1" applyFill="1" applyBorder="1" applyAlignment="1">
      <alignment horizontal="left" vertical="top" wrapText="1"/>
    </xf>
    <xf numFmtId="0" fontId="4" fillId="0" borderId="0" xfId="0" applyFont="1" applyAlignment="1">
      <alignment vertical="center"/>
    </xf>
  </cellXfs>
  <cellStyles count="11">
    <cellStyle name="Followed Hyperlink" xfId="2" builtinId="9" hidden="1"/>
    <cellStyle name="Followed Hyperlink" xfId="4" builtinId="9" hidden="1"/>
    <cellStyle name="Followed Hyperlink" xfId="6" builtinId="9" hidden="1"/>
    <cellStyle name="Followed Hyperlink" xfId="8" builtinId="9" hidden="1"/>
    <cellStyle name="Followed Hyperlink" xfId="9" builtinId="9" hidden="1"/>
    <cellStyle name="Followed Hyperlink" xfId="10" builtinId="9" hidden="1"/>
    <cellStyle name="Hyperlink" xfId="1" builtinId="8" hidden="1"/>
    <cellStyle name="Hyperlink" xfId="3" builtinId="8" hidden="1"/>
    <cellStyle name="Hyperlink" xfId="5" builtinId="8" hidden="1"/>
    <cellStyle name="Hyperlink" xfId="7" builtinId="8" hidden="1"/>
    <cellStyle name="Normal" xfId="0" builtinId="0"/>
  </cellStyles>
  <dxfs count="21">
    <dxf>
      <font>
        <b val="0"/>
        <i val="0"/>
        <strike val="0"/>
        <condense val="0"/>
        <extend val="0"/>
        <outline val="0"/>
        <shadow val="0"/>
        <u val="none"/>
        <vertAlign val="baseline"/>
        <sz val="12"/>
        <color auto="1"/>
        <name val="Calibri"/>
        <scheme val="minor"/>
      </font>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1" indent="0" justifyLastLine="0" shrinkToFit="0" readingOrder="0"/>
    </dxf>
    <dxf>
      <numFmt numFmtId="0" formatCode="General"/>
      <fill>
        <patternFill patternType="none">
          <fgColor indexed="64"/>
          <bgColor indexed="65"/>
        </patternFill>
      </fill>
      <alignment horizontal="general" vertical="bottom" textRotation="0" wrapText="0" indent="0" justifyLastLine="0" shrinkToFit="0" readingOrder="0"/>
    </dxf>
    <dxf>
      <font>
        <strike val="0"/>
        <outline val="0"/>
        <shadow val="0"/>
        <u val="none"/>
        <vertAlign val="baseline"/>
        <color theme="0"/>
      </font>
    </dxf>
    <dxf>
      <alignment horizontal="general" vertical="center" textRotation="0" wrapText="1" indent="0" justifyLastLine="0" shrinkToFit="0" readingOrder="0"/>
    </dxf>
    <dxf>
      <font>
        <color auto="1"/>
      </font>
      <alignment horizontal="left" vertical="center" textRotation="0" wrapText="0" indent="0" justifyLastLine="0" shrinkToFit="0" readingOrder="0"/>
    </dxf>
    <dxf>
      <alignment horizontal="general" vertical="center" textRotation="0" wrapText="1" indent="0" justifyLastLine="0" shrinkToFit="0" readingOrder="0"/>
    </dxf>
    <dxf>
      <font>
        <color auto="1"/>
      </font>
      <alignment horizontal="general" vertical="center" textRotation="0" wrapText="0" indent="0" justifyLastLine="0" shrinkToFit="0" readingOrder="0"/>
    </dxf>
    <dxf>
      <font>
        <strike val="0"/>
        <outline val="0"/>
        <shadow val="0"/>
        <u val="none"/>
        <vertAlign val="baseline"/>
        <sz val="12"/>
        <color auto="1"/>
        <name val="Calibri"/>
        <scheme val="minor"/>
      </font>
      <fill>
        <patternFill patternType="solid">
          <fgColor indexed="64"/>
          <bgColor rgb="FFDBE5F1"/>
        </patternFill>
      </fill>
      <alignment horizontal="left" vertical="top" textRotation="0" wrapText="1" indent="0" justifyLastLine="0" shrinkToFit="0" readingOrder="0"/>
      <border diagonalUp="0" diagonalDown="0">
        <left/>
        <right style="thin">
          <color rgb="FFFFFFFF"/>
        </right>
        <top/>
        <bottom style="thin">
          <color rgb="FFFFFFFF"/>
        </bottom>
        <vertical/>
        <horizontal/>
      </border>
    </dxf>
    <dxf>
      <font>
        <color auto="1"/>
      </font>
      <fill>
        <patternFill patternType="solid">
          <fgColor indexed="64"/>
          <bgColor rgb="FFDBE5F1"/>
        </patternFill>
      </fill>
      <alignment horizontal="left" vertical="top" textRotation="0" wrapText="1" indent="0" justifyLastLine="0" shrinkToFit="0" readingOrder="0"/>
      <border diagonalUp="0" diagonalDown="0">
        <left/>
        <right style="thin">
          <color rgb="FFFFFFFF"/>
        </right>
        <top/>
        <bottom style="thin">
          <color rgb="FFFFFFFF"/>
        </bottom>
        <vertical/>
        <horizontal/>
      </border>
    </dxf>
    <dxf>
      <alignment horizontal="left" vertical="center" textRotation="0" wrapText="1" indent="0" justifyLastLine="0" shrinkToFit="0" readingOrder="0"/>
    </dxf>
    <dxf>
      <numFmt numFmtId="0" formatCode="General"/>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2"/>
        <color theme="1"/>
        <name val="Calibri"/>
        <scheme val="minor"/>
      </font>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2"/>
        <color theme="1"/>
        <name val="Calibri"/>
        <scheme val="minor"/>
      </font>
      <alignment horizontal="general" textRotation="0" wrapText="1" indent="0" justifyLastLine="0" shrinkToFit="0" readingOrder="0"/>
    </dxf>
  </dxfs>
  <tableStyles count="0" defaultTableStyle="TableStyleMedium9" defaultPivotStyle="PivotStyleMedium7"/>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DictionaryName" displayName="DictionaryName" ref="A1:E3" totalsRowShown="0" headerRowDxfId="20" dataDxfId="19">
  <autoFilter ref="A1:E3" xr:uid="{00000000-0009-0000-0100-000002000000}"/>
  <tableColumns count="5">
    <tableColumn id="1" xr3:uid="{00000000-0010-0000-0000-000001000000}" name="Start" dataDxfId="18"/>
    <tableColumn id="4" xr3:uid="{00000000-0010-0000-0000-000004000000}" name="Dictionary ID" dataDxfId="17"/>
    <tableColumn id="5" xr3:uid="{00000000-0010-0000-0000-000005000000}" name="DictionaryFile" dataDxfId="16"/>
    <tableColumn id="2" xr3:uid="{00000000-0010-0000-0000-000002000000}" name="DictionaryName" dataDxfId="15"/>
    <tableColumn id="3" xr3:uid="{00000000-0010-0000-0000-000003000000}" name="Description" dataDxfId="14"/>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Definitions" displayName="Definitions" ref="A1:H70" totalsRowShown="0" headerRowDxfId="13" dataDxfId="12">
  <autoFilter ref="A1:H70" xr:uid="{00000000-0009-0000-0100-000001000000}"/>
  <tableColumns count="8">
    <tableColumn id="1" xr3:uid="{00000000-0010-0000-0100-000001000000}" name="Start" dataDxfId="11">
      <calculatedColumnFormula>IF(ISNA(VLOOKUP(B2,AssociatedElements!B$2:B2940,1,FALSE)),"Not used","")</calculatedColumnFormula>
    </tableColumn>
    <tableColumn id="10" xr3:uid="{00000000-0010-0000-0100-00000A000000}" name="ID" dataDxfId="10"/>
    <tableColumn id="7" xr3:uid="{00000000-0010-0000-0100-000007000000}" name="Name" dataDxfId="9"/>
    <tableColumn id="3" xr3:uid="{00000000-0010-0000-0100-000003000000}" name="Description" dataDxfId="8"/>
    <tableColumn id="4" xr3:uid="{00000000-0010-0000-0100-000004000000}" name="DataType" dataDxfId="7"/>
    <tableColumn id="5" xr3:uid="{00000000-0010-0000-0100-000005000000}" name="QuantityClass" dataDxfId="6"/>
    <tableColumn id="6" xr3:uid="{00000000-0010-0000-0100-000006000000}" name="Authority" dataDxfId="5"/>
    <tableColumn id="9" xr3:uid="{00000000-0010-0000-0100-000009000000}" name="Reference" dataDxfId="4"/>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AssociatedElements" displayName="AssociatedElements" ref="A1:D136" totalsRowShown="0" headerRowDxfId="3">
  <autoFilter ref="A1:D136" xr:uid="{00000000-000C-0000-FFFF-FFFF02000000}"/>
  <sortState xmlns:xlrd2="http://schemas.microsoft.com/office/spreadsheetml/2017/richdata2" ref="A2:D136">
    <sortCondition ref="D1:D136"/>
  </sortState>
  <tableColumns count="4">
    <tableColumn id="1" xr3:uid="{00000000-0010-0000-0200-000001000000}" name="Start" dataDxfId="2">
      <calculatedColumnFormula>IF(ISNA(VLOOKUP(B2,Definitions!B$2:B$1880,1,FALSE)),"Not listed","")</calculatedColumnFormula>
    </tableColumn>
    <tableColumn id="4" xr3:uid="{00000000-0010-0000-0200-000004000000}" name="ID" dataDxfId="1"/>
    <tableColumn id="2" xr3:uid="{00000000-0010-0000-0200-000002000000}" name="SourceElement" dataDxfId="0"/>
    <tableColumn id="3" xr3:uid="{00000000-0010-0000-0200-000003000000}" name="ConditionalElement"/>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3000000}" name="Table6" displayName="Table6" ref="A1:C188" totalsRowShown="0">
  <autoFilter ref="A1:C188" xr:uid="{00000000-0009-0000-0100-000006000000}"/>
  <sortState xmlns:xlrd2="http://schemas.microsoft.com/office/spreadsheetml/2017/richdata2" ref="A2:C186">
    <sortCondition ref="C1:C186"/>
  </sortState>
  <tableColumns count="3">
    <tableColumn id="1" xr3:uid="{00000000-0010-0000-0300-000001000000}" name="DataType"/>
    <tableColumn id="2" xr3:uid="{00000000-0010-0000-0300-000002000000}" name="DataType2"/>
    <tableColumn id="3" xr3:uid="{00000000-0010-0000-0300-000003000000}" name="QuantityClass"/>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E3"/>
  <sheetViews>
    <sheetView zoomScale="120" zoomScaleNormal="120" workbookViewId="0">
      <selection activeCell="C3" sqref="C3"/>
    </sheetView>
  </sheetViews>
  <sheetFormatPr baseColWidth="10" defaultColWidth="11" defaultRowHeight="16" x14ac:dyDescent="0.2"/>
  <cols>
    <col min="1" max="1" width="7.5" style="10" customWidth="1"/>
    <col min="2" max="2" width="41.33203125" style="10" customWidth="1"/>
    <col min="3" max="3" width="26.33203125" style="10" customWidth="1"/>
    <col min="4" max="4" width="21.6640625" style="10" customWidth="1"/>
    <col min="5" max="5" width="76" style="10" customWidth="1"/>
    <col min="6" max="16384" width="11" style="10"/>
  </cols>
  <sheetData>
    <row r="1" spans="1:5" s="12" customFormat="1" ht="18" thickBot="1" x14ac:dyDescent="0.25">
      <c r="A1" s="12" t="s">
        <v>13</v>
      </c>
      <c r="B1" s="12" t="s">
        <v>7</v>
      </c>
      <c r="C1" s="13" t="s">
        <v>229</v>
      </c>
      <c r="D1" s="12" t="s">
        <v>14</v>
      </c>
      <c r="E1" s="12" t="s">
        <v>0</v>
      </c>
    </row>
    <row r="2" spans="1:5" s="12" customFormat="1" ht="18" thickTop="1" x14ac:dyDescent="0.2">
      <c r="A2" s="1"/>
      <c r="B2" s="1"/>
      <c r="C2" s="1"/>
      <c r="D2" s="1"/>
      <c r="E2" s="1" t="s">
        <v>222</v>
      </c>
    </row>
    <row r="3" spans="1:5" s="2" customFormat="1" ht="102" x14ac:dyDescent="0.2">
      <c r="B3" s="2" t="s">
        <v>232</v>
      </c>
      <c r="C3" s="2" t="s">
        <v>441</v>
      </c>
      <c r="D3" s="2" t="s">
        <v>233</v>
      </c>
      <c r="E3" s="2" t="s">
        <v>234</v>
      </c>
    </row>
  </sheetData>
  <pageMargins left="0.7" right="0.7" top="0.75" bottom="0.75" header="0.3" footer="0.3"/>
  <pageSetup orientation="portrait" horizontalDpi="0"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H70"/>
  <sheetViews>
    <sheetView zoomScale="120" zoomScaleNormal="120" workbookViewId="0">
      <selection activeCell="F19" sqref="F19"/>
    </sheetView>
  </sheetViews>
  <sheetFormatPr baseColWidth="10" defaultColWidth="10.83203125" defaultRowHeight="16" x14ac:dyDescent="0.2"/>
  <cols>
    <col min="1" max="1" width="7" style="2" customWidth="1"/>
    <col min="2" max="2" width="25.83203125" style="2" customWidth="1"/>
    <col min="3" max="3" width="31.6640625" style="2" customWidth="1"/>
    <col min="4" max="4" width="84.6640625" style="2" customWidth="1"/>
    <col min="5" max="5" width="11.1640625" style="2" customWidth="1"/>
    <col min="6" max="6" width="25.6640625" style="2" bestFit="1" customWidth="1"/>
    <col min="7" max="7" width="17.83203125" style="2" customWidth="1"/>
    <col min="8" max="8" width="20.83203125" style="2" customWidth="1"/>
    <col min="9" max="16384" width="10.83203125" style="2"/>
  </cols>
  <sheetData>
    <row r="1" spans="1:8" s="1" customFormat="1" ht="17" x14ac:dyDescent="0.2">
      <c r="A1" s="1" t="s">
        <v>13</v>
      </c>
      <c r="B1" s="1" t="s">
        <v>226</v>
      </c>
      <c r="C1" s="1" t="s">
        <v>8</v>
      </c>
      <c r="D1" s="1" t="s">
        <v>0</v>
      </c>
      <c r="E1" s="1" t="s">
        <v>165</v>
      </c>
      <c r="F1" s="1" t="s">
        <v>227</v>
      </c>
      <c r="G1" s="1" t="s">
        <v>9</v>
      </c>
      <c r="H1" s="1" t="s">
        <v>223</v>
      </c>
    </row>
    <row r="2" spans="1:8" ht="17" x14ac:dyDescent="0.2">
      <c r="A2" s="2" t="str">
        <f>IF(ISNA(VLOOKUP(B2,AssociatedElements!B$2:B2940,1,FALSE)),"Not used","")</f>
        <v/>
      </c>
      <c r="B2" s="16" t="s">
        <v>235</v>
      </c>
      <c r="C2" s="15" t="s">
        <v>236</v>
      </c>
      <c r="D2" s="15" t="s">
        <v>237</v>
      </c>
      <c r="E2" s="14" t="s">
        <v>1</v>
      </c>
      <c r="F2" s="2" t="s">
        <v>126</v>
      </c>
      <c r="G2" s="11"/>
    </row>
    <row r="3" spans="1:8" ht="34" x14ac:dyDescent="0.2">
      <c r="A3" s="2" t="str">
        <f>IF(ISNA(VLOOKUP(B3,AssociatedElements!B$2:B2941,1,FALSE)),"Not used","")</f>
        <v/>
      </c>
      <c r="B3" s="16" t="s">
        <v>238</v>
      </c>
      <c r="C3" s="17" t="s">
        <v>239</v>
      </c>
      <c r="D3" s="17" t="s">
        <v>240</v>
      </c>
      <c r="E3" s="19" t="s">
        <v>1</v>
      </c>
      <c r="F3" s="2" t="s">
        <v>84</v>
      </c>
      <c r="G3" s="11"/>
    </row>
    <row r="4" spans="1:8" ht="68" x14ac:dyDescent="0.2">
      <c r="A4" s="2" t="str">
        <f>IF(ISNA(VLOOKUP(B4,AssociatedElements!B$2:B2942,1,FALSE)),"Not used","")</f>
        <v/>
      </c>
      <c r="B4" s="16" t="s">
        <v>241</v>
      </c>
      <c r="C4" s="17" t="s">
        <v>242</v>
      </c>
      <c r="D4" s="17" t="s">
        <v>243</v>
      </c>
      <c r="E4" s="19" t="s">
        <v>1</v>
      </c>
      <c r="F4" s="2" t="s">
        <v>84</v>
      </c>
      <c r="G4" s="11"/>
    </row>
    <row r="5" spans="1:8" ht="17" x14ac:dyDescent="0.2">
      <c r="A5" s="2" t="str">
        <f>IF(ISNA(VLOOKUP(B5,AssociatedElements!B$2:B2943,1,FALSE)),"Not used","")</f>
        <v/>
      </c>
      <c r="B5" s="16" t="s">
        <v>244</v>
      </c>
      <c r="C5" s="17" t="s">
        <v>245</v>
      </c>
      <c r="D5" s="17" t="s">
        <v>246</v>
      </c>
      <c r="E5" s="19" t="s">
        <v>1</v>
      </c>
      <c r="F5" s="2" t="s">
        <v>10</v>
      </c>
      <c r="G5" s="11"/>
    </row>
    <row r="6" spans="1:8" ht="17" x14ac:dyDescent="0.2">
      <c r="A6" s="2" t="str">
        <f>IF(ISNA(VLOOKUP(B6,AssociatedElements!B$2:B2944,1,FALSE)),"Not used","")</f>
        <v/>
      </c>
      <c r="B6" s="16" t="s">
        <v>247</v>
      </c>
      <c r="C6" s="17" t="s">
        <v>248</v>
      </c>
      <c r="D6" s="17" t="s">
        <v>249</v>
      </c>
      <c r="E6" s="19" t="s">
        <v>1</v>
      </c>
      <c r="F6" s="2" t="s">
        <v>2</v>
      </c>
      <c r="G6" s="11"/>
    </row>
    <row r="7" spans="1:8" ht="34" x14ac:dyDescent="0.2">
      <c r="A7" s="2" t="str">
        <f>IF(ISNA(VLOOKUP(B7,AssociatedElements!B$2:B2945,1,FALSE)),"Not used","")</f>
        <v/>
      </c>
      <c r="B7" s="16" t="s">
        <v>250</v>
      </c>
      <c r="C7" s="17" t="s">
        <v>251</v>
      </c>
      <c r="D7" s="17" t="s">
        <v>252</v>
      </c>
      <c r="E7" s="19" t="s">
        <v>1</v>
      </c>
      <c r="F7" s="2" t="s">
        <v>17</v>
      </c>
      <c r="G7" s="11"/>
    </row>
    <row r="8" spans="1:8" ht="17" x14ac:dyDescent="0.2">
      <c r="A8" s="2" t="str">
        <f>IF(ISNA(VLOOKUP(B8,AssociatedElements!B$2:B2946,1,FALSE)),"Not used","")</f>
        <v/>
      </c>
      <c r="B8" s="16" t="s">
        <v>42</v>
      </c>
      <c r="C8" s="17" t="s">
        <v>253</v>
      </c>
      <c r="D8" s="17" t="s">
        <v>254</v>
      </c>
      <c r="E8" s="19" t="s">
        <v>1</v>
      </c>
      <c r="F8" s="2" t="s">
        <v>10</v>
      </c>
      <c r="G8" s="11"/>
    </row>
    <row r="9" spans="1:8" ht="34" x14ac:dyDescent="0.2">
      <c r="A9" s="2" t="str">
        <f>IF(ISNA(VLOOKUP(B9,AssociatedElements!B$2:B2947,1,FALSE)),"Not used","")</f>
        <v/>
      </c>
      <c r="B9" s="16" t="s">
        <v>255</v>
      </c>
      <c r="C9" s="17" t="s">
        <v>256</v>
      </c>
      <c r="D9" s="17" t="s">
        <v>257</v>
      </c>
      <c r="E9" s="19" t="s">
        <v>1</v>
      </c>
      <c r="F9" s="2" t="s">
        <v>21</v>
      </c>
      <c r="G9" s="11"/>
    </row>
    <row r="10" spans="1:8" ht="17" x14ac:dyDescent="0.2">
      <c r="A10" s="2" t="str">
        <f>IF(ISNA(VLOOKUP(B10,AssociatedElements!B$2:B2948,1,FALSE)),"Not used","")</f>
        <v/>
      </c>
      <c r="B10" s="16" t="s">
        <v>258</v>
      </c>
      <c r="C10" s="17" t="s">
        <v>259</v>
      </c>
      <c r="D10" s="17" t="s">
        <v>260</v>
      </c>
      <c r="E10" s="19" t="s">
        <v>1</v>
      </c>
      <c r="F10" s="2" t="s">
        <v>16</v>
      </c>
      <c r="G10" s="11"/>
    </row>
    <row r="11" spans="1:8" ht="17" x14ac:dyDescent="0.2">
      <c r="A11" s="2" t="str">
        <f>IF(ISNA(VLOOKUP(B11,AssociatedElements!B$2:B2949,1,FALSE)),"Not used","")</f>
        <v/>
      </c>
      <c r="B11" s="16" t="s">
        <v>261</v>
      </c>
      <c r="C11" s="17" t="s">
        <v>262</v>
      </c>
      <c r="D11" s="17" t="s">
        <v>263</v>
      </c>
      <c r="E11" s="19" t="s">
        <v>1</v>
      </c>
      <c r="F11" s="2" t="s">
        <v>10</v>
      </c>
      <c r="G11" s="11"/>
    </row>
    <row r="12" spans="1:8" ht="17" x14ac:dyDescent="0.2">
      <c r="A12" s="2" t="str">
        <f>IF(ISNA(VLOOKUP(B12,AssociatedElements!B$2:B2950,1,FALSE)),"Not used","")</f>
        <v/>
      </c>
      <c r="B12" s="16" t="s">
        <v>264</v>
      </c>
      <c r="C12" s="17" t="s">
        <v>443</v>
      </c>
      <c r="D12" s="17" t="s">
        <v>265</v>
      </c>
      <c r="E12" s="19" t="s">
        <v>1</v>
      </c>
      <c r="F12" s="2" t="s">
        <v>117</v>
      </c>
      <c r="G12" s="11"/>
    </row>
    <row r="13" spans="1:8" ht="17" x14ac:dyDescent="0.2">
      <c r="A13" s="2" t="str">
        <f>IF(ISNA(VLOOKUP(B13,AssociatedElements!B$2:B2951,1,FALSE)),"Not used","")</f>
        <v/>
      </c>
      <c r="B13" s="16" t="s">
        <v>266</v>
      </c>
      <c r="C13" s="17" t="s">
        <v>267</v>
      </c>
      <c r="D13" s="17" t="s">
        <v>268</v>
      </c>
      <c r="E13" s="19" t="s">
        <v>1</v>
      </c>
      <c r="F13" s="2" t="s">
        <v>56</v>
      </c>
      <c r="G13" s="11"/>
    </row>
    <row r="14" spans="1:8" ht="17" x14ac:dyDescent="0.2">
      <c r="A14" s="2" t="str">
        <f>IF(ISNA(VLOOKUP(B14,AssociatedElements!B$2:B2952,1,FALSE)),"Not used","")</f>
        <v/>
      </c>
      <c r="B14" s="16" t="s">
        <v>269</v>
      </c>
      <c r="C14" s="17" t="s">
        <v>270</v>
      </c>
      <c r="D14" s="17" t="s">
        <v>271</v>
      </c>
      <c r="E14" s="19" t="s">
        <v>1</v>
      </c>
      <c r="F14" s="2" t="s">
        <v>56</v>
      </c>
      <c r="G14" s="11"/>
    </row>
    <row r="15" spans="1:8" ht="17" x14ac:dyDescent="0.2">
      <c r="A15" s="2" t="str">
        <f>IF(ISNA(VLOOKUP(B15,AssociatedElements!B$2:B2953,1,FALSE)),"Not used","")</f>
        <v/>
      </c>
      <c r="B15" s="16" t="s">
        <v>272</v>
      </c>
      <c r="C15" s="17" t="s">
        <v>273</v>
      </c>
      <c r="D15" s="17" t="s">
        <v>274</v>
      </c>
      <c r="E15" s="19" t="s">
        <v>1</v>
      </c>
      <c r="F15" s="2" t="s">
        <v>56</v>
      </c>
      <c r="G15" s="11"/>
    </row>
    <row r="16" spans="1:8" ht="17" x14ac:dyDescent="0.2">
      <c r="A16" s="2" t="str">
        <f>IF(ISNA(VLOOKUP(B16,AssociatedElements!B$2:B2954,1,FALSE)),"Not used","")</f>
        <v/>
      </c>
      <c r="B16" s="16" t="s">
        <v>275</v>
      </c>
      <c r="C16" s="17" t="s">
        <v>276</v>
      </c>
      <c r="D16" s="17" t="s">
        <v>277</v>
      </c>
      <c r="E16" s="19" t="s">
        <v>1</v>
      </c>
      <c r="F16" s="2" t="s">
        <v>23</v>
      </c>
      <c r="G16" s="11"/>
    </row>
    <row r="17" spans="1:7" ht="17" x14ac:dyDescent="0.2">
      <c r="A17" s="2" t="str">
        <f>IF(ISNA(VLOOKUP(B17,AssociatedElements!B$2:B2955,1,FALSE)),"Not used","")</f>
        <v/>
      </c>
      <c r="B17" s="16" t="s">
        <v>278</v>
      </c>
      <c r="C17" s="17" t="s">
        <v>279</v>
      </c>
      <c r="D17" s="17" t="s">
        <v>280</v>
      </c>
      <c r="E17" s="19" t="s">
        <v>1</v>
      </c>
      <c r="F17" s="2" t="s">
        <v>23</v>
      </c>
      <c r="G17" s="11"/>
    </row>
    <row r="18" spans="1:7" ht="51" x14ac:dyDescent="0.2">
      <c r="A18" s="2" t="str">
        <f>IF(ISNA(VLOOKUP(B18,AssociatedElements!B$2:B2956,1,FALSE)),"Not used","")</f>
        <v/>
      </c>
      <c r="B18" s="16" t="s">
        <v>281</v>
      </c>
      <c r="C18" s="17" t="s">
        <v>282</v>
      </c>
      <c r="D18" s="17" t="s">
        <v>283</v>
      </c>
      <c r="E18" s="19" t="s">
        <v>1</v>
      </c>
      <c r="F18" s="2" t="s">
        <v>284</v>
      </c>
      <c r="G18" s="11"/>
    </row>
    <row r="19" spans="1:7" ht="34" x14ac:dyDescent="0.2">
      <c r="A19" s="2" t="str">
        <f>IF(ISNA(VLOOKUP(B19,AssociatedElements!B$2:B2957,1,FALSE)),"Not used","")</f>
        <v/>
      </c>
      <c r="B19" s="16" t="s">
        <v>285</v>
      </c>
      <c r="C19" s="17" t="s">
        <v>286</v>
      </c>
      <c r="D19" s="17" t="s">
        <v>287</v>
      </c>
      <c r="E19" s="19" t="s">
        <v>1</v>
      </c>
      <c r="F19" s="2" t="s">
        <v>84</v>
      </c>
      <c r="G19" s="11"/>
    </row>
    <row r="20" spans="1:7" ht="17" x14ac:dyDescent="0.2">
      <c r="A20" s="2" t="str">
        <f>IF(ISNA(VLOOKUP(B20,AssociatedElements!B$2:B2958,1,FALSE)),"Not used","")</f>
        <v/>
      </c>
      <c r="B20" s="16" t="s">
        <v>288</v>
      </c>
      <c r="C20" s="17" t="s">
        <v>289</v>
      </c>
      <c r="D20" s="17" t="s">
        <v>290</v>
      </c>
      <c r="E20" s="19" t="s">
        <v>1</v>
      </c>
      <c r="F20" s="2" t="s">
        <v>463</v>
      </c>
      <c r="G20" s="11"/>
    </row>
    <row r="21" spans="1:7" ht="34" x14ac:dyDescent="0.2">
      <c r="A21" s="2" t="str">
        <f>IF(ISNA(VLOOKUP(B21,AssociatedElements!B$2:B2959,1,FALSE)),"Not used","")</f>
        <v/>
      </c>
      <c r="B21" s="16" t="s">
        <v>291</v>
      </c>
      <c r="C21" s="17" t="s">
        <v>292</v>
      </c>
      <c r="D21" s="17" t="s">
        <v>293</v>
      </c>
      <c r="E21" s="19" t="s">
        <v>1</v>
      </c>
      <c r="F21" s="2" t="s">
        <v>84</v>
      </c>
      <c r="G21" s="11"/>
    </row>
    <row r="22" spans="1:7" ht="17" x14ac:dyDescent="0.2">
      <c r="A22" s="2" t="str">
        <f>IF(ISNA(VLOOKUP(B22,AssociatedElements!B$2:B2960,1,FALSE)),"Not used","")</f>
        <v/>
      </c>
      <c r="B22" s="16" t="s">
        <v>294</v>
      </c>
      <c r="C22" s="17" t="s">
        <v>295</v>
      </c>
      <c r="D22" s="17" t="s">
        <v>296</v>
      </c>
      <c r="E22" s="19" t="s">
        <v>1</v>
      </c>
      <c r="F22" s="2" t="s">
        <v>10</v>
      </c>
      <c r="G22" s="11"/>
    </row>
    <row r="23" spans="1:7" ht="17" x14ac:dyDescent="0.2">
      <c r="A23" s="2" t="str">
        <f>IF(ISNA(VLOOKUP(B23,AssociatedElements!B$2:B2961,1,FALSE)),"Not used","")</f>
        <v/>
      </c>
      <c r="B23" s="16" t="s">
        <v>297</v>
      </c>
      <c r="C23" s="17" t="s">
        <v>298</v>
      </c>
      <c r="D23" s="17" t="s">
        <v>299</v>
      </c>
      <c r="E23" s="19" t="s">
        <v>1</v>
      </c>
      <c r="F23" s="2" t="s">
        <v>10</v>
      </c>
      <c r="G23" s="11"/>
    </row>
    <row r="24" spans="1:7" ht="17" x14ac:dyDescent="0.2">
      <c r="A24" s="2" t="str">
        <f>IF(ISNA(VLOOKUP(B24,AssociatedElements!B$2:B2962,1,FALSE)),"Not used","")</f>
        <v/>
      </c>
      <c r="B24" s="16" t="s">
        <v>300</v>
      </c>
      <c r="C24" s="17" t="s">
        <v>301</v>
      </c>
      <c r="D24" s="17" t="s">
        <v>302</v>
      </c>
      <c r="E24" s="19" t="s">
        <v>1</v>
      </c>
      <c r="F24" s="2" t="s">
        <v>70</v>
      </c>
      <c r="G24" s="11"/>
    </row>
    <row r="25" spans="1:7" ht="17" x14ac:dyDescent="0.2">
      <c r="A25" s="2" t="str">
        <f>IF(ISNA(VLOOKUP(B25,AssociatedElements!B$2:B2963,1,FALSE)),"Not used","")</f>
        <v/>
      </c>
      <c r="B25" s="16" t="s">
        <v>303</v>
      </c>
      <c r="C25" s="17" t="s">
        <v>304</v>
      </c>
      <c r="D25" s="17" t="s">
        <v>305</v>
      </c>
      <c r="E25" s="19" t="s">
        <v>1</v>
      </c>
      <c r="F25" s="2" t="s">
        <v>10</v>
      </c>
      <c r="G25" s="11"/>
    </row>
    <row r="26" spans="1:7" ht="34" x14ac:dyDescent="0.2">
      <c r="A26" s="2" t="str">
        <f>IF(ISNA(VLOOKUP(B26,AssociatedElements!B$2:B2964,1,FALSE)),"Not used","")</f>
        <v/>
      </c>
      <c r="B26" s="16" t="s">
        <v>306</v>
      </c>
      <c r="C26" s="17" t="s">
        <v>307</v>
      </c>
      <c r="D26" s="17" t="s">
        <v>308</v>
      </c>
      <c r="E26" s="19" t="s">
        <v>1</v>
      </c>
      <c r="F26" s="2" t="s">
        <v>96</v>
      </c>
      <c r="G26" s="11"/>
    </row>
    <row r="27" spans="1:7" ht="17" x14ac:dyDescent="0.2">
      <c r="A27" s="2" t="str">
        <f>IF(ISNA(VLOOKUP(B27,AssociatedElements!B$2:B2965,1,FALSE)),"Not used","")</f>
        <v/>
      </c>
      <c r="B27" s="16" t="s">
        <v>309</v>
      </c>
      <c r="C27" s="17" t="s">
        <v>310</v>
      </c>
      <c r="D27" s="17" t="s">
        <v>311</v>
      </c>
      <c r="E27" s="19" t="s">
        <v>1</v>
      </c>
      <c r="F27" s="2" t="s">
        <v>56</v>
      </c>
      <c r="G27" s="11"/>
    </row>
    <row r="28" spans="1:7" ht="34" x14ac:dyDescent="0.2">
      <c r="A28" s="2" t="str">
        <f>IF(ISNA(VLOOKUP(B28,AssociatedElements!B$2:B2966,1,FALSE)),"Not used","")</f>
        <v/>
      </c>
      <c r="B28" s="16" t="s">
        <v>312</v>
      </c>
      <c r="C28" s="17" t="s">
        <v>313</v>
      </c>
      <c r="D28" s="17" t="s">
        <v>314</v>
      </c>
      <c r="E28" s="19" t="s">
        <v>1</v>
      </c>
      <c r="F28" s="2" t="s">
        <v>56</v>
      </c>
      <c r="G28" s="11"/>
    </row>
    <row r="29" spans="1:7" ht="34" x14ac:dyDescent="0.2">
      <c r="A29" s="2" t="str">
        <f>IF(ISNA(VLOOKUP(B29,AssociatedElements!B$2:B2967,1,FALSE)),"Not used","")</f>
        <v/>
      </c>
      <c r="B29" s="16" t="s">
        <v>315</v>
      </c>
      <c r="C29" s="17" t="s">
        <v>316</v>
      </c>
      <c r="D29" s="17" t="s">
        <v>317</v>
      </c>
      <c r="E29" s="19" t="s">
        <v>1</v>
      </c>
      <c r="F29" s="2" t="s">
        <v>56</v>
      </c>
      <c r="G29" s="11"/>
    </row>
    <row r="30" spans="1:7" ht="34" x14ac:dyDescent="0.2">
      <c r="A30" s="2" t="str">
        <f>IF(ISNA(VLOOKUP(B30,AssociatedElements!B$2:B2968,1,FALSE)),"Not used","")</f>
        <v/>
      </c>
      <c r="B30" s="16" t="s">
        <v>318</v>
      </c>
      <c r="C30" s="17" t="s">
        <v>319</v>
      </c>
      <c r="D30" s="17" t="s">
        <v>320</v>
      </c>
      <c r="E30" s="19" t="s">
        <v>1</v>
      </c>
      <c r="F30" s="2" t="s">
        <v>56</v>
      </c>
      <c r="G30" s="11"/>
    </row>
    <row r="31" spans="1:7" ht="17" x14ac:dyDescent="0.2">
      <c r="A31" s="2" t="str">
        <f>IF(ISNA(VLOOKUP(B31,AssociatedElements!B$2:B2969,1,FALSE)),"Not used","")</f>
        <v/>
      </c>
      <c r="B31" s="16" t="s">
        <v>321</v>
      </c>
      <c r="C31" s="17" t="s">
        <v>322</v>
      </c>
      <c r="D31" s="17" t="s">
        <v>323</v>
      </c>
      <c r="E31" s="19" t="s">
        <v>1</v>
      </c>
      <c r="F31" s="2" t="s">
        <v>10</v>
      </c>
      <c r="G31" s="11"/>
    </row>
    <row r="32" spans="1:7" ht="34" x14ac:dyDescent="0.2">
      <c r="A32" s="2" t="str">
        <f>IF(ISNA(VLOOKUP(B32,AssociatedElements!B$2:B2970,1,FALSE)),"Not used","")</f>
        <v/>
      </c>
      <c r="B32" s="16" t="s">
        <v>324</v>
      </c>
      <c r="C32" s="17" t="s">
        <v>325</v>
      </c>
      <c r="D32" s="17" t="s">
        <v>326</v>
      </c>
      <c r="E32" s="19" t="s">
        <v>1</v>
      </c>
      <c r="F32" s="2" t="s">
        <v>3</v>
      </c>
      <c r="G32" s="11"/>
    </row>
    <row r="33" spans="1:7" ht="17" x14ac:dyDescent="0.2">
      <c r="A33" s="2" t="str">
        <f>IF(ISNA(VLOOKUP(B33,AssociatedElements!B$2:B2971,1,FALSE)),"Not used","")</f>
        <v/>
      </c>
      <c r="B33" s="16" t="s">
        <v>327</v>
      </c>
      <c r="C33" s="17" t="s">
        <v>328</v>
      </c>
      <c r="D33" s="17" t="s">
        <v>329</v>
      </c>
      <c r="E33" s="19" t="s">
        <v>1</v>
      </c>
      <c r="F33" s="2" t="s">
        <v>3</v>
      </c>
      <c r="G33" s="11"/>
    </row>
    <row r="34" spans="1:7" ht="68" x14ac:dyDescent="0.2">
      <c r="A34" s="2" t="str">
        <f>IF(ISNA(VLOOKUP(B34,AssociatedElements!B$2:B2972,1,FALSE)),"Not used","")</f>
        <v/>
      </c>
      <c r="B34" s="16" t="s">
        <v>330</v>
      </c>
      <c r="C34" s="17" t="s">
        <v>331</v>
      </c>
      <c r="D34" s="17" t="s">
        <v>332</v>
      </c>
      <c r="E34" s="19" t="s">
        <v>1</v>
      </c>
      <c r="F34" s="2" t="s">
        <v>3</v>
      </c>
      <c r="G34" s="11"/>
    </row>
    <row r="35" spans="1:7" ht="17" x14ac:dyDescent="0.2">
      <c r="A35" s="2" t="str">
        <f>IF(ISNA(VLOOKUP(B35,AssociatedElements!B$2:B2973,1,FALSE)),"Not used","")</f>
        <v/>
      </c>
      <c r="B35" s="16" t="s">
        <v>333</v>
      </c>
      <c r="C35" s="17" t="s">
        <v>334</v>
      </c>
      <c r="D35" s="17" t="s">
        <v>335</v>
      </c>
      <c r="E35" s="19" t="s">
        <v>1</v>
      </c>
      <c r="F35" s="2" t="s">
        <v>70</v>
      </c>
      <c r="G35" s="11"/>
    </row>
    <row r="36" spans="1:7" ht="17" x14ac:dyDescent="0.2">
      <c r="A36" s="2" t="str">
        <f>IF(ISNA(VLOOKUP(B36,AssociatedElements!B$2:B2974,1,FALSE)),"Not used","")</f>
        <v/>
      </c>
      <c r="B36" s="16" t="s">
        <v>336</v>
      </c>
      <c r="C36" s="17" t="s">
        <v>337</v>
      </c>
      <c r="D36" s="17" t="s">
        <v>338</v>
      </c>
      <c r="E36" s="19" t="s">
        <v>1</v>
      </c>
      <c r="F36" s="2" t="s">
        <v>70</v>
      </c>
      <c r="G36" s="11"/>
    </row>
    <row r="37" spans="1:7" ht="34" x14ac:dyDescent="0.2">
      <c r="A37" s="2" t="str">
        <f>IF(ISNA(VLOOKUP(B37,AssociatedElements!B$2:B2975,1,FALSE)),"Not used","")</f>
        <v/>
      </c>
      <c r="B37" s="16" t="s">
        <v>339</v>
      </c>
      <c r="C37" s="17" t="s">
        <v>340</v>
      </c>
      <c r="D37" s="17" t="s">
        <v>341</v>
      </c>
      <c r="E37" s="19" t="s">
        <v>1</v>
      </c>
      <c r="F37" s="2" t="s">
        <v>23</v>
      </c>
      <c r="G37" s="11"/>
    </row>
    <row r="38" spans="1:7" ht="34" x14ac:dyDescent="0.2">
      <c r="A38" s="2" t="str">
        <f>IF(ISNA(VLOOKUP(B38,AssociatedElements!B$2:B2976,1,FALSE)),"Not used","")</f>
        <v/>
      </c>
      <c r="B38" s="16" t="s">
        <v>342</v>
      </c>
      <c r="C38" s="17" t="s">
        <v>343</v>
      </c>
      <c r="D38" s="17" t="s">
        <v>344</v>
      </c>
      <c r="E38" s="19" t="s">
        <v>1</v>
      </c>
      <c r="F38" s="2" t="s">
        <v>10</v>
      </c>
      <c r="G38" s="11"/>
    </row>
    <row r="39" spans="1:7" ht="34" x14ac:dyDescent="0.2">
      <c r="A39" s="2" t="str">
        <f>IF(ISNA(VLOOKUP(B39,AssociatedElements!B$2:B2977,1,FALSE)),"Not used","")</f>
        <v/>
      </c>
      <c r="B39" s="16" t="s">
        <v>345</v>
      </c>
      <c r="C39" s="17" t="s">
        <v>346</v>
      </c>
      <c r="D39" s="17" t="s">
        <v>347</v>
      </c>
      <c r="E39" s="19" t="s">
        <v>1</v>
      </c>
      <c r="F39" s="2" t="s">
        <v>24</v>
      </c>
      <c r="G39" s="11"/>
    </row>
    <row r="40" spans="1:7" ht="34" x14ac:dyDescent="0.2">
      <c r="A40" s="2" t="str">
        <f>IF(ISNA(VLOOKUP(B40,AssociatedElements!B$2:B2978,1,FALSE)),"Not used","")</f>
        <v/>
      </c>
      <c r="B40" s="16" t="s">
        <v>348</v>
      </c>
      <c r="C40" s="17" t="s">
        <v>349</v>
      </c>
      <c r="D40" s="17" t="s">
        <v>350</v>
      </c>
      <c r="E40" s="19" t="s">
        <v>1</v>
      </c>
      <c r="F40" s="2" t="s">
        <v>24</v>
      </c>
      <c r="G40" s="11"/>
    </row>
    <row r="41" spans="1:7" ht="17" x14ac:dyDescent="0.2">
      <c r="A41" s="2" t="str">
        <f>IF(ISNA(VLOOKUP(B41,AssociatedElements!B$2:B2979,1,FALSE)),"Not used","")</f>
        <v/>
      </c>
      <c r="B41" s="16" t="s">
        <v>351</v>
      </c>
      <c r="C41" s="17" t="s">
        <v>352</v>
      </c>
      <c r="D41" s="17" t="s">
        <v>353</v>
      </c>
      <c r="E41" s="19" t="s">
        <v>1</v>
      </c>
      <c r="F41" s="2" t="s">
        <v>24</v>
      </c>
      <c r="G41" s="11"/>
    </row>
    <row r="42" spans="1:7" ht="17" x14ac:dyDescent="0.2">
      <c r="A42" s="2" t="str">
        <f>IF(ISNA(VLOOKUP(B42,AssociatedElements!B$2:B2980,1,FALSE)),"Not used","")</f>
        <v/>
      </c>
      <c r="B42" s="16" t="s">
        <v>354</v>
      </c>
      <c r="C42" s="17" t="s">
        <v>355</v>
      </c>
      <c r="D42" s="17" t="s">
        <v>356</v>
      </c>
      <c r="E42" s="19" t="s">
        <v>1</v>
      </c>
      <c r="F42" s="2" t="s">
        <v>24</v>
      </c>
      <c r="G42" s="11"/>
    </row>
    <row r="43" spans="1:7" ht="34" x14ac:dyDescent="0.2">
      <c r="A43" s="2" t="str">
        <f>IF(ISNA(VLOOKUP(B43,AssociatedElements!B$2:B2981,1,FALSE)),"Not used","")</f>
        <v/>
      </c>
      <c r="B43" s="16" t="s">
        <v>357</v>
      </c>
      <c r="C43" s="17" t="s">
        <v>358</v>
      </c>
      <c r="D43" s="17" t="s">
        <v>359</v>
      </c>
      <c r="E43" s="19" t="s">
        <v>1</v>
      </c>
      <c r="F43" s="2" t="s">
        <v>24</v>
      </c>
      <c r="G43" s="11"/>
    </row>
    <row r="44" spans="1:7" ht="34" x14ac:dyDescent="0.2">
      <c r="A44" s="2" t="str">
        <f>IF(ISNA(VLOOKUP(B44,AssociatedElements!B$2:B2982,1,FALSE)),"Not used","")</f>
        <v/>
      </c>
      <c r="B44" s="16" t="s">
        <v>360</v>
      </c>
      <c r="C44" s="17" t="s">
        <v>361</v>
      </c>
      <c r="D44" s="17" t="s">
        <v>362</v>
      </c>
      <c r="E44" s="19" t="s">
        <v>1</v>
      </c>
      <c r="F44" s="2" t="s">
        <v>24</v>
      </c>
      <c r="G44" s="11"/>
    </row>
    <row r="45" spans="1:7" ht="34" x14ac:dyDescent="0.2">
      <c r="A45" s="2" t="str">
        <f>IF(ISNA(VLOOKUP(B45,AssociatedElements!B$2:B2983,1,FALSE)),"Not used","")</f>
        <v/>
      </c>
      <c r="B45" s="16" t="s">
        <v>363</v>
      </c>
      <c r="C45" s="17" t="s">
        <v>364</v>
      </c>
      <c r="D45" s="17" t="s">
        <v>365</v>
      </c>
      <c r="E45" s="19" t="s">
        <v>1</v>
      </c>
      <c r="F45" s="2" t="s">
        <v>10</v>
      </c>
      <c r="G45" s="11"/>
    </row>
    <row r="46" spans="1:7" ht="34" x14ac:dyDescent="0.2">
      <c r="A46" s="2" t="str">
        <f>IF(ISNA(VLOOKUP(B46,AssociatedElements!B$2:B2984,1,FALSE)),"Not used","")</f>
        <v/>
      </c>
      <c r="B46" s="16" t="s">
        <v>366</v>
      </c>
      <c r="C46" s="17" t="s">
        <v>367</v>
      </c>
      <c r="D46" s="17" t="s">
        <v>368</v>
      </c>
      <c r="E46" s="19" t="s">
        <v>1</v>
      </c>
      <c r="F46" s="2" t="s">
        <v>10</v>
      </c>
      <c r="G46" s="11"/>
    </row>
    <row r="47" spans="1:7" ht="17" x14ac:dyDescent="0.2">
      <c r="A47" s="2" t="str">
        <f>IF(ISNA(VLOOKUP(B47,AssociatedElements!B$2:B2985,1,FALSE)),"Not used","")</f>
        <v/>
      </c>
      <c r="B47" s="16" t="s">
        <v>369</v>
      </c>
      <c r="C47" s="17" t="s">
        <v>370</v>
      </c>
      <c r="D47" s="17" t="s">
        <v>371</v>
      </c>
      <c r="E47" s="19" t="s">
        <v>1</v>
      </c>
      <c r="F47" s="2" t="s">
        <v>60</v>
      </c>
      <c r="G47" s="11"/>
    </row>
    <row r="48" spans="1:7" ht="17" x14ac:dyDescent="0.2">
      <c r="A48" s="2" t="str">
        <f>IF(ISNA(VLOOKUP(B48,AssociatedElements!B$2:B2986,1,FALSE)),"Not used","")</f>
        <v/>
      </c>
      <c r="B48" s="16" t="s">
        <v>372</v>
      </c>
      <c r="C48" s="17" t="s">
        <v>373</v>
      </c>
      <c r="D48" s="17" t="s">
        <v>374</v>
      </c>
      <c r="E48" s="19" t="s">
        <v>1</v>
      </c>
      <c r="F48" s="2" t="s">
        <v>10</v>
      </c>
      <c r="G48" s="11"/>
    </row>
    <row r="49" spans="1:7" ht="85" x14ac:dyDescent="0.2">
      <c r="A49" s="2" t="str">
        <f>IF(ISNA(VLOOKUP(B49,AssociatedElements!B$2:B2987,1,FALSE)),"Not used","")</f>
        <v/>
      </c>
      <c r="B49" s="16" t="s">
        <v>375</v>
      </c>
      <c r="C49" s="17" t="s">
        <v>376</v>
      </c>
      <c r="D49" s="17" t="s">
        <v>377</v>
      </c>
      <c r="E49" s="19" t="s">
        <v>1</v>
      </c>
      <c r="F49" s="2" t="s">
        <v>57</v>
      </c>
      <c r="G49" s="11"/>
    </row>
    <row r="50" spans="1:7" ht="51" x14ac:dyDescent="0.2">
      <c r="A50" s="2" t="str">
        <f>IF(ISNA(VLOOKUP(B50,AssociatedElements!B$2:B2988,1,FALSE)),"Not used","")</f>
        <v/>
      </c>
      <c r="B50" s="16" t="s">
        <v>378</v>
      </c>
      <c r="C50" s="17" t="s">
        <v>379</v>
      </c>
      <c r="D50" s="17" t="s">
        <v>380</v>
      </c>
      <c r="E50" s="19" t="s">
        <v>1</v>
      </c>
      <c r="F50" s="2" t="s">
        <v>20</v>
      </c>
      <c r="G50" s="11"/>
    </row>
    <row r="51" spans="1:7" ht="17" x14ac:dyDescent="0.2">
      <c r="A51" s="2" t="str">
        <f>IF(ISNA(VLOOKUP(B51,AssociatedElements!B$2:B2989,1,FALSE)),"Not used","")</f>
        <v/>
      </c>
      <c r="B51" s="16" t="s">
        <v>381</v>
      </c>
      <c r="C51" s="17" t="s">
        <v>382</v>
      </c>
      <c r="D51" s="17" t="s">
        <v>383</v>
      </c>
      <c r="E51" s="19" t="s">
        <v>1</v>
      </c>
      <c r="F51" s="2" t="s">
        <v>20</v>
      </c>
      <c r="G51" s="11"/>
    </row>
    <row r="52" spans="1:7" ht="51" x14ac:dyDescent="0.2">
      <c r="A52" s="2" t="str">
        <f>IF(ISNA(VLOOKUP(B52,AssociatedElements!B$2:B2990,1,FALSE)),"Not used","")</f>
        <v/>
      </c>
      <c r="B52" s="16" t="s">
        <v>384</v>
      </c>
      <c r="C52" s="17" t="s">
        <v>385</v>
      </c>
      <c r="D52" s="17" t="s">
        <v>386</v>
      </c>
      <c r="E52" s="19" t="s">
        <v>1</v>
      </c>
      <c r="F52" s="2" t="s">
        <v>21</v>
      </c>
      <c r="G52" s="11"/>
    </row>
    <row r="53" spans="1:7" ht="51" x14ac:dyDescent="0.2">
      <c r="A53" s="2" t="str">
        <f>IF(ISNA(VLOOKUP(B53,AssociatedElements!B$2:B2991,1,FALSE)),"Not used","")</f>
        <v/>
      </c>
      <c r="B53" s="16" t="s">
        <v>387</v>
      </c>
      <c r="C53" s="17" t="s">
        <v>388</v>
      </c>
      <c r="D53" s="17" t="s">
        <v>389</v>
      </c>
      <c r="E53" s="19" t="s">
        <v>1</v>
      </c>
      <c r="F53" s="2" t="s">
        <v>23</v>
      </c>
      <c r="G53" s="11"/>
    </row>
    <row r="54" spans="1:7" ht="51" x14ac:dyDescent="0.2">
      <c r="A54" s="2" t="str">
        <f>IF(ISNA(VLOOKUP(B54,AssociatedElements!B$2:B2992,1,FALSE)),"Not used","")</f>
        <v/>
      </c>
      <c r="B54" s="16" t="s">
        <v>390</v>
      </c>
      <c r="C54" s="17" t="s">
        <v>391</v>
      </c>
      <c r="D54" s="17" t="s">
        <v>392</v>
      </c>
      <c r="E54" s="19" t="s">
        <v>1</v>
      </c>
      <c r="F54" s="2" t="s">
        <v>12</v>
      </c>
      <c r="G54" s="11"/>
    </row>
    <row r="55" spans="1:7" ht="85" x14ac:dyDescent="0.2">
      <c r="A55" s="2" t="str">
        <f>IF(ISNA(VLOOKUP(B55,AssociatedElements!B$2:B2993,1,FALSE)),"Not used","")</f>
        <v/>
      </c>
      <c r="B55" s="16" t="s">
        <v>393</v>
      </c>
      <c r="C55" s="17" t="s">
        <v>394</v>
      </c>
      <c r="D55" s="17" t="s">
        <v>395</v>
      </c>
      <c r="E55" s="19" t="s">
        <v>1</v>
      </c>
      <c r="F55" s="2" t="s">
        <v>24</v>
      </c>
      <c r="G55" s="11"/>
    </row>
    <row r="56" spans="1:7" ht="17" x14ac:dyDescent="0.2">
      <c r="A56" s="2" t="str">
        <f>IF(ISNA(VLOOKUP(B56,AssociatedElements!B$2:B2994,1,FALSE)),"Not used","")</f>
        <v/>
      </c>
      <c r="B56" s="16" t="s">
        <v>396</v>
      </c>
      <c r="C56" s="17" t="s">
        <v>397</v>
      </c>
      <c r="D56" s="17" t="s">
        <v>398</v>
      </c>
      <c r="E56" s="19" t="s">
        <v>1</v>
      </c>
      <c r="F56" s="2" t="s">
        <v>10</v>
      </c>
      <c r="G56" s="11"/>
    </row>
    <row r="57" spans="1:7" ht="34" x14ac:dyDescent="0.2">
      <c r="A57" s="2" t="str">
        <f>IF(ISNA(VLOOKUP(B57,AssociatedElements!B$2:B2995,1,FALSE)),"Not used","")</f>
        <v/>
      </c>
      <c r="B57" s="16" t="s">
        <v>399</v>
      </c>
      <c r="C57" s="17" t="s">
        <v>400</v>
      </c>
      <c r="D57" s="17" t="s">
        <v>401</v>
      </c>
      <c r="E57" s="19" t="s">
        <v>1</v>
      </c>
      <c r="F57" s="2" t="s">
        <v>25</v>
      </c>
      <c r="G57" s="11"/>
    </row>
    <row r="58" spans="1:7" ht="17" x14ac:dyDescent="0.2">
      <c r="A58" s="2" t="str">
        <f>IF(ISNA(VLOOKUP(B58,AssociatedElements!B$2:B2996,1,FALSE)),"Not used","")</f>
        <v/>
      </c>
      <c r="B58" s="16" t="s">
        <v>402</v>
      </c>
      <c r="C58" s="17" t="s">
        <v>403</v>
      </c>
      <c r="D58" s="17" t="s">
        <v>404</v>
      </c>
      <c r="E58" s="19" t="s">
        <v>1</v>
      </c>
      <c r="F58" s="2" t="s">
        <v>10</v>
      </c>
      <c r="G58" s="11"/>
    </row>
    <row r="59" spans="1:7" ht="34" x14ac:dyDescent="0.2">
      <c r="A59" s="2" t="str">
        <f>IF(ISNA(VLOOKUP(B59,AssociatedElements!B$2:B2997,1,FALSE)),"Not used","")</f>
        <v/>
      </c>
      <c r="B59" s="16" t="s">
        <v>405</v>
      </c>
      <c r="C59" s="17" t="s">
        <v>406</v>
      </c>
      <c r="D59" s="17" t="s">
        <v>407</v>
      </c>
      <c r="E59" s="19" t="s">
        <v>1</v>
      </c>
      <c r="F59" s="2" t="s">
        <v>25</v>
      </c>
      <c r="G59" s="11"/>
    </row>
    <row r="60" spans="1:7" ht="17" x14ac:dyDescent="0.2">
      <c r="A60" s="2" t="str">
        <f>IF(ISNA(VLOOKUP(B60,AssociatedElements!B$2:B2998,1,FALSE)),"Not used","")</f>
        <v/>
      </c>
      <c r="B60" s="16" t="s">
        <v>408</v>
      </c>
      <c r="C60" s="17" t="s">
        <v>409</v>
      </c>
      <c r="D60" s="17" t="s">
        <v>410</v>
      </c>
      <c r="E60" s="19" t="s">
        <v>1</v>
      </c>
      <c r="F60" s="2" t="s">
        <v>22</v>
      </c>
      <c r="G60" s="11"/>
    </row>
    <row r="61" spans="1:7" ht="17" x14ac:dyDescent="0.2">
      <c r="A61" s="2" t="str">
        <f>IF(ISNA(VLOOKUP(B61,AssociatedElements!B$2:B2999,1,FALSE)),"Not used","")</f>
        <v/>
      </c>
      <c r="B61" s="16" t="s">
        <v>411</v>
      </c>
      <c r="C61" s="17" t="s">
        <v>412</v>
      </c>
      <c r="D61" s="17" t="s">
        <v>413</v>
      </c>
      <c r="E61" s="19" t="s">
        <v>1</v>
      </c>
      <c r="F61" s="2" t="s">
        <v>5</v>
      </c>
      <c r="G61" s="11"/>
    </row>
    <row r="62" spans="1:7" ht="17" x14ac:dyDescent="0.2">
      <c r="A62" s="2" t="str">
        <f>IF(ISNA(VLOOKUP(B62,AssociatedElements!B$2:B3000,1,FALSE)),"Not used","")</f>
        <v/>
      </c>
      <c r="B62" s="16" t="s">
        <v>414</v>
      </c>
      <c r="C62" s="17" t="s">
        <v>415</v>
      </c>
      <c r="D62" s="17" t="s">
        <v>416</v>
      </c>
      <c r="E62" s="19" t="s">
        <v>1</v>
      </c>
      <c r="F62" s="2" t="s">
        <v>57</v>
      </c>
      <c r="G62" s="11"/>
    </row>
    <row r="63" spans="1:7" ht="17" x14ac:dyDescent="0.2">
      <c r="A63" s="2" t="str">
        <f>IF(ISNA(VLOOKUP(B63,AssociatedElements!B$2:B3001,1,FALSE)),"Not used","")</f>
        <v/>
      </c>
      <c r="B63" s="16" t="s">
        <v>417</v>
      </c>
      <c r="C63" s="17" t="s">
        <v>418</v>
      </c>
      <c r="D63" s="17" t="s">
        <v>419</v>
      </c>
      <c r="E63" s="19" t="s">
        <v>1</v>
      </c>
      <c r="F63" s="2" t="s">
        <v>57</v>
      </c>
      <c r="G63" s="11"/>
    </row>
    <row r="64" spans="1:7" ht="17" x14ac:dyDescent="0.2">
      <c r="A64" s="2" t="str">
        <f>IF(ISNA(VLOOKUP(B64,AssociatedElements!B$2:B3002,1,FALSE)),"Not used","")</f>
        <v/>
      </c>
      <c r="B64" s="16" t="s">
        <v>420</v>
      </c>
      <c r="C64" s="17" t="s">
        <v>421</v>
      </c>
      <c r="D64" s="17" t="s">
        <v>422</v>
      </c>
      <c r="E64" s="19" t="s">
        <v>1</v>
      </c>
      <c r="F64" s="2" t="s">
        <v>57</v>
      </c>
      <c r="G64" s="11"/>
    </row>
    <row r="65" spans="1:7" ht="17" x14ac:dyDescent="0.2">
      <c r="A65" s="2" t="str">
        <f>IF(ISNA(VLOOKUP(B65,AssociatedElements!B$2:B3003,1,FALSE)),"Not used","")</f>
        <v/>
      </c>
      <c r="B65" s="16" t="s">
        <v>423</v>
      </c>
      <c r="C65" s="17" t="s">
        <v>424</v>
      </c>
      <c r="D65" s="17" t="s">
        <v>425</v>
      </c>
      <c r="E65" s="19" t="s">
        <v>1</v>
      </c>
      <c r="F65" s="2" t="s">
        <v>23</v>
      </c>
      <c r="G65" s="11"/>
    </row>
    <row r="66" spans="1:7" ht="17" x14ac:dyDescent="0.2">
      <c r="A66" s="2" t="str">
        <f>IF(ISNA(VLOOKUP(B66,AssociatedElements!B$2:B3004,1,FALSE)),"Not used","")</f>
        <v/>
      </c>
      <c r="B66" s="16" t="s">
        <v>426</v>
      </c>
      <c r="C66" s="17" t="s">
        <v>427</v>
      </c>
      <c r="D66" s="17" t="s">
        <v>428</v>
      </c>
      <c r="E66" s="19" t="s">
        <v>1</v>
      </c>
      <c r="F66" s="2" t="s">
        <v>24</v>
      </c>
      <c r="G66" s="11"/>
    </row>
    <row r="67" spans="1:7" ht="17" x14ac:dyDescent="0.2">
      <c r="A67" s="2" t="str">
        <f>IF(ISNA(VLOOKUP(B67,AssociatedElements!B$2:B3005,1,FALSE)),"Not used","")</f>
        <v/>
      </c>
      <c r="B67" s="16" t="s">
        <v>429</v>
      </c>
      <c r="C67" s="17" t="s">
        <v>430</v>
      </c>
      <c r="D67" s="17" t="s">
        <v>431</v>
      </c>
      <c r="E67" s="19" t="s">
        <v>180</v>
      </c>
      <c r="F67" s="2" t="s">
        <v>220</v>
      </c>
      <c r="G67" s="11"/>
    </row>
    <row r="68" spans="1:7" ht="17" x14ac:dyDescent="0.2">
      <c r="A68" s="2" t="str">
        <f>IF(ISNA(VLOOKUP(B68,AssociatedElements!B$2:B3006,1,FALSE)),"Not used","")</f>
        <v/>
      </c>
      <c r="B68" s="16" t="s">
        <v>432</v>
      </c>
      <c r="C68" s="17" t="s">
        <v>433</v>
      </c>
      <c r="D68" s="17" t="s">
        <v>434</v>
      </c>
      <c r="E68" s="19" t="s">
        <v>4</v>
      </c>
      <c r="F68" s="2" t="s">
        <v>220</v>
      </c>
      <c r="G68" s="11"/>
    </row>
    <row r="69" spans="1:7" ht="17" x14ac:dyDescent="0.2">
      <c r="A69" s="2" t="str">
        <f>IF(ISNA(VLOOKUP(B69,AssociatedElements!B$2:B3007,1,FALSE)),"Not used","")</f>
        <v/>
      </c>
      <c r="B69" s="16" t="s">
        <v>435</v>
      </c>
      <c r="C69" s="17" t="s">
        <v>436</v>
      </c>
      <c r="D69" s="17" t="s">
        <v>437</v>
      </c>
      <c r="E69" s="19" t="s">
        <v>4</v>
      </c>
      <c r="F69" s="2" t="s">
        <v>220</v>
      </c>
      <c r="G69" s="11"/>
    </row>
    <row r="70" spans="1:7" ht="17" x14ac:dyDescent="0.2">
      <c r="A70" s="2" t="str">
        <f>IF(ISNA(VLOOKUP(B70,AssociatedElements!B$2:B3008,1,FALSE)),"Not used","")</f>
        <v/>
      </c>
      <c r="B70" s="16" t="s">
        <v>438</v>
      </c>
      <c r="C70" s="18" t="s">
        <v>439</v>
      </c>
      <c r="D70" s="18" t="s">
        <v>440</v>
      </c>
      <c r="E70" s="19" t="s">
        <v>1</v>
      </c>
      <c r="F70" s="2" t="s">
        <v>25</v>
      </c>
      <c r="G70" s="11"/>
    </row>
  </sheetData>
  <pageMargins left="0.7" right="0.7" top="0.75" bottom="0.75" header="0.3" footer="0.3"/>
  <pageSetup orientation="portrait" r:id="rId1"/>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2B7FD0CC-5EF0-B345-B974-77575C95892D}">
          <x14:formula1>
            <xm:f>Lists!$C$2:$C$298</xm:f>
          </x14:formula1>
          <xm:sqref>F1:F1048576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D136"/>
  <sheetViews>
    <sheetView zoomScale="120" zoomScaleNormal="120" workbookViewId="0">
      <pane ySplit="1" topLeftCell="A2" activePane="bottomLeft" state="frozen"/>
      <selection pane="bottomLeft" activeCell="D123" sqref="D123"/>
    </sheetView>
  </sheetViews>
  <sheetFormatPr baseColWidth="10" defaultColWidth="10.83203125" defaultRowHeight="16" x14ac:dyDescent="0.2"/>
  <cols>
    <col min="1" max="1" width="6.83203125" customWidth="1"/>
    <col min="2" max="2" width="31.6640625" customWidth="1"/>
    <col min="3" max="3" width="86.1640625" style="3" customWidth="1"/>
    <col min="4" max="4" width="93" customWidth="1"/>
  </cols>
  <sheetData>
    <row r="1" spans="1:4" s="6" customFormat="1" x14ac:dyDescent="0.2">
      <c r="A1" s="4" t="s">
        <v>13</v>
      </c>
      <c r="B1" s="4" t="s">
        <v>226</v>
      </c>
      <c r="C1" s="5" t="s">
        <v>224</v>
      </c>
      <c r="D1" s="6" t="s">
        <v>225</v>
      </c>
    </row>
    <row r="2" spans="1:4" x14ac:dyDescent="0.2">
      <c r="A2" t="str">
        <f>IF(ISNA(VLOOKUP(B2,Definitions!B$2:B$1880,1,FALSE)),"Not listed","")</f>
        <v/>
      </c>
      <c r="B2" t="s">
        <v>244</v>
      </c>
      <c r="C2" s="3" t="s">
        <v>442</v>
      </c>
      <c r="D2" t="s">
        <v>444</v>
      </c>
    </row>
    <row r="3" spans="1:4" x14ac:dyDescent="0.2">
      <c r="A3" t="str">
        <f>IF(ISNA(VLOOKUP(B3,Definitions!B$2:B$1880,1,FALSE)),"Not listed","")</f>
        <v/>
      </c>
      <c r="B3" t="s">
        <v>247</v>
      </c>
      <c r="C3" s="3" t="s">
        <v>442</v>
      </c>
      <c r="D3" t="s">
        <v>444</v>
      </c>
    </row>
    <row r="4" spans="1:4" x14ac:dyDescent="0.2">
      <c r="A4" t="str">
        <f>IF(ISNA(VLOOKUP(B4,Definitions!B$2:B$1880,1,FALSE)),"Not listed","")</f>
        <v/>
      </c>
      <c r="B4" t="s">
        <v>250</v>
      </c>
      <c r="C4" s="3" t="s">
        <v>442</v>
      </c>
      <c r="D4" t="s">
        <v>444</v>
      </c>
    </row>
    <row r="5" spans="1:4" x14ac:dyDescent="0.2">
      <c r="A5" t="str">
        <f>IF(ISNA(VLOOKUP(B5,Definitions!B$2:B$1880,1,FALSE)),"Not listed","")</f>
        <v/>
      </c>
      <c r="B5" t="s">
        <v>255</v>
      </c>
      <c r="C5" s="3" t="s">
        <v>442</v>
      </c>
      <c r="D5" t="s">
        <v>444</v>
      </c>
    </row>
    <row r="6" spans="1:4" x14ac:dyDescent="0.2">
      <c r="A6" t="str">
        <f>IF(ISNA(VLOOKUP(B6,Definitions!B$2:B$1880,1,FALSE)),"Not listed","")</f>
        <v/>
      </c>
      <c r="B6" t="s">
        <v>258</v>
      </c>
      <c r="C6" s="3" t="s">
        <v>442</v>
      </c>
      <c r="D6" t="s">
        <v>444</v>
      </c>
    </row>
    <row r="7" spans="1:4" x14ac:dyDescent="0.2">
      <c r="A7" t="str">
        <f>IF(ISNA(VLOOKUP(B7,Definitions!B$2:B$1880,1,FALSE)),"Not listed","")</f>
        <v/>
      </c>
      <c r="B7" t="s">
        <v>278</v>
      </c>
      <c r="C7" s="3" t="s">
        <v>442</v>
      </c>
      <c r="D7" t="s">
        <v>444</v>
      </c>
    </row>
    <row r="8" spans="1:4" x14ac:dyDescent="0.2">
      <c r="A8" t="str">
        <f>IF(ISNA(VLOOKUP(B8,Definitions!B$2:B$1880,1,FALSE)),"Not listed","")</f>
        <v/>
      </c>
      <c r="B8" t="s">
        <v>281</v>
      </c>
      <c r="C8" s="3" t="s">
        <v>442</v>
      </c>
      <c r="D8" t="s">
        <v>444</v>
      </c>
    </row>
    <row r="9" spans="1:4" x14ac:dyDescent="0.2">
      <c r="A9" t="str">
        <f>IF(ISNA(VLOOKUP(B9,Definitions!B$2:B$1880,1,FALSE)),"Not listed","")</f>
        <v/>
      </c>
      <c r="B9" t="s">
        <v>321</v>
      </c>
      <c r="C9" s="3" t="s">
        <v>442</v>
      </c>
      <c r="D9" t="s">
        <v>444</v>
      </c>
    </row>
    <row r="10" spans="1:4" x14ac:dyDescent="0.2">
      <c r="A10" t="str">
        <f>IF(ISNA(VLOOKUP(B10,Definitions!B$2:B$1880,1,FALSE)),"Not listed","")</f>
        <v/>
      </c>
      <c r="B10" t="s">
        <v>339</v>
      </c>
      <c r="C10" s="3" t="s">
        <v>442</v>
      </c>
      <c r="D10" t="s">
        <v>444</v>
      </c>
    </row>
    <row r="11" spans="1:4" x14ac:dyDescent="0.2">
      <c r="A11" t="str">
        <f>IF(ISNA(VLOOKUP(B11,Definitions!B$2:B$1880,1,FALSE)),"Not listed","")</f>
        <v/>
      </c>
      <c r="B11" t="s">
        <v>342</v>
      </c>
      <c r="C11" s="3" t="s">
        <v>442</v>
      </c>
      <c r="D11" t="s">
        <v>444</v>
      </c>
    </row>
    <row r="12" spans="1:4" x14ac:dyDescent="0.2">
      <c r="A12" t="str">
        <f>IF(ISNA(VLOOKUP(B12,Definitions!B$2:B$1880,1,FALSE)),"Not listed","")</f>
        <v/>
      </c>
      <c r="B12" t="s">
        <v>375</v>
      </c>
      <c r="C12" s="3" t="s">
        <v>442</v>
      </c>
      <c r="D12" t="s">
        <v>444</v>
      </c>
    </row>
    <row r="13" spans="1:4" x14ac:dyDescent="0.2">
      <c r="A13" t="str">
        <f>IF(ISNA(VLOOKUP(B13,Definitions!B$2:B$1880,1,FALSE)),"Not listed","")</f>
        <v/>
      </c>
      <c r="B13" t="s">
        <v>378</v>
      </c>
      <c r="C13" s="3" t="s">
        <v>442</v>
      </c>
      <c r="D13" t="s">
        <v>444</v>
      </c>
    </row>
    <row r="14" spans="1:4" x14ac:dyDescent="0.2">
      <c r="A14" t="str">
        <f>IF(ISNA(VLOOKUP(B14,Definitions!B$2:B$1880,1,FALSE)),"Not listed","")</f>
        <v/>
      </c>
      <c r="B14" t="s">
        <v>384</v>
      </c>
      <c r="C14" s="3" t="s">
        <v>442</v>
      </c>
      <c r="D14" t="s">
        <v>444</v>
      </c>
    </row>
    <row r="15" spans="1:4" x14ac:dyDescent="0.2">
      <c r="A15" t="str">
        <f>IF(ISNA(VLOOKUP(B15,Definitions!B$2:B$1880,1,FALSE)),"Not listed","")</f>
        <v/>
      </c>
      <c r="B15" t="s">
        <v>387</v>
      </c>
      <c r="C15" s="3" t="s">
        <v>442</v>
      </c>
      <c r="D15" t="s">
        <v>444</v>
      </c>
    </row>
    <row r="16" spans="1:4" x14ac:dyDescent="0.2">
      <c r="A16" t="str">
        <f>IF(ISNA(VLOOKUP(B16,Definitions!B$2:B$1880,1,FALSE)),"Not listed","")</f>
        <v/>
      </c>
      <c r="B16" t="s">
        <v>390</v>
      </c>
      <c r="C16" s="3" t="s">
        <v>442</v>
      </c>
      <c r="D16" t="s">
        <v>444</v>
      </c>
    </row>
    <row r="17" spans="1:4" x14ac:dyDescent="0.2">
      <c r="A17" t="str">
        <f>IF(ISNA(VLOOKUP(B17,Definitions!B$2:B$1880,1,FALSE)),"Not listed","")</f>
        <v/>
      </c>
      <c r="B17" t="s">
        <v>393</v>
      </c>
      <c r="C17" s="3" t="s">
        <v>442</v>
      </c>
      <c r="D17" t="s">
        <v>444</v>
      </c>
    </row>
    <row r="18" spans="1:4" x14ac:dyDescent="0.2">
      <c r="A18" t="str">
        <f>IF(ISNA(VLOOKUP(B18,Definitions!B$2:B$1880,1,FALSE)),"Not listed","")</f>
        <v/>
      </c>
      <c r="B18" t="s">
        <v>408</v>
      </c>
      <c r="C18" s="3" t="s">
        <v>442</v>
      </c>
      <c r="D18" t="s">
        <v>444</v>
      </c>
    </row>
    <row r="19" spans="1:4" x14ac:dyDescent="0.2">
      <c r="A19" t="str">
        <f>IF(ISNA(VLOOKUP(B19,Definitions!B$2:B$1880,1,FALSE)),"Not listed","")</f>
        <v/>
      </c>
      <c r="B19" t="s">
        <v>411</v>
      </c>
      <c r="C19" s="3" t="s">
        <v>442</v>
      </c>
      <c r="D19" t="s">
        <v>444</v>
      </c>
    </row>
    <row r="20" spans="1:4" x14ac:dyDescent="0.2">
      <c r="A20" t="str">
        <f>IF(ISNA(VLOOKUP(B20,Definitions!B$2:B$1880,1,FALSE)),"Not listed","")</f>
        <v/>
      </c>
      <c r="B20" t="s">
        <v>423</v>
      </c>
      <c r="C20" s="3" t="s">
        <v>442</v>
      </c>
      <c r="D20" t="s">
        <v>444</v>
      </c>
    </row>
    <row r="21" spans="1:4" x14ac:dyDescent="0.2">
      <c r="A21" t="str">
        <f>IF(ISNA(VLOOKUP(B21,Definitions!B$2:B$1880,1,FALSE)),"Not listed","")</f>
        <v/>
      </c>
      <c r="B21" t="s">
        <v>426</v>
      </c>
      <c r="C21" s="3" t="s">
        <v>442</v>
      </c>
      <c r="D21" t="s">
        <v>446</v>
      </c>
    </row>
    <row r="22" spans="1:4" x14ac:dyDescent="0.2">
      <c r="A22" t="str">
        <f>IF(ISNA(VLOOKUP(B22,Definitions!B$2:B$1880,1,FALSE)),"Not listed","")</f>
        <v/>
      </c>
      <c r="B22" t="s">
        <v>429</v>
      </c>
      <c r="C22" s="3" t="s">
        <v>442</v>
      </c>
      <c r="D22" t="s">
        <v>446</v>
      </c>
    </row>
    <row r="23" spans="1:4" x14ac:dyDescent="0.2">
      <c r="A23" t="str">
        <f>IF(ISNA(VLOOKUP(B23,Definitions!B$2:B$1880,1,FALSE)),"Not listed","")</f>
        <v/>
      </c>
      <c r="B23" t="s">
        <v>432</v>
      </c>
      <c r="C23" s="3" t="s">
        <v>442</v>
      </c>
      <c r="D23" t="s">
        <v>446</v>
      </c>
    </row>
    <row r="24" spans="1:4" x14ac:dyDescent="0.2">
      <c r="A24" t="str">
        <f>IF(ISNA(VLOOKUP(B24,Definitions!B$2:B$1880,1,FALSE)),"Not listed","")</f>
        <v/>
      </c>
      <c r="B24" t="s">
        <v>435</v>
      </c>
      <c r="C24" s="3" t="s">
        <v>442</v>
      </c>
      <c r="D24" t="s">
        <v>446</v>
      </c>
    </row>
    <row r="25" spans="1:4" x14ac:dyDescent="0.2">
      <c r="A25" t="str">
        <f>IF(ISNA(VLOOKUP(B25,Definitions!B$2:B$1880,1,FALSE)),"Not listed","")</f>
        <v/>
      </c>
      <c r="B25" t="s">
        <v>438</v>
      </c>
      <c r="C25" s="3" t="s">
        <v>442</v>
      </c>
      <c r="D25" t="s">
        <v>446</v>
      </c>
    </row>
    <row r="26" spans="1:4" x14ac:dyDescent="0.2">
      <c r="A26" t="str">
        <f>IF(ISNA(VLOOKUP(B26,Definitions!B$2:B$1880,1,FALSE)),"Not listed","")</f>
        <v/>
      </c>
      <c r="B26" t="s">
        <v>348</v>
      </c>
      <c r="C26" s="3" t="s">
        <v>442</v>
      </c>
      <c r="D26" t="s">
        <v>447</v>
      </c>
    </row>
    <row r="27" spans="1:4" x14ac:dyDescent="0.2">
      <c r="A27" t="str">
        <f>IF(ISNA(VLOOKUP(B27,Definitions!B$2:B$1880,1,FALSE)),"Not listed","")</f>
        <v/>
      </c>
      <c r="B27" t="s">
        <v>378</v>
      </c>
      <c r="C27" s="3" t="s">
        <v>442</v>
      </c>
      <c r="D27" t="s">
        <v>447</v>
      </c>
    </row>
    <row r="28" spans="1:4" x14ac:dyDescent="0.2">
      <c r="A28" t="str">
        <f>IF(ISNA(VLOOKUP(B28,Definitions!B$2:B$1880,1,FALSE)),"Not listed","")</f>
        <v/>
      </c>
      <c r="B28" t="s">
        <v>381</v>
      </c>
      <c r="C28" s="3" t="s">
        <v>442</v>
      </c>
      <c r="D28" t="s">
        <v>447</v>
      </c>
    </row>
    <row r="29" spans="1:4" x14ac:dyDescent="0.2">
      <c r="A29" t="str">
        <f>IF(ISNA(VLOOKUP(B29,Definitions!B$2:B$1880,1,FALSE)),"Not listed","")</f>
        <v/>
      </c>
      <c r="B29" t="s">
        <v>258</v>
      </c>
      <c r="C29" s="3" t="s">
        <v>442</v>
      </c>
      <c r="D29" t="s">
        <v>448</v>
      </c>
    </row>
    <row r="30" spans="1:4" x14ac:dyDescent="0.2">
      <c r="A30" t="str">
        <f>IF(ISNA(VLOOKUP(B30,Definitions!B$2:B$1880,1,FALSE)),"Not listed","")</f>
        <v/>
      </c>
      <c r="B30" t="s">
        <v>294</v>
      </c>
      <c r="C30" s="3" t="s">
        <v>442</v>
      </c>
      <c r="D30" t="s">
        <v>448</v>
      </c>
    </row>
    <row r="31" spans="1:4" x14ac:dyDescent="0.2">
      <c r="A31" t="str">
        <f>IF(ISNA(VLOOKUP(B31,Definitions!B$2:B$1880,1,FALSE)),"Not listed","")</f>
        <v/>
      </c>
      <c r="B31" t="s">
        <v>297</v>
      </c>
      <c r="C31" s="3" t="s">
        <v>442</v>
      </c>
      <c r="D31" t="s">
        <v>448</v>
      </c>
    </row>
    <row r="32" spans="1:4" x14ac:dyDescent="0.2">
      <c r="A32" t="str">
        <f>IF(ISNA(VLOOKUP(B32,Definitions!B$2:B$1880,1,FALSE)),"Not listed","")</f>
        <v/>
      </c>
      <c r="B32" t="s">
        <v>363</v>
      </c>
      <c r="C32" s="3" t="s">
        <v>442</v>
      </c>
      <c r="D32" t="s">
        <v>448</v>
      </c>
    </row>
    <row r="33" spans="1:4" x14ac:dyDescent="0.2">
      <c r="A33" t="str">
        <f>IF(ISNA(VLOOKUP(B33,Definitions!B$2:B$1880,1,FALSE)),"Not listed","")</f>
        <v/>
      </c>
      <c r="B33" t="s">
        <v>366</v>
      </c>
      <c r="C33" s="3" t="s">
        <v>442</v>
      </c>
      <c r="D33" t="s">
        <v>448</v>
      </c>
    </row>
    <row r="34" spans="1:4" x14ac:dyDescent="0.2">
      <c r="A34" t="str">
        <f>IF(ISNA(VLOOKUP(B34,Definitions!B$2:B$1880,1,FALSE)),"Not listed","")</f>
        <v/>
      </c>
      <c r="B34" t="s">
        <v>378</v>
      </c>
      <c r="C34" s="3" t="s">
        <v>442</v>
      </c>
      <c r="D34" t="s">
        <v>448</v>
      </c>
    </row>
    <row r="35" spans="1:4" x14ac:dyDescent="0.2">
      <c r="A35" t="str">
        <f>IF(ISNA(VLOOKUP(B35,Definitions!B$2:B$1880,1,FALSE)),"Not listed","")</f>
        <v/>
      </c>
      <c r="B35" t="s">
        <v>238</v>
      </c>
      <c r="C35" s="3" t="s">
        <v>442</v>
      </c>
      <c r="D35" t="s">
        <v>449</v>
      </c>
    </row>
    <row r="36" spans="1:4" x14ac:dyDescent="0.2">
      <c r="A36" t="str">
        <f>IF(ISNA(VLOOKUP(B36,Definitions!B$2:B$1880,1,FALSE)),"Not listed","")</f>
        <v/>
      </c>
      <c r="B36" t="s">
        <v>241</v>
      </c>
      <c r="C36" s="3" t="s">
        <v>442</v>
      </c>
      <c r="D36" t="s">
        <v>449</v>
      </c>
    </row>
    <row r="37" spans="1:4" x14ac:dyDescent="0.2">
      <c r="A37" t="str">
        <f>IF(ISNA(VLOOKUP(B37,Definitions!B$2:B$1880,1,FALSE)),"Not listed","")</f>
        <v/>
      </c>
      <c r="B37" t="s">
        <v>250</v>
      </c>
      <c r="C37" s="3" t="s">
        <v>442</v>
      </c>
      <c r="D37" t="s">
        <v>449</v>
      </c>
    </row>
    <row r="38" spans="1:4" x14ac:dyDescent="0.2">
      <c r="A38" t="str">
        <f>IF(ISNA(VLOOKUP(B38,Definitions!B$2:B$1880,1,FALSE)),"Not listed","")</f>
        <v/>
      </c>
      <c r="B38" t="s">
        <v>285</v>
      </c>
      <c r="C38" s="3" t="s">
        <v>442</v>
      </c>
      <c r="D38" t="s">
        <v>449</v>
      </c>
    </row>
    <row r="39" spans="1:4" x14ac:dyDescent="0.2">
      <c r="A39" t="str">
        <f>IF(ISNA(VLOOKUP(B39,Definitions!B$2:B$1880,1,FALSE)),"Not listed","")</f>
        <v/>
      </c>
      <c r="B39" t="s">
        <v>288</v>
      </c>
      <c r="C39" s="3" t="s">
        <v>442</v>
      </c>
      <c r="D39" t="s">
        <v>449</v>
      </c>
    </row>
    <row r="40" spans="1:4" x14ac:dyDescent="0.2">
      <c r="A40" t="str">
        <f>IF(ISNA(VLOOKUP(B40,Definitions!B$2:B$1880,1,FALSE)),"Not listed","")</f>
        <v/>
      </c>
      <c r="B40" t="s">
        <v>291</v>
      </c>
      <c r="C40" s="3" t="s">
        <v>442</v>
      </c>
      <c r="D40" t="s">
        <v>449</v>
      </c>
    </row>
    <row r="41" spans="1:4" x14ac:dyDescent="0.2">
      <c r="A41" t="str">
        <f>IF(ISNA(VLOOKUP(B41,Definitions!B$2:B$1880,1,FALSE)),"Not listed","")</f>
        <v/>
      </c>
      <c r="B41" t="s">
        <v>258</v>
      </c>
      <c r="C41" s="3" t="s">
        <v>442</v>
      </c>
      <c r="D41" t="s">
        <v>450</v>
      </c>
    </row>
    <row r="42" spans="1:4" x14ac:dyDescent="0.2">
      <c r="A42" t="str">
        <f>IF(ISNA(VLOOKUP(B42,Definitions!B$2:B$1880,1,FALSE)),"Not listed","")</f>
        <v/>
      </c>
      <c r="B42" t="s">
        <v>261</v>
      </c>
      <c r="C42" s="3" t="s">
        <v>442</v>
      </c>
      <c r="D42" t="s">
        <v>450</v>
      </c>
    </row>
    <row r="43" spans="1:4" x14ac:dyDescent="0.2">
      <c r="A43" t="str">
        <f>IF(ISNA(VLOOKUP(B43,Definitions!B$2:B$1880,1,FALSE)),"Not listed","")</f>
        <v/>
      </c>
      <c r="B43" t="s">
        <v>264</v>
      </c>
      <c r="C43" s="3" t="s">
        <v>442</v>
      </c>
      <c r="D43" t="s">
        <v>450</v>
      </c>
    </row>
    <row r="44" spans="1:4" x14ac:dyDescent="0.2">
      <c r="A44" t="str">
        <f>IF(ISNA(VLOOKUP(B44,Definitions!B$2:B$1880,1,FALSE)),"Not listed","")</f>
        <v/>
      </c>
      <c r="B44" t="s">
        <v>275</v>
      </c>
      <c r="C44" s="3" t="s">
        <v>442</v>
      </c>
      <c r="D44" t="s">
        <v>450</v>
      </c>
    </row>
    <row r="45" spans="1:4" x14ac:dyDescent="0.2">
      <c r="A45" t="str">
        <f>IF(ISNA(VLOOKUP(B45,Definitions!B$2:B$1880,1,FALSE)),"Not listed","")</f>
        <v/>
      </c>
      <c r="B45" t="s">
        <v>42</v>
      </c>
      <c r="C45" s="3" t="s">
        <v>442</v>
      </c>
      <c r="D45" t="s">
        <v>451</v>
      </c>
    </row>
    <row r="46" spans="1:4" x14ac:dyDescent="0.2">
      <c r="A46" t="str">
        <f>IF(ISNA(VLOOKUP(B46,Definitions!B$2:B$1880,1,FALSE)),"Not listed","")</f>
        <v/>
      </c>
      <c r="B46" t="s">
        <v>381</v>
      </c>
      <c r="C46" s="3" t="s">
        <v>442</v>
      </c>
      <c r="D46" t="s">
        <v>451</v>
      </c>
    </row>
    <row r="47" spans="1:4" x14ac:dyDescent="0.2">
      <c r="A47" t="str">
        <f>IF(ISNA(VLOOKUP(B47,Definitions!B$2:B$1880,1,FALSE)),"Not listed","")</f>
        <v/>
      </c>
      <c r="B47" t="s">
        <v>266</v>
      </c>
      <c r="C47" s="3" t="s">
        <v>442</v>
      </c>
      <c r="D47" t="s">
        <v>452</v>
      </c>
    </row>
    <row r="48" spans="1:4" x14ac:dyDescent="0.2">
      <c r="A48" t="str">
        <f>IF(ISNA(VLOOKUP(B48,Definitions!B$2:B$1880,1,FALSE)),"Not listed","")</f>
        <v/>
      </c>
      <c r="B48" t="s">
        <v>269</v>
      </c>
      <c r="C48" s="3" t="s">
        <v>442</v>
      </c>
      <c r="D48" t="s">
        <v>452</v>
      </c>
    </row>
    <row r="49" spans="1:4" x14ac:dyDescent="0.2">
      <c r="A49" t="str">
        <f>IF(ISNA(VLOOKUP(B49,Definitions!B$2:B$1880,1,FALSE)),"Not listed","")</f>
        <v/>
      </c>
      <c r="B49" t="s">
        <v>312</v>
      </c>
      <c r="C49" s="3" t="s">
        <v>442</v>
      </c>
      <c r="D49" t="s">
        <v>452</v>
      </c>
    </row>
    <row r="50" spans="1:4" x14ac:dyDescent="0.2">
      <c r="A50" t="str">
        <f>IF(ISNA(VLOOKUP(B50,Definitions!B$2:B$1880,1,FALSE)),"Not listed","")</f>
        <v/>
      </c>
      <c r="B50" t="s">
        <v>315</v>
      </c>
      <c r="C50" s="3" t="s">
        <v>442</v>
      </c>
      <c r="D50" t="s">
        <v>452</v>
      </c>
    </row>
    <row r="51" spans="1:4" x14ac:dyDescent="0.2">
      <c r="A51" t="str">
        <f>IF(ISNA(VLOOKUP(B51,Definitions!B$2:B$1880,1,FALSE)),"Not listed","")</f>
        <v/>
      </c>
      <c r="B51" t="s">
        <v>318</v>
      </c>
      <c r="C51" s="3" t="s">
        <v>442</v>
      </c>
      <c r="D51" t="s">
        <v>452</v>
      </c>
    </row>
    <row r="52" spans="1:4" x14ac:dyDescent="0.2">
      <c r="A52" t="str">
        <f>IF(ISNA(VLOOKUP(B52,Definitions!B$2:B$1880,1,FALSE)),"Not listed","")</f>
        <v/>
      </c>
      <c r="B52" t="s">
        <v>378</v>
      </c>
      <c r="C52" s="3" t="s">
        <v>442</v>
      </c>
      <c r="D52" t="s">
        <v>452</v>
      </c>
    </row>
    <row r="53" spans="1:4" x14ac:dyDescent="0.2">
      <c r="A53" t="str">
        <f>IF(ISNA(VLOOKUP(B53,Definitions!B$2:B$1880,1,FALSE)),"Not listed","")</f>
        <v/>
      </c>
      <c r="B53" t="s">
        <v>381</v>
      </c>
      <c r="C53" s="3" t="s">
        <v>442</v>
      </c>
      <c r="D53" t="s">
        <v>452</v>
      </c>
    </row>
    <row r="54" spans="1:4" x14ac:dyDescent="0.2">
      <c r="A54" t="str">
        <f>IF(ISNA(VLOOKUP(B54,Definitions!B$2:B$1880,1,FALSE)),"Not listed","")</f>
        <v/>
      </c>
      <c r="B54" t="s">
        <v>414</v>
      </c>
      <c r="C54" s="3" t="s">
        <v>442</v>
      </c>
      <c r="D54" t="s">
        <v>452</v>
      </c>
    </row>
    <row r="55" spans="1:4" x14ac:dyDescent="0.2">
      <c r="A55" t="str">
        <f>IF(ISNA(VLOOKUP(B55,Definitions!B$2:B$1880,1,FALSE)),"Not listed","")</f>
        <v/>
      </c>
      <c r="B55" t="s">
        <v>417</v>
      </c>
      <c r="C55" s="3" t="s">
        <v>442</v>
      </c>
      <c r="D55" t="s">
        <v>452</v>
      </c>
    </row>
    <row r="56" spans="1:4" x14ac:dyDescent="0.2">
      <c r="A56" t="str">
        <f>IF(ISNA(VLOOKUP(B56,Definitions!B$2:B$1880,1,FALSE)),"Not listed","")</f>
        <v/>
      </c>
      <c r="B56" t="s">
        <v>420</v>
      </c>
      <c r="C56" s="3" t="s">
        <v>442</v>
      </c>
      <c r="D56" t="s">
        <v>452</v>
      </c>
    </row>
    <row r="57" spans="1:4" x14ac:dyDescent="0.2">
      <c r="A57" t="str">
        <f>IF(ISNA(VLOOKUP(B57,Definitions!B$2:B$1880,1,FALSE)),"Not listed","")</f>
        <v/>
      </c>
      <c r="B57" t="s">
        <v>306</v>
      </c>
      <c r="C57" s="3" t="s">
        <v>442</v>
      </c>
      <c r="D57" t="s">
        <v>453</v>
      </c>
    </row>
    <row r="58" spans="1:4" x14ac:dyDescent="0.2">
      <c r="A58" t="str">
        <f>IF(ISNA(VLOOKUP(B58,Definitions!B$2:B$1880,1,FALSE)),"Not listed","")</f>
        <v/>
      </c>
      <c r="B58" t="s">
        <v>309</v>
      </c>
      <c r="C58" s="3" t="s">
        <v>442</v>
      </c>
      <c r="D58" t="s">
        <v>453</v>
      </c>
    </row>
    <row r="59" spans="1:4" x14ac:dyDescent="0.2">
      <c r="A59" t="str">
        <f>IF(ISNA(VLOOKUP(B59,Definitions!B$2:B$1880,1,FALSE)),"Not listed","")</f>
        <v/>
      </c>
      <c r="B59" t="s">
        <v>312</v>
      </c>
      <c r="C59" s="3" t="s">
        <v>442</v>
      </c>
      <c r="D59" t="s">
        <v>453</v>
      </c>
    </row>
    <row r="60" spans="1:4" x14ac:dyDescent="0.2">
      <c r="A60" t="str">
        <f>IF(ISNA(VLOOKUP(B60,Definitions!B$2:B$1880,1,FALSE)),"Not listed","")</f>
        <v/>
      </c>
      <c r="B60" t="s">
        <v>315</v>
      </c>
      <c r="C60" s="3" t="s">
        <v>442</v>
      </c>
      <c r="D60" t="s">
        <v>453</v>
      </c>
    </row>
    <row r="61" spans="1:4" x14ac:dyDescent="0.2">
      <c r="A61" t="str">
        <f>IF(ISNA(VLOOKUP(B61,Definitions!B$2:B$1880,1,FALSE)),"Not listed","")</f>
        <v/>
      </c>
      <c r="B61" t="s">
        <v>318</v>
      </c>
      <c r="C61" s="3" t="s">
        <v>442</v>
      </c>
      <c r="D61" t="s">
        <v>453</v>
      </c>
    </row>
    <row r="62" spans="1:4" x14ac:dyDescent="0.2">
      <c r="A62" t="str">
        <f>IF(ISNA(VLOOKUP(B62,Definitions!B$2:B$1880,1,FALSE)),"Not listed","")</f>
        <v/>
      </c>
      <c r="B62" t="s">
        <v>321</v>
      </c>
      <c r="C62" s="3" t="s">
        <v>442</v>
      </c>
      <c r="D62" t="s">
        <v>453</v>
      </c>
    </row>
    <row r="63" spans="1:4" x14ac:dyDescent="0.2">
      <c r="A63" t="str">
        <f>IF(ISNA(VLOOKUP(B63,Definitions!B$2:B$1880,1,FALSE)),"Not listed","")</f>
        <v/>
      </c>
      <c r="B63" t="s">
        <v>244</v>
      </c>
      <c r="C63" s="3" t="s">
        <v>442</v>
      </c>
      <c r="D63" t="s">
        <v>454</v>
      </c>
    </row>
    <row r="64" spans="1:4" x14ac:dyDescent="0.2">
      <c r="A64" t="str">
        <f>IF(ISNA(VLOOKUP(B64,Definitions!B$2:B$1880,1,FALSE)),"Not listed","")</f>
        <v/>
      </c>
      <c r="B64" t="s">
        <v>324</v>
      </c>
      <c r="C64" s="3" t="s">
        <v>442</v>
      </c>
      <c r="D64" t="s">
        <v>454</v>
      </c>
    </row>
    <row r="65" spans="1:4" x14ac:dyDescent="0.2">
      <c r="A65" t="str">
        <f>IF(ISNA(VLOOKUP(B65,Definitions!B$2:B$1880,1,FALSE)),"Not listed","")</f>
        <v/>
      </c>
      <c r="B65" t="s">
        <v>327</v>
      </c>
      <c r="C65" s="3" t="s">
        <v>442</v>
      </c>
      <c r="D65" t="s">
        <v>454</v>
      </c>
    </row>
    <row r="66" spans="1:4" x14ac:dyDescent="0.2">
      <c r="A66" t="str">
        <f>IF(ISNA(VLOOKUP(B66,Definitions!B$2:B$1880,1,FALSE)),"Not listed","")</f>
        <v/>
      </c>
      <c r="B66" t="s">
        <v>339</v>
      </c>
      <c r="C66" s="3" t="s">
        <v>442</v>
      </c>
      <c r="D66" t="s">
        <v>454</v>
      </c>
    </row>
    <row r="67" spans="1:4" x14ac:dyDescent="0.2">
      <c r="A67" t="str">
        <f>IF(ISNA(VLOOKUP(B67,Definitions!B$2:B$1880,1,FALSE)),"Not listed","")</f>
        <v/>
      </c>
      <c r="B67" t="s">
        <v>342</v>
      </c>
      <c r="C67" s="3" t="s">
        <v>442</v>
      </c>
      <c r="D67" t="s">
        <v>454</v>
      </c>
    </row>
    <row r="68" spans="1:4" x14ac:dyDescent="0.2">
      <c r="A68" t="str">
        <f>IF(ISNA(VLOOKUP(B68,Definitions!B$2:B$1880,1,FALSE)),"Not listed","")</f>
        <v/>
      </c>
      <c r="B68" t="s">
        <v>387</v>
      </c>
      <c r="C68" s="3" t="s">
        <v>442</v>
      </c>
      <c r="D68" t="s">
        <v>454</v>
      </c>
    </row>
    <row r="69" spans="1:4" x14ac:dyDescent="0.2">
      <c r="A69" t="str">
        <f>IF(ISNA(VLOOKUP(B69,Definitions!B$2:B$1880,1,FALSE)),"Not listed","")</f>
        <v/>
      </c>
      <c r="B69" t="s">
        <v>244</v>
      </c>
      <c r="C69" s="3" t="s">
        <v>442</v>
      </c>
      <c r="D69" t="s">
        <v>455</v>
      </c>
    </row>
    <row r="70" spans="1:4" x14ac:dyDescent="0.2">
      <c r="A70" t="str">
        <f>IF(ISNA(VLOOKUP(B70,Definitions!B$2:B$1880,1,FALSE)),"Not listed","")</f>
        <v/>
      </c>
      <c r="B70" t="s">
        <v>324</v>
      </c>
      <c r="C70" s="3" t="s">
        <v>442</v>
      </c>
      <c r="D70" t="s">
        <v>455</v>
      </c>
    </row>
    <row r="71" spans="1:4" x14ac:dyDescent="0.2">
      <c r="A71" t="str">
        <f>IF(ISNA(VLOOKUP(B71,Definitions!B$2:B$1880,1,FALSE)),"Not listed","")</f>
        <v/>
      </c>
      <c r="B71" t="s">
        <v>327</v>
      </c>
      <c r="C71" s="3" t="s">
        <v>442</v>
      </c>
      <c r="D71" t="s">
        <v>455</v>
      </c>
    </row>
    <row r="72" spans="1:4" x14ac:dyDescent="0.2">
      <c r="A72" t="str">
        <f>IF(ISNA(VLOOKUP(B72,Definitions!B$2:B$1880,1,FALSE)),"Not listed","")</f>
        <v/>
      </c>
      <c r="B72" t="s">
        <v>339</v>
      </c>
      <c r="C72" s="3" t="s">
        <v>442</v>
      </c>
      <c r="D72" t="s">
        <v>455</v>
      </c>
    </row>
    <row r="73" spans="1:4" x14ac:dyDescent="0.2">
      <c r="A73" t="str">
        <f>IF(ISNA(VLOOKUP(B73,Definitions!B$2:B$1880,1,FALSE)),"Not listed","")</f>
        <v/>
      </c>
      <c r="B73" t="s">
        <v>342</v>
      </c>
      <c r="C73" s="3" t="s">
        <v>442</v>
      </c>
      <c r="D73" t="s">
        <v>455</v>
      </c>
    </row>
    <row r="74" spans="1:4" x14ac:dyDescent="0.2">
      <c r="A74" t="str">
        <f>IF(ISNA(VLOOKUP(B74,Definitions!B$2:B$1880,1,FALSE)),"Not listed","")</f>
        <v/>
      </c>
      <c r="B74" t="s">
        <v>387</v>
      </c>
      <c r="C74" s="3" t="s">
        <v>442</v>
      </c>
      <c r="D74" t="s">
        <v>455</v>
      </c>
    </row>
    <row r="75" spans="1:4" x14ac:dyDescent="0.2">
      <c r="A75" t="str">
        <f>IF(ISNA(VLOOKUP(B75,Definitions!B$2:B$1880,1,FALSE)),"Not listed","")</f>
        <v/>
      </c>
      <c r="B75" t="s">
        <v>300</v>
      </c>
      <c r="C75" s="3" t="s">
        <v>442</v>
      </c>
      <c r="D75" t="s">
        <v>456</v>
      </c>
    </row>
    <row r="76" spans="1:4" x14ac:dyDescent="0.2">
      <c r="A76" t="str">
        <f>IF(ISNA(VLOOKUP(B76,Definitions!B$2:B$1880,1,FALSE)),"Not listed","")</f>
        <v/>
      </c>
      <c r="B76" t="s">
        <v>303</v>
      </c>
      <c r="C76" s="3" t="s">
        <v>442</v>
      </c>
      <c r="D76" t="s">
        <v>456</v>
      </c>
    </row>
    <row r="77" spans="1:4" x14ac:dyDescent="0.2">
      <c r="A77" t="str">
        <f>IF(ISNA(VLOOKUP(B77,Definitions!B$2:B$1880,1,FALSE)),"Not listed","")</f>
        <v/>
      </c>
      <c r="B77" t="s">
        <v>396</v>
      </c>
      <c r="C77" s="3" t="s">
        <v>442</v>
      </c>
      <c r="D77" t="s">
        <v>456</v>
      </c>
    </row>
    <row r="78" spans="1:4" x14ac:dyDescent="0.2">
      <c r="A78" t="str">
        <f>IF(ISNA(VLOOKUP(B78,Definitions!B$2:B$1880,1,FALSE)),"Not listed","")</f>
        <v/>
      </c>
      <c r="B78" t="s">
        <v>399</v>
      </c>
      <c r="C78" s="3" t="s">
        <v>442</v>
      </c>
      <c r="D78" t="s">
        <v>456</v>
      </c>
    </row>
    <row r="79" spans="1:4" x14ac:dyDescent="0.2">
      <c r="A79" t="str">
        <f>IF(ISNA(VLOOKUP(B79,Definitions!B$2:B$1880,1,FALSE)),"Not listed","")</f>
        <v/>
      </c>
      <c r="B79" t="s">
        <v>402</v>
      </c>
      <c r="C79" s="3" t="s">
        <v>442</v>
      </c>
      <c r="D79" t="s">
        <v>456</v>
      </c>
    </row>
    <row r="80" spans="1:4" x14ac:dyDescent="0.2">
      <c r="A80" t="str">
        <f>IF(ISNA(VLOOKUP(B80,Definitions!B$2:B$1880,1,FALSE)),"Not listed","")</f>
        <v/>
      </c>
      <c r="B80" t="s">
        <v>405</v>
      </c>
      <c r="C80" s="3" t="s">
        <v>442</v>
      </c>
      <c r="D80" t="s">
        <v>456</v>
      </c>
    </row>
    <row r="81" spans="1:4" x14ac:dyDescent="0.2">
      <c r="A81" t="str">
        <f>IF(ISNA(VLOOKUP(B81,Definitions!B$2:B$1880,1,FALSE)),"Not listed","")</f>
        <v/>
      </c>
      <c r="B81" t="s">
        <v>333</v>
      </c>
      <c r="C81" s="3" t="s">
        <v>442</v>
      </c>
      <c r="D81" t="s">
        <v>457</v>
      </c>
    </row>
    <row r="82" spans="1:4" x14ac:dyDescent="0.2">
      <c r="A82" t="str">
        <f>IF(ISNA(VLOOKUP(B82,Definitions!B$2:B$1880,1,FALSE)),"Not listed","")</f>
        <v/>
      </c>
      <c r="B82" t="s">
        <v>336</v>
      </c>
      <c r="C82" s="3" t="s">
        <v>442</v>
      </c>
      <c r="D82" t="s">
        <v>457</v>
      </c>
    </row>
    <row r="83" spans="1:4" x14ac:dyDescent="0.2">
      <c r="A83" t="str">
        <f>IF(ISNA(VLOOKUP(B83,Definitions!B$2:B$1880,1,FALSE)),"Not listed","")</f>
        <v/>
      </c>
      <c r="B83" t="s">
        <v>369</v>
      </c>
      <c r="C83" s="3" t="s">
        <v>442</v>
      </c>
      <c r="D83" t="s">
        <v>457</v>
      </c>
    </row>
    <row r="84" spans="1:4" x14ac:dyDescent="0.2">
      <c r="A84" t="str">
        <f>IF(ISNA(VLOOKUP(B84,Definitions!B$2:B$1880,1,FALSE)),"Not listed","")</f>
        <v/>
      </c>
      <c r="B84" t="s">
        <v>235</v>
      </c>
      <c r="C84" s="3" t="s">
        <v>442</v>
      </c>
      <c r="D84" t="s">
        <v>458</v>
      </c>
    </row>
    <row r="85" spans="1:4" x14ac:dyDescent="0.2">
      <c r="A85" t="str">
        <f>IF(ISNA(VLOOKUP(B85,Definitions!B$2:B$1880,1,FALSE)),"Not listed","")</f>
        <v/>
      </c>
      <c r="B85" t="s">
        <v>244</v>
      </c>
      <c r="C85" s="3" t="s">
        <v>442</v>
      </c>
      <c r="D85" t="s">
        <v>458</v>
      </c>
    </row>
    <row r="86" spans="1:4" x14ac:dyDescent="0.2">
      <c r="A86" t="str">
        <f>IF(ISNA(VLOOKUP(B86,Definitions!B$2:B$1880,1,FALSE)),"Not listed","")</f>
        <v/>
      </c>
      <c r="B86" t="s">
        <v>250</v>
      </c>
      <c r="C86" s="3" t="s">
        <v>442</v>
      </c>
      <c r="D86" t="s">
        <v>458</v>
      </c>
    </row>
    <row r="87" spans="1:4" x14ac:dyDescent="0.2">
      <c r="A87" t="str">
        <f>IF(ISNA(VLOOKUP(B87,Definitions!B$2:B$1880,1,FALSE)),"Not listed","")</f>
        <v/>
      </c>
      <c r="B87" t="s">
        <v>324</v>
      </c>
      <c r="C87" s="3" t="s">
        <v>442</v>
      </c>
      <c r="D87" t="s">
        <v>458</v>
      </c>
    </row>
    <row r="88" spans="1:4" x14ac:dyDescent="0.2">
      <c r="A88" t="str">
        <f>IF(ISNA(VLOOKUP(B88,Definitions!B$2:B$1880,1,FALSE)),"Not listed","")</f>
        <v/>
      </c>
      <c r="B88" t="s">
        <v>327</v>
      </c>
      <c r="C88" s="3" t="s">
        <v>442</v>
      </c>
      <c r="D88" t="s">
        <v>458</v>
      </c>
    </row>
    <row r="89" spans="1:4" x14ac:dyDescent="0.2">
      <c r="A89" t="str">
        <f>IF(ISNA(VLOOKUP(B89,Definitions!B$2:B$1880,1,FALSE)),"Not listed","")</f>
        <v/>
      </c>
      <c r="B89" t="s">
        <v>330</v>
      </c>
      <c r="C89" s="3" t="s">
        <v>442</v>
      </c>
      <c r="D89" t="s">
        <v>458</v>
      </c>
    </row>
    <row r="90" spans="1:4" x14ac:dyDescent="0.2">
      <c r="A90" t="str">
        <f>IF(ISNA(VLOOKUP(B90,Definitions!B$2:B$1880,1,FALSE)),"Not listed","")</f>
        <v/>
      </c>
      <c r="B90" t="s">
        <v>339</v>
      </c>
      <c r="C90" s="3" t="s">
        <v>442</v>
      </c>
      <c r="D90" t="s">
        <v>458</v>
      </c>
    </row>
    <row r="91" spans="1:4" x14ac:dyDescent="0.2">
      <c r="A91" t="str">
        <f>IF(ISNA(VLOOKUP(B91,Definitions!B$2:B$1880,1,FALSE)),"Not listed","")</f>
        <v/>
      </c>
      <c r="B91" t="s">
        <v>342</v>
      </c>
      <c r="C91" s="3" t="s">
        <v>442</v>
      </c>
      <c r="D91" t="s">
        <v>458</v>
      </c>
    </row>
    <row r="92" spans="1:4" x14ac:dyDescent="0.2">
      <c r="A92" t="str">
        <f>IF(ISNA(VLOOKUP(B92,Definitions!B$2:B$1880,1,FALSE)),"Not listed","")</f>
        <v/>
      </c>
      <c r="B92" t="s">
        <v>372</v>
      </c>
      <c r="C92" s="3" t="s">
        <v>442</v>
      </c>
      <c r="D92" t="s">
        <v>458</v>
      </c>
    </row>
    <row r="93" spans="1:4" x14ac:dyDescent="0.2">
      <c r="A93" t="str">
        <f>IF(ISNA(VLOOKUP(B93,Definitions!B$2:B$1880,1,FALSE)),"Not listed","")</f>
        <v/>
      </c>
      <c r="B93" t="s">
        <v>387</v>
      </c>
      <c r="C93" s="3" t="s">
        <v>442</v>
      </c>
      <c r="D93" t="s">
        <v>458</v>
      </c>
    </row>
    <row r="94" spans="1:4" x14ac:dyDescent="0.2">
      <c r="A94" t="str">
        <f>IF(ISNA(VLOOKUP(B94,Definitions!B$2:B$1880,1,FALSE)),"Not listed","")</f>
        <v/>
      </c>
      <c r="B94" t="s">
        <v>235</v>
      </c>
      <c r="C94" s="3" t="s">
        <v>442</v>
      </c>
      <c r="D94" t="s">
        <v>459</v>
      </c>
    </row>
    <row r="95" spans="1:4" x14ac:dyDescent="0.2">
      <c r="A95" t="str">
        <f>IF(ISNA(VLOOKUP(B95,Definitions!B$2:B$1880,1,FALSE)),"Not listed","")</f>
        <v/>
      </c>
      <c r="B95" t="s">
        <v>244</v>
      </c>
      <c r="C95" s="3" t="s">
        <v>442</v>
      </c>
      <c r="D95" t="s">
        <v>459</v>
      </c>
    </row>
    <row r="96" spans="1:4" x14ac:dyDescent="0.2">
      <c r="A96" t="str">
        <f>IF(ISNA(VLOOKUP(B96,Definitions!B$2:B$1880,1,FALSE)),"Not listed","")</f>
        <v/>
      </c>
      <c r="B96" t="s">
        <v>250</v>
      </c>
      <c r="C96" s="3" t="s">
        <v>442</v>
      </c>
      <c r="D96" t="s">
        <v>459</v>
      </c>
    </row>
    <row r="97" spans="1:4" x14ac:dyDescent="0.2">
      <c r="A97" t="str">
        <f>IF(ISNA(VLOOKUP(B97,Definitions!B$2:B$1880,1,FALSE)),"Not listed","")</f>
        <v/>
      </c>
      <c r="B97" t="s">
        <v>324</v>
      </c>
      <c r="C97" s="3" t="s">
        <v>442</v>
      </c>
      <c r="D97" t="s">
        <v>459</v>
      </c>
    </row>
    <row r="98" spans="1:4" x14ac:dyDescent="0.2">
      <c r="A98" t="str">
        <f>IF(ISNA(VLOOKUP(B98,Definitions!B$2:B$1880,1,FALSE)),"Not listed","")</f>
        <v/>
      </c>
      <c r="B98" t="s">
        <v>327</v>
      </c>
      <c r="C98" s="3" t="s">
        <v>442</v>
      </c>
      <c r="D98" t="s">
        <v>459</v>
      </c>
    </row>
    <row r="99" spans="1:4" x14ac:dyDescent="0.2">
      <c r="A99" t="str">
        <f>IF(ISNA(VLOOKUP(B99,Definitions!B$2:B$1880,1,FALSE)),"Not listed","")</f>
        <v/>
      </c>
      <c r="B99" t="s">
        <v>330</v>
      </c>
      <c r="C99" s="3" t="s">
        <v>442</v>
      </c>
      <c r="D99" t="s">
        <v>459</v>
      </c>
    </row>
    <row r="100" spans="1:4" x14ac:dyDescent="0.2">
      <c r="A100" t="str">
        <f>IF(ISNA(VLOOKUP(B100,Definitions!B$2:B$1880,1,FALSE)),"Not listed","")</f>
        <v/>
      </c>
      <c r="B100" t="s">
        <v>339</v>
      </c>
      <c r="C100" s="3" t="s">
        <v>442</v>
      </c>
      <c r="D100" t="s">
        <v>459</v>
      </c>
    </row>
    <row r="101" spans="1:4" x14ac:dyDescent="0.2">
      <c r="A101" t="str">
        <f>IF(ISNA(VLOOKUP(B101,Definitions!B$2:B$1880,1,FALSE)),"Not listed","")</f>
        <v/>
      </c>
      <c r="B101" t="s">
        <v>342</v>
      </c>
      <c r="C101" s="3" t="s">
        <v>442</v>
      </c>
      <c r="D101" t="s">
        <v>459</v>
      </c>
    </row>
    <row r="102" spans="1:4" x14ac:dyDescent="0.2">
      <c r="A102" t="str">
        <f>IF(ISNA(VLOOKUP(B102,Definitions!B$2:B$1880,1,FALSE)),"Not listed","")</f>
        <v/>
      </c>
      <c r="B102" t="s">
        <v>387</v>
      </c>
      <c r="C102" s="3" t="s">
        <v>442</v>
      </c>
      <c r="D102" t="s">
        <v>459</v>
      </c>
    </row>
    <row r="103" spans="1:4" x14ac:dyDescent="0.2">
      <c r="A103" t="str">
        <f>IF(ISNA(VLOOKUP(B103,Definitions!B$2:B$1880,1,FALSE)),"Not listed","")</f>
        <v/>
      </c>
      <c r="B103" t="s">
        <v>348</v>
      </c>
      <c r="C103" s="3" t="s">
        <v>442</v>
      </c>
      <c r="D103" t="s">
        <v>460</v>
      </c>
    </row>
    <row r="104" spans="1:4" x14ac:dyDescent="0.2">
      <c r="A104" t="str">
        <f>IF(ISNA(VLOOKUP(B104,Definitions!B$2:B$1880,1,FALSE)),"Not listed","")</f>
        <v/>
      </c>
      <c r="B104" t="s">
        <v>345</v>
      </c>
      <c r="C104" s="3" t="s">
        <v>442</v>
      </c>
      <c r="D104" t="s">
        <v>460</v>
      </c>
    </row>
    <row r="105" spans="1:4" x14ac:dyDescent="0.2">
      <c r="A105" t="str">
        <f>IF(ISNA(VLOOKUP(B105,Definitions!B$2:B$1880,1,FALSE)),"Not listed","")</f>
        <v/>
      </c>
      <c r="B105" t="s">
        <v>351</v>
      </c>
      <c r="C105" s="3" t="s">
        <v>442</v>
      </c>
      <c r="D105" t="s">
        <v>460</v>
      </c>
    </row>
    <row r="106" spans="1:4" x14ac:dyDescent="0.2">
      <c r="A106" t="str">
        <f>IF(ISNA(VLOOKUP(B106,Definitions!B$2:B$1880,1,FALSE)),"Not listed","")</f>
        <v/>
      </c>
      <c r="B106" t="s">
        <v>354</v>
      </c>
      <c r="C106" s="3" t="s">
        <v>442</v>
      </c>
      <c r="D106" t="s">
        <v>460</v>
      </c>
    </row>
    <row r="107" spans="1:4" x14ac:dyDescent="0.2">
      <c r="A107" t="str">
        <f>IF(ISNA(VLOOKUP(B107,Definitions!B$2:B$1880,1,FALSE)),"Not listed","")</f>
        <v/>
      </c>
      <c r="B107" t="s">
        <v>357</v>
      </c>
      <c r="C107" s="3" t="s">
        <v>442</v>
      </c>
      <c r="D107" t="s">
        <v>460</v>
      </c>
    </row>
    <row r="108" spans="1:4" x14ac:dyDescent="0.2">
      <c r="A108" t="str">
        <f>IF(ISNA(VLOOKUP(B108,Definitions!B$2:B$1880,1,FALSE)),"Not listed","")</f>
        <v/>
      </c>
      <c r="B108" t="s">
        <v>360</v>
      </c>
      <c r="C108" s="3" t="s">
        <v>442</v>
      </c>
      <c r="D108" t="s">
        <v>460</v>
      </c>
    </row>
    <row r="109" spans="1:4" x14ac:dyDescent="0.2">
      <c r="A109" t="str">
        <f>IF(ISNA(VLOOKUP(B109,Definitions!B$2:B$1880,1,FALSE)),"Not listed","")</f>
        <v/>
      </c>
      <c r="B109" t="s">
        <v>378</v>
      </c>
      <c r="C109" s="3" t="s">
        <v>442</v>
      </c>
      <c r="D109" t="s">
        <v>461</v>
      </c>
    </row>
    <row r="110" spans="1:4" x14ac:dyDescent="0.2">
      <c r="A110" t="str">
        <f>IF(ISNA(VLOOKUP(B110,Definitions!B$2:B$1880,1,FALSE)),"Not listed","")</f>
        <v/>
      </c>
      <c r="B110" t="s">
        <v>381</v>
      </c>
      <c r="C110" s="3" t="s">
        <v>442</v>
      </c>
      <c r="D110" t="s">
        <v>461</v>
      </c>
    </row>
    <row r="111" spans="1:4" x14ac:dyDescent="0.2">
      <c r="A111" t="str">
        <f>IF(ISNA(VLOOKUP(B111,Definitions!B$2:B$1880,1,FALSE)),"Not listed","")</f>
        <v/>
      </c>
      <c r="B111" t="s">
        <v>258</v>
      </c>
      <c r="C111" s="3" t="s">
        <v>442</v>
      </c>
      <c r="D111" t="s">
        <v>462</v>
      </c>
    </row>
    <row r="112" spans="1:4" x14ac:dyDescent="0.2">
      <c r="A112" t="str">
        <f>IF(ISNA(VLOOKUP(B112,Definitions!B$2:B$1880,1,FALSE)),"Not listed","")</f>
        <v/>
      </c>
      <c r="B112" t="s">
        <v>266</v>
      </c>
      <c r="C112" s="3" t="s">
        <v>442</v>
      </c>
      <c r="D112" t="s">
        <v>462</v>
      </c>
    </row>
    <row r="113" spans="1:4" x14ac:dyDescent="0.2">
      <c r="A113" t="str">
        <f>IF(ISNA(VLOOKUP(B113,Definitions!B$2:B$1880,1,FALSE)),"Not listed","")</f>
        <v/>
      </c>
      <c r="B113" t="s">
        <v>269</v>
      </c>
      <c r="C113" s="3" t="s">
        <v>442</v>
      </c>
      <c r="D113" t="s">
        <v>462</v>
      </c>
    </row>
    <row r="114" spans="1:4" x14ac:dyDescent="0.2">
      <c r="A114" t="str">
        <f>IF(ISNA(VLOOKUP(B114,Definitions!B$2:B$1880,1,FALSE)),"Not listed","")</f>
        <v/>
      </c>
      <c r="B114" t="s">
        <v>272</v>
      </c>
      <c r="C114" s="3" t="s">
        <v>442</v>
      </c>
      <c r="D114" t="s">
        <v>462</v>
      </c>
    </row>
    <row r="115" spans="1:4" x14ac:dyDescent="0.2">
      <c r="A115" t="str">
        <f>IF(ISNA(VLOOKUP(B115,Definitions!B$2:B$1880,1,FALSE)),"Not listed","")</f>
        <v/>
      </c>
      <c r="B115" t="s">
        <v>294</v>
      </c>
      <c r="C115" s="3" t="s">
        <v>442</v>
      </c>
      <c r="D115" t="s">
        <v>462</v>
      </c>
    </row>
    <row r="116" spans="1:4" x14ac:dyDescent="0.2">
      <c r="A116" t="str">
        <f>IF(ISNA(VLOOKUP(B116,Definitions!B$2:B$1880,1,FALSE)),"Not listed","")</f>
        <v/>
      </c>
      <c r="B116" t="s">
        <v>297</v>
      </c>
      <c r="C116" s="3" t="s">
        <v>442</v>
      </c>
      <c r="D116" t="s">
        <v>462</v>
      </c>
    </row>
    <row r="117" spans="1:4" x14ac:dyDescent="0.2">
      <c r="A117" t="str">
        <f>IF(ISNA(VLOOKUP(B117,Definitions!B$2:B$1880,1,FALSE)),"Not listed","")</f>
        <v/>
      </c>
      <c r="B117" t="s">
        <v>381</v>
      </c>
      <c r="C117" s="3" t="s">
        <v>442</v>
      </c>
      <c r="D117" t="s">
        <v>462</v>
      </c>
    </row>
    <row r="118" spans="1:4" ht="17" x14ac:dyDescent="0.2">
      <c r="A118" t="str">
        <f>IF(ISNA(VLOOKUP(B118,Definitions!B$2:B$1880,1,FALSE)),"Not listed","")</f>
        <v/>
      </c>
      <c r="B118" s="10" t="s">
        <v>244</v>
      </c>
      <c r="C118" s="3" t="s">
        <v>442</v>
      </c>
      <c r="D118" t="s">
        <v>445</v>
      </c>
    </row>
    <row r="119" spans="1:4" ht="17" x14ac:dyDescent="0.2">
      <c r="A119" t="str">
        <f>IF(ISNA(VLOOKUP(B119,Definitions!B$2:B$1880,1,FALSE)),"Not listed","")</f>
        <v/>
      </c>
      <c r="B119" s="10" t="s">
        <v>247</v>
      </c>
      <c r="C119" s="3" t="s">
        <v>442</v>
      </c>
      <c r="D119" t="s">
        <v>445</v>
      </c>
    </row>
    <row r="120" spans="1:4" ht="17" x14ac:dyDescent="0.2">
      <c r="A120" t="str">
        <f>IF(ISNA(VLOOKUP(B120,Definitions!B$2:B$1880,1,FALSE)),"Not listed","")</f>
        <v/>
      </c>
      <c r="B120" s="10" t="s">
        <v>250</v>
      </c>
      <c r="C120" s="3" t="s">
        <v>442</v>
      </c>
      <c r="D120" t="s">
        <v>445</v>
      </c>
    </row>
    <row r="121" spans="1:4" ht="17" x14ac:dyDescent="0.2">
      <c r="A121" t="str">
        <f>IF(ISNA(VLOOKUP(B121,Definitions!B$2:B$1880,1,FALSE)),"Not listed","")</f>
        <v/>
      </c>
      <c r="B121" s="10" t="s">
        <v>255</v>
      </c>
      <c r="C121" s="3" t="s">
        <v>442</v>
      </c>
      <c r="D121" t="s">
        <v>445</v>
      </c>
    </row>
    <row r="122" spans="1:4" ht="17" x14ac:dyDescent="0.2">
      <c r="A122" t="str">
        <f>IF(ISNA(VLOOKUP(B122,Definitions!B$2:B$1880,1,FALSE)),"Not listed","")</f>
        <v/>
      </c>
      <c r="B122" s="10" t="s">
        <v>258</v>
      </c>
      <c r="C122" s="3" t="s">
        <v>442</v>
      </c>
      <c r="D122" t="s">
        <v>445</v>
      </c>
    </row>
    <row r="123" spans="1:4" ht="17" x14ac:dyDescent="0.2">
      <c r="A123" t="str">
        <f>IF(ISNA(VLOOKUP(B123,Definitions!B$2:B$1880,1,FALSE)),"Not listed","")</f>
        <v/>
      </c>
      <c r="B123" s="10" t="s">
        <v>278</v>
      </c>
      <c r="C123" s="3" t="s">
        <v>442</v>
      </c>
      <c r="D123" t="s">
        <v>445</v>
      </c>
    </row>
    <row r="124" spans="1:4" ht="17" x14ac:dyDescent="0.2">
      <c r="A124" t="str">
        <f>IF(ISNA(VLOOKUP(B124,Definitions!B$2:B$1880,1,FALSE)),"Not listed","")</f>
        <v/>
      </c>
      <c r="B124" s="10" t="s">
        <v>281</v>
      </c>
      <c r="C124" s="3" t="s">
        <v>442</v>
      </c>
      <c r="D124" t="s">
        <v>445</v>
      </c>
    </row>
    <row r="125" spans="1:4" ht="17" x14ac:dyDescent="0.2">
      <c r="A125" t="str">
        <f>IF(ISNA(VLOOKUP(B125,Definitions!B$2:B$1880,1,FALSE)),"Not listed","")</f>
        <v/>
      </c>
      <c r="B125" s="10" t="s">
        <v>321</v>
      </c>
      <c r="C125" s="3" t="s">
        <v>442</v>
      </c>
      <c r="D125" t="s">
        <v>445</v>
      </c>
    </row>
    <row r="126" spans="1:4" ht="17" x14ac:dyDescent="0.2">
      <c r="A126" t="str">
        <f>IF(ISNA(VLOOKUP(B126,Definitions!B$2:B$1880,1,FALSE)),"Not listed","")</f>
        <v/>
      </c>
      <c r="B126" s="10" t="s">
        <v>339</v>
      </c>
      <c r="C126" s="3" t="s">
        <v>442</v>
      </c>
      <c r="D126" t="s">
        <v>445</v>
      </c>
    </row>
    <row r="127" spans="1:4" ht="17" x14ac:dyDescent="0.2">
      <c r="A127" t="str">
        <f>IF(ISNA(VLOOKUP(B127,Definitions!B$2:B$1880,1,FALSE)),"Not listed","")</f>
        <v/>
      </c>
      <c r="B127" s="10" t="s">
        <v>342</v>
      </c>
      <c r="C127" s="3" t="s">
        <v>442</v>
      </c>
      <c r="D127" t="s">
        <v>445</v>
      </c>
    </row>
    <row r="128" spans="1:4" ht="17" x14ac:dyDescent="0.2">
      <c r="A128" t="str">
        <f>IF(ISNA(VLOOKUP(B128,Definitions!B$2:B$1880,1,FALSE)),"Not listed","")</f>
        <v/>
      </c>
      <c r="B128" s="10" t="s">
        <v>375</v>
      </c>
      <c r="C128" s="3" t="s">
        <v>442</v>
      </c>
      <c r="D128" t="s">
        <v>445</v>
      </c>
    </row>
    <row r="129" spans="1:4" ht="17" x14ac:dyDescent="0.2">
      <c r="A129" t="str">
        <f>IF(ISNA(VLOOKUP(B129,Definitions!B$2:B$1880,1,FALSE)),"Not listed","")</f>
        <v/>
      </c>
      <c r="B129" s="10" t="s">
        <v>378</v>
      </c>
      <c r="C129" s="3" t="s">
        <v>442</v>
      </c>
      <c r="D129" t="s">
        <v>445</v>
      </c>
    </row>
    <row r="130" spans="1:4" ht="17" x14ac:dyDescent="0.2">
      <c r="A130" t="str">
        <f>IF(ISNA(VLOOKUP(B130,Definitions!B$2:B$1880,1,FALSE)),"Not listed","")</f>
        <v/>
      </c>
      <c r="B130" s="10" t="s">
        <v>384</v>
      </c>
      <c r="C130" s="3" t="s">
        <v>442</v>
      </c>
      <c r="D130" t="s">
        <v>445</v>
      </c>
    </row>
    <row r="131" spans="1:4" ht="17" x14ac:dyDescent="0.2">
      <c r="A131" t="str">
        <f>IF(ISNA(VLOOKUP(B131,Definitions!B$2:B$1880,1,FALSE)),"Not listed","")</f>
        <v/>
      </c>
      <c r="B131" s="10" t="s">
        <v>387</v>
      </c>
      <c r="C131" s="3" t="s">
        <v>442</v>
      </c>
      <c r="D131" t="s">
        <v>445</v>
      </c>
    </row>
    <row r="132" spans="1:4" ht="17" x14ac:dyDescent="0.2">
      <c r="A132" t="str">
        <f>IF(ISNA(VLOOKUP(B132,Definitions!B$2:B$1880,1,FALSE)),"Not listed","")</f>
        <v/>
      </c>
      <c r="B132" s="10" t="s">
        <v>390</v>
      </c>
      <c r="C132" s="3" t="s">
        <v>442</v>
      </c>
      <c r="D132" t="s">
        <v>445</v>
      </c>
    </row>
    <row r="133" spans="1:4" ht="17" x14ac:dyDescent="0.2">
      <c r="A133" t="str">
        <f>IF(ISNA(VLOOKUP(B133,Definitions!B$2:B$1880,1,FALSE)),"Not listed","")</f>
        <v/>
      </c>
      <c r="B133" s="10" t="s">
        <v>393</v>
      </c>
      <c r="C133" s="3" t="s">
        <v>442</v>
      </c>
      <c r="D133" t="s">
        <v>445</v>
      </c>
    </row>
    <row r="134" spans="1:4" ht="17" x14ac:dyDescent="0.2">
      <c r="A134" t="str">
        <f>IF(ISNA(VLOOKUP(B134,Definitions!B$2:B$1880,1,FALSE)),"Not listed","")</f>
        <v/>
      </c>
      <c r="B134" s="10" t="s">
        <v>408</v>
      </c>
      <c r="C134" s="3" t="s">
        <v>442</v>
      </c>
      <c r="D134" t="s">
        <v>445</v>
      </c>
    </row>
    <row r="135" spans="1:4" ht="17" x14ac:dyDescent="0.2">
      <c r="A135" t="str">
        <f>IF(ISNA(VLOOKUP(B135,Definitions!B$2:B$1880,1,FALSE)),"Not listed","")</f>
        <v/>
      </c>
      <c r="B135" s="10" t="s">
        <v>411</v>
      </c>
      <c r="C135" s="3" t="s">
        <v>442</v>
      </c>
      <c r="D135" t="s">
        <v>445</v>
      </c>
    </row>
    <row r="136" spans="1:4" ht="17" x14ac:dyDescent="0.2">
      <c r="A136" t="str">
        <f>IF(ISNA(VLOOKUP(B136,Definitions!B$2:B$1880,1,FALSE)),"Not listed","")</f>
        <v/>
      </c>
      <c r="B136" s="10" t="s">
        <v>423</v>
      </c>
      <c r="C136" s="3" t="s">
        <v>442</v>
      </c>
      <c r="D136" t="s">
        <v>445</v>
      </c>
    </row>
  </sheetData>
  <sortState xmlns:xlrd2="http://schemas.microsoft.com/office/spreadsheetml/2017/richdata2" ref="A2:C2">
    <sortCondition ref="C2"/>
    <sortCondition ref="A2"/>
  </sortState>
  <pageMargins left="0.7" right="0.7" top="0.75" bottom="0.75" header="0.3" footer="0.3"/>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88"/>
  <sheetViews>
    <sheetView tabSelected="1" zoomScale="130" zoomScaleNormal="130" workbookViewId="0">
      <selection activeCell="A147" sqref="A147:XFD147"/>
    </sheetView>
  </sheetViews>
  <sheetFormatPr baseColWidth="10" defaultColWidth="11" defaultRowHeight="16" x14ac:dyDescent="0.2"/>
  <cols>
    <col min="2" max="2" width="21.1640625" customWidth="1"/>
    <col min="3" max="3" width="54.1640625" customWidth="1"/>
  </cols>
  <sheetData>
    <row r="1" spans="1:4" x14ac:dyDescent="0.2">
      <c r="A1" t="s">
        <v>165</v>
      </c>
      <c r="B1" t="s">
        <v>228</v>
      </c>
      <c r="C1" t="s">
        <v>227</v>
      </c>
    </row>
    <row r="2" spans="1:4" x14ac:dyDescent="0.2">
      <c r="B2" t="s">
        <v>179</v>
      </c>
      <c r="C2" t="s">
        <v>26</v>
      </c>
      <c r="D2" s="7"/>
    </row>
    <row r="3" spans="1:4" x14ac:dyDescent="0.2">
      <c r="B3" t="s">
        <v>175</v>
      </c>
      <c r="C3" t="s">
        <v>198</v>
      </c>
      <c r="D3" s="7"/>
    </row>
    <row r="4" spans="1:4" x14ac:dyDescent="0.2">
      <c r="B4" s="9" t="s">
        <v>174</v>
      </c>
      <c r="C4" t="s">
        <v>27</v>
      </c>
      <c r="D4" s="7"/>
    </row>
    <row r="5" spans="1:4" x14ac:dyDescent="0.2">
      <c r="B5" s="9" t="s">
        <v>189</v>
      </c>
      <c r="C5" t="s">
        <v>28</v>
      </c>
      <c r="D5" s="7"/>
    </row>
    <row r="6" spans="1:4" x14ac:dyDescent="0.2">
      <c r="B6" t="s">
        <v>168</v>
      </c>
      <c r="C6" t="s">
        <v>29</v>
      </c>
      <c r="D6" s="7"/>
    </row>
    <row r="7" spans="1:4" x14ac:dyDescent="0.2">
      <c r="B7" t="s">
        <v>167</v>
      </c>
      <c r="C7" t="s">
        <v>30</v>
      </c>
      <c r="D7" s="7"/>
    </row>
    <row r="8" spans="1:4" x14ac:dyDescent="0.2">
      <c r="B8" t="s">
        <v>178</v>
      </c>
      <c r="C8" t="s">
        <v>199</v>
      </c>
      <c r="D8" s="7"/>
    </row>
    <row r="9" spans="1:4" x14ac:dyDescent="0.2">
      <c r="B9" s="9" t="s">
        <v>1</v>
      </c>
      <c r="C9" t="s">
        <v>31</v>
      </c>
      <c r="D9" s="7"/>
    </row>
    <row r="10" spans="1:4" x14ac:dyDescent="0.2">
      <c r="B10" t="s">
        <v>166</v>
      </c>
      <c r="C10" t="s">
        <v>32</v>
      </c>
      <c r="D10" s="7"/>
    </row>
    <row r="11" spans="1:4" x14ac:dyDescent="0.2">
      <c r="B11" s="9" t="s">
        <v>177</v>
      </c>
      <c r="C11" t="s">
        <v>33</v>
      </c>
      <c r="D11" s="7"/>
    </row>
    <row r="12" spans="1:4" x14ac:dyDescent="0.2">
      <c r="B12" t="s">
        <v>172</v>
      </c>
      <c r="C12" t="s">
        <v>34</v>
      </c>
      <c r="D12" s="7"/>
    </row>
    <row r="13" spans="1:4" x14ac:dyDescent="0.2">
      <c r="B13" t="s">
        <v>173</v>
      </c>
      <c r="C13" t="s">
        <v>35</v>
      </c>
      <c r="D13" s="7"/>
    </row>
    <row r="14" spans="1:4" x14ac:dyDescent="0.2">
      <c r="B14" t="s">
        <v>171</v>
      </c>
      <c r="C14" t="s">
        <v>194</v>
      </c>
      <c r="D14" s="7"/>
    </row>
    <row r="15" spans="1:4" x14ac:dyDescent="0.2">
      <c r="B15" t="s">
        <v>170</v>
      </c>
      <c r="C15" t="s">
        <v>195</v>
      </c>
      <c r="D15" s="7"/>
    </row>
    <row r="16" spans="1:4" x14ac:dyDescent="0.2">
      <c r="B16" t="s">
        <v>169</v>
      </c>
      <c r="C16" t="s">
        <v>196</v>
      </c>
      <c r="D16" s="7"/>
    </row>
    <row r="17" spans="2:4" x14ac:dyDescent="0.2">
      <c r="B17" t="s">
        <v>176</v>
      </c>
      <c r="C17" t="s">
        <v>36</v>
      </c>
      <c r="D17" s="7"/>
    </row>
    <row r="18" spans="2:4" x14ac:dyDescent="0.2">
      <c r="B18" s="9"/>
      <c r="C18" t="s">
        <v>37</v>
      </c>
      <c r="D18" s="7"/>
    </row>
    <row r="19" spans="2:4" x14ac:dyDescent="0.2">
      <c r="B19" t="s">
        <v>180</v>
      </c>
      <c r="C19" t="s">
        <v>38</v>
      </c>
      <c r="D19" s="7"/>
    </row>
    <row r="20" spans="2:4" x14ac:dyDescent="0.2">
      <c r="B20" t="s">
        <v>231</v>
      </c>
      <c r="C20" t="s">
        <v>200</v>
      </c>
      <c r="D20" s="7"/>
    </row>
    <row r="21" spans="2:4" x14ac:dyDescent="0.2">
      <c r="B21" s="9" t="s">
        <v>182</v>
      </c>
      <c r="C21" t="s">
        <v>39</v>
      </c>
      <c r="D21" s="7"/>
    </row>
    <row r="22" spans="2:4" x14ac:dyDescent="0.2">
      <c r="B22" t="s">
        <v>184</v>
      </c>
      <c r="C22" t="s">
        <v>15</v>
      </c>
      <c r="D22" s="7"/>
    </row>
    <row r="23" spans="2:4" x14ac:dyDescent="0.2">
      <c r="B23" t="s">
        <v>183</v>
      </c>
      <c r="C23" t="s">
        <v>40</v>
      </c>
      <c r="D23" s="7"/>
    </row>
    <row r="24" spans="2:4" x14ac:dyDescent="0.2">
      <c r="B24" t="s">
        <v>181</v>
      </c>
      <c r="C24" t="s">
        <v>41</v>
      </c>
      <c r="D24" s="7"/>
    </row>
    <row r="25" spans="2:4" x14ac:dyDescent="0.2">
      <c r="B25" t="s">
        <v>192</v>
      </c>
      <c r="C25" t="s">
        <v>42</v>
      </c>
      <c r="D25" s="7"/>
    </row>
    <row r="26" spans="2:4" x14ac:dyDescent="0.2">
      <c r="B26" t="s">
        <v>186</v>
      </c>
      <c r="C26" t="s">
        <v>201</v>
      </c>
      <c r="D26" s="7"/>
    </row>
    <row r="27" spans="2:4" x14ac:dyDescent="0.2">
      <c r="B27" t="s">
        <v>187</v>
      </c>
      <c r="C27" t="s">
        <v>43</v>
      </c>
      <c r="D27" s="7"/>
    </row>
    <row r="28" spans="2:4" x14ac:dyDescent="0.2">
      <c r="B28" s="9" t="s">
        <v>4</v>
      </c>
      <c r="C28" t="s">
        <v>221</v>
      </c>
      <c r="D28" s="7"/>
    </row>
    <row r="29" spans="2:4" x14ac:dyDescent="0.2">
      <c r="C29" t="s">
        <v>44</v>
      </c>
      <c r="D29" s="7"/>
    </row>
    <row r="30" spans="2:4" x14ac:dyDescent="0.2">
      <c r="B30" t="s">
        <v>25</v>
      </c>
      <c r="C30" t="s">
        <v>202</v>
      </c>
      <c r="D30" s="7"/>
    </row>
    <row r="31" spans="2:4" x14ac:dyDescent="0.2">
      <c r="B31" t="s">
        <v>193</v>
      </c>
      <c r="C31" t="s">
        <v>45</v>
      </c>
      <c r="D31" s="7"/>
    </row>
    <row r="32" spans="2:4" x14ac:dyDescent="0.2">
      <c r="B32" t="s">
        <v>191</v>
      </c>
      <c r="C32" t="s">
        <v>10</v>
      </c>
      <c r="D32" s="7"/>
    </row>
    <row r="33" spans="2:4" x14ac:dyDescent="0.2">
      <c r="B33" t="s">
        <v>188</v>
      </c>
      <c r="C33" t="s">
        <v>46</v>
      </c>
      <c r="D33" s="7"/>
    </row>
    <row r="34" spans="2:4" x14ac:dyDescent="0.2">
      <c r="B34" t="s">
        <v>185</v>
      </c>
      <c r="C34" t="s">
        <v>47</v>
      </c>
      <c r="D34" s="7"/>
    </row>
    <row r="35" spans="2:4" x14ac:dyDescent="0.2">
      <c r="B35" t="s">
        <v>190</v>
      </c>
      <c r="C35" t="s">
        <v>48</v>
      </c>
      <c r="D35" s="7"/>
    </row>
    <row r="36" spans="2:4" x14ac:dyDescent="0.2">
      <c r="B36" s="9" t="s">
        <v>230</v>
      </c>
      <c r="C36" t="s">
        <v>49</v>
      </c>
      <c r="D36" s="7"/>
    </row>
    <row r="37" spans="2:4" x14ac:dyDescent="0.2">
      <c r="C37" t="s">
        <v>50</v>
      </c>
      <c r="D37" s="7"/>
    </row>
    <row r="38" spans="2:4" x14ac:dyDescent="0.2">
      <c r="C38" t="s">
        <v>51</v>
      </c>
      <c r="D38" s="7"/>
    </row>
    <row r="39" spans="2:4" x14ac:dyDescent="0.2">
      <c r="C39" t="s">
        <v>52</v>
      </c>
      <c r="D39" s="7"/>
    </row>
    <row r="40" spans="2:4" x14ac:dyDescent="0.2">
      <c r="C40" t="s">
        <v>53</v>
      </c>
      <c r="D40" s="7"/>
    </row>
    <row r="41" spans="2:4" x14ac:dyDescent="0.2">
      <c r="C41" t="s">
        <v>16</v>
      </c>
      <c r="D41" s="7"/>
    </row>
    <row r="42" spans="2:4" x14ac:dyDescent="0.2">
      <c r="C42" t="s">
        <v>54</v>
      </c>
      <c r="D42" s="7"/>
    </row>
    <row r="43" spans="2:4" x14ac:dyDescent="0.2">
      <c r="C43" t="s">
        <v>55</v>
      </c>
      <c r="D43" s="7"/>
    </row>
    <row r="44" spans="2:4" x14ac:dyDescent="0.2">
      <c r="C44" t="s">
        <v>56</v>
      </c>
      <c r="D44" s="7"/>
    </row>
    <row r="45" spans="2:4" x14ac:dyDescent="0.2">
      <c r="C45" t="s">
        <v>24</v>
      </c>
      <c r="D45" s="7"/>
    </row>
    <row r="46" spans="2:4" x14ac:dyDescent="0.2">
      <c r="C46" t="s">
        <v>57</v>
      </c>
      <c r="D46" s="7"/>
    </row>
    <row r="47" spans="2:4" x14ac:dyDescent="0.2">
      <c r="C47" t="s">
        <v>58</v>
      </c>
      <c r="D47" s="7"/>
    </row>
    <row r="48" spans="2:4" x14ac:dyDescent="0.2">
      <c r="C48" t="s">
        <v>20</v>
      </c>
      <c r="D48" s="7"/>
    </row>
    <row r="49" spans="3:4" x14ac:dyDescent="0.2">
      <c r="C49" t="s">
        <v>59</v>
      </c>
      <c r="D49" s="7"/>
    </row>
    <row r="50" spans="3:4" x14ac:dyDescent="0.2">
      <c r="C50" t="s">
        <v>60</v>
      </c>
      <c r="D50" s="7"/>
    </row>
    <row r="51" spans="3:4" x14ac:dyDescent="0.2">
      <c r="C51" t="s">
        <v>61</v>
      </c>
      <c r="D51" s="7"/>
    </row>
    <row r="52" spans="3:4" x14ac:dyDescent="0.2">
      <c r="C52" t="s">
        <v>62</v>
      </c>
      <c r="D52" s="7"/>
    </row>
    <row r="53" spans="3:4" x14ac:dyDescent="0.2">
      <c r="C53" t="s">
        <v>63</v>
      </c>
      <c r="D53" s="7"/>
    </row>
    <row r="54" spans="3:4" x14ac:dyDescent="0.2">
      <c r="C54" t="s">
        <v>64</v>
      </c>
      <c r="D54" s="7"/>
    </row>
    <row r="55" spans="3:4" x14ac:dyDescent="0.2">
      <c r="C55" t="s">
        <v>65</v>
      </c>
      <c r="D55" s="7"/>
    </row>
    <row r="56" spans="3:4" x14ac:dyDescent="0.2">
      <c r="C56" t="s">
        <v>203</v>
      </c>
      <c r="D56" s="7"/>
    </row>
    <row r="57" spans="3:4" x14ac:dyDescent="0.2">
      <c r="C57" t="s">
        <v>66</v>
      </c>
      <c r="D57" s="7"/>
    </row>
    <row r="58" spans="3:4" x14ac:dyDescent="0.2">
      <c r="C58" t="s">
        <v>5</v>
      </c>
      <c r="D58" s="7"/>
    </row>
    <row r="59" spans="3:4" x14ac:dyDescent="0.2">
      <c r="C59" t="s">
        <v>67</v>
      </c>
      <c r="D59" s="7"/>
    </row>
    <row r="60" spans="3:4" x14ac:dyDescent="0.2">
      <c r="C60" t="s">
        <v>68</v>
      </c>
      <c r="D60" s="7"/>
    </row>
    <row r="61" spans="3:4" x14ac:dyDescent="0.2">
      <c r="C61" t="s">
        <v>18</v>
      </c>
      <c r="D61" s="7"/>
    </row>
    <row r="62" spans="3:4" x14ac:dyDescent="0.2">
      <c r="C62" t="s">
        <v>69</v>
      </c>
      <c r="D62" s="7"/>
    </row>
    <row r="63" spans="3:4" x14ac:dyDescent="0.2">
      <c r="C63" t="s">
        <v>6</v>
      </c>
      <c r="D63" s="7"/>
    </row>
    <row r="64" spans="3:4" x14ac:dyDescent="0.2">
      <c r="C64" t="s">
        <v>70</v>
      </c>
      <c r="D64" s="7"/>
    </row>
    <row r="65" spans="3:4" x14ac:dyDescent="0.2">
      <c r="C65" t="s">
        <v>71</v>
      </c>
      <c r="D65" s="7"/>
    </row>
    <row r="66" spans="3:4" x14ac:dyDescent="0.2">
      <c r="C66" t="s">
        <v>463</v>
      </c>
      <c r="D66" s="7"/>
    </row>
    <row r="67" spans="3:4" x14ac:dyDescent="0.2">
      <c r="C67" t="s">
        <v>72</v>
      </c>
      <c r="D67" s="7"/>
    </row>
    <row r="68" spans="3:4" x14ac:dyDescent="0.2">
      <c r="C68" t="s">
        <v>73</v>
      </c>
      <c r="D68" s="7"/>
    </row>
    <row r="69" spans="3:4" x14ac:dyDescent="0.2">
      <c r="C69" t="s">
        <v>74</v>
      </c>
      <c r="D69" s="7"/>
    </row>
    <row r="70" spans="3:4" x14ac:dyDescent="0.2">
      <c r="C70" t="s">
        <v>75</v>
      </c>
      <c r="D70" s="7"/>
    </row>
    <row r="71" spans="3:4" x14ac:dyDescent="0.2">
      <c r="C71" t="s">
        <v>76</v>
      </c>
      <c r="D71" s="7"/>
    </row>
    <row r="72" spans="3:4" x14ac:dyDescent="0.2">
      <c r="C72" t="s">
        <v>77</v>
      </c>
      <c r="D72" s="7"/>
    </row>
    <row r="73" spans="3:4" x14ac:dyDescent="0.2">
      <c r="C73" t="s">
        <v>78</v>
      </c>
      <c r="D73" s="7"/>
    </row>
    <row r="74" spans="3:4" x14ac:dyDescent="0.2">
      <c r="C74" t="s">
        <v>2</v>
      </c>
      <c r="D74" s="7"/>
    </row>
    <row r="75" spans="3:4" x14ac:dyDescent="0.2">
      <c r="C75" t="s">
        <v>19</v>
      </c>
      <c r="D75" s="7"/>
    </row>
    <row r="76" spans="3:4" x14ac:dyDescent="0.2">
      <c r="C76" t="s">
        <v>79</v>
      </c>
      <c r="D76" s="7"/>
    </row>
    <row r="77" spans="3:4" x14ac:dyDescent="0.2">
      <c r="C77" t="s">
        <v>80</v>
      </c>
      <c r="D77" s="7"/>
    </row>
    <row r="78" spans="3:4" x14ac:dyDescent="0.2">
      <c r="C78" t="s">
        <v>81</v>
      </c>
      <c r="D78" s="7"/>
    </row>
    <row r="79" spans="3:4" x14ac:dyDescent="0.2">
      <c r="C79" t="s">
        <v>23</v>
      </c>
      <c r="D79" s="7"/>
    </row>
    <row r="80" spans="3:4" x14ac:dyDescent="0.2">
      <c r="C80" t="s">
        <v>82</v>
      </c>
      <c r="D80" s="7"/>
    </row>
    <row r="81" spans="3:4" x14ac:dyDescent="0.2">
      <c r="C81" t="s">
        <v>83</v>
      </c>
      <c r="D81" s="7"/>
    </row>
    <row r="82" spans="3:4" x14ac:dyDescent="0.2">
      <c r="C82" t="s">
        <v>84</v>
      </c>
      <c r="D82" s="7"/>
    </row>
    <row r="83" spans="3:4" x14ac:dyDescent="0.2">
      <c r="C83" t="s">
        <v>85</v>
      </c>
      <c r="D83" s="7"/>
    </row>
    <row r="84" spans="3:4" x14ac:dyDescent="0.2">
      <c r="C84" t="s">
        <v>86</v>
      </c>
      <c r="D84" s="7"/>
    </row>
    <row r="85" spans="3:4" x14ac:dyDescent="0.2">
      <c r="C85" t="s">
        <v>87</v>
      </c>
      <c r="D85" s="7"/>
    </row>
    <row r="86" spans="3:4" x14ac:dyDescent="0.2">
      <c r="C86" t="s">
        <v>88</v>
      </c>
      <c r="D86" s="7"/>
    </row>
    <row r="87" spans="3:4" x14ac:dyDescent="0.2">
      <c r="C87" t="s">
        <v>89</v>
      </c>
      <c r="D87" s="7"/>
    </row>
    <row r="88" spans="3:4" x14ac:dyDescent="0.2">
      <c r="C88" t="s">
        <v>90</v>
      </c>
      <c r="D88" s="7"/>
    </row>
    <row r="89" spans="3:4" x14ac:dyDescent="0.2">
      <c r="C89" t="s">
        <v>91</v>
      </c>
      <c r="D89" s="7"/>
    </row>
    <row r="90" spans="3:4" x14ac:dyDescent="0.2">
      <c r="C90" t="s">
        <v>92</v>
      </c>
      <c r="D90" s="7"/>
    </row>
    <row r="91" spans="3:4" x14ac:dyDescent="0.2">
      <c r="C91" t="s">
        <v>93</v>
      </c>
      <c r="D91" s="7"/>
    </row>
    <row r="92" spans="3:4" x14ac:dyDescent="0.2">
      <c r="C92" t="s">
        <v>94</v>
      </c>
      <c r="D92" s="7"/>
    </row>
    <row r="93" spans="3:4" x14ac:dyDescent="0.2">
      <c r="C93" t="s">
        <v>95</v>
      </c>
      <c r="D93" s="7"/>
    </row>
    <row r="94" spans="3:4" x14ac:dyDescent="0.2">
      <c r="C94" t="s">
        <v>96</v>
      </c>
      <c r="D94" s="7"/>
    </row>
    <row r="95" spans="3:4" x14ac:dyDescent="0.2">
      <c r="C95" t="s">
        <v>97</v>
      </c>
      <c r="D95" s="7"/>
    </row>
    <row r="96" spans="3:4" x14ac:dyDescent="0.2">
      <c r="C96" t="s">
        <v>98</v>
      </c>
      <c r="D96" s="7"/>
    </row>
    <row r="97" spans="3:4" x14ac:dyDescent="0.2">
      <c r="C97" t="s">
        <v>99</v>
      </c>
      <c r="D97" s="7"/>
    </row>
    <row r="98" spans="3:4" x14ac:dyDescent="0.2">
      <c r="C98" t="s">
        <v>100</v>
      </c>
      <c r="D98" s="7"/>
    </row>
    <row r="99" spans="3:4" x14ac:dyDescent="0.2">
      <c r="C99" t="s">
        <v>101</v>
      </c>
      <c r="D99" s="7"/>
    </row>
    <row r="100" spans="3:4" x14ac:dyDescent="0.2">
      <c r="C100" t="s">
        <v>102</v>
      </c>
      <c r="D100" s="7"/>
    </row>
    <row r="101" spans="3:4" x14ac:dyDescent="0.2">
      <c r="C101" t="s">
        <v>103</v>
      </c>
      <c r="D101" s="7"/>
    </row>
    <row r="102" spans="3:4" x14ac:dyDescent="0.2">
      <c r="C102" t="s">
        <v>104</v>
      </c>
      <c r="D102" s="7"/>
    </row>
    <row r="103" spans="3:4" x14ac:dyDescent="0.2">
      <c r="C103" t="s">
        <v>105</v>
      </c>
      <c r="D103" s="7"/>
    </row>
    <row r="104" spans="3:4" x14ac:dyDescent="0.2">
      <c r="C104" t="s">
        <v>204</v>
      </c>
      <c r="D104" s="7"/>
    </row>
    <row r="105" spans="3:4" x14ac:dyDescent="0.2">
      <c r="C105" t="s">
        <v>205</v>
      </c>
      <c r="D105" s="7"/>
    </row>
    <row r="106" spans="3:4" x14ac:dyDescent="0.2">
      <c r="C106" t="s">
        <v>17</v>
      </c>
      <c r="D106" s="7"/>
    </row>
    <row r="107" spans="3:4" x14ac:dyDescent="0.2">
      <c r="C107" t="s">
        <v>206</v>
      </c>
      <c r="D107" s="7"/>
    </row>
    <row r="108" spans="3:4" x14ac:dyDescent="0.2">
      <c r="C108" t="s">
        <v>207</v>
      </c>
      <c r="D108" s="7"/>
    </row>
    <row r="109" spans="3:4" x14ac:dyDescent="0.2">
      <c r="C109" t="s">
        <v>208</v>
      </c>
      <c r="D109" s="7"/>
    </row>
    <row r="110" spans="3:4" x14ac:dyDescent="0.2">
      <c r="C110" t="s">
        <v>106</v>
      </c>
      <c r="D110" s="7"/>
    </row>
    <row r="111" spans="3:4" x14ac:dyDescent="0.2">
      <c r="C111" t="s">
        <v>107</v>
      </c>
      <c r="D111" s="7"/>
    </row>
    <row r="112" spans="3:4" x14ac:dyDescent="0.2">
      <c r="C112" t="s">
        <v>108</v>
      </c>
      <c r="D112" s="7"/>
    </row>
    <row r="113" spans="3:4" x14ac:dyDescent="0.2">
      <c r="C113" t="s">
        <v>109</v>
      </c>
      <c r="D113" s="7"/>
    </row>
    <row r="114" spans="3:4" x14ac:dyDescent="0.2">
      <c r="C114" t="s">
        <v>110</v>
      </c>
      <c r="D114" s="7"/>
    </row>
    <row r="115" spans="3:4" x14ac:dyDescent="0.2">
      <c r="C115" t="s">
        <v>111</v>
      </c>
      <c r="D115" s="7"/>
    </row>
    <row r="116" spans="3:4" x14ac:dyDescent="0.2">
      <c r="C116" t="s">
        <v>112</v>
      </c>
      <c r="D116" s="7"/>
    </row>
    <row r="117" spans="3:4" x14ac:dyDescent="0.2">
      <c r="C117" t="s">
        <v>113</v>
      </c>
      <c r="D117" s="7"/>
    </row>
    <row r="118" spans="3:4" x14ac:dyDescent="0.2">
      <c r="C118" t="s">
        <v>114</v>
      </c>
      <c r="D118" s="7"/>
    </row>
    <row r="119" spans="3:4" x14ac:dyDescent="0.2">
      <c r="C119" t="s">
        <v>115</v>
      </c>
      <c r="D119" s="7"/>
    </row>
    <row r="120" spans="3:4" x14ac:dyDescent="0.2">
      <c r="C120" t="s">
        <v>116</v>
      </c>
      <c r="D120" s="7"/>
    </row>
    <row r="121" spans="3:4" x14ac:dyDescent="0.2">
      <c r="C121" t="s">
        <v>117</v>
      </c>
      <c r="D121" s="7"/>
    </row>
    <row r="122" spans="3:4" x14ac:dyDescent="0.2">
      <c r="C122" t="s">
        <v>11</v>
      </c>
      <c r="D122" s="7"/>
    </row>
    <row r="123" spans="3:4" x14ac:dyDescent="0.2">
      <c r="C123" t="s">
        <v>118</v>
      </c>
      <c r="D123" s="7"/>
    </row>
    <row r="124" spans="3:4" x14ac:dyDescent="0.2">
      <c r="C124" t="s">
        <v>119</v>
      </c>
      <c r="D124" s="7"/>
    </row>
    <row r="125" spans="3:4" x14ac:dyDescent="0.2">
      <c r="C125" t="s">
        <v>120</v>
      </c>
      <c r="D125" s="7"/>
    </row>
    <row r="126" spans="3:4" x14ac:dyDescent="0.2">
      <c r="C126" t="s">
        <v>121</v>
      </c>
      <c r="D126" s="7"/>
    </row>
    <row r="127" spans="3:4" x14ac:dyDescent="0.2">
      <c r="C127" t="s">
        <v>122</v>
      </c>
      <c r="D127" s="7"/>
    </row>
    <row r="128" spans="3:4" x14ac:dyDescent="0.2">
      <c r="C128" t="s">
        <v>3</v>
      </c>
      <c r="D128" s="7"/>
    </row>
    <row r="129" spans="3:4" x14ac:dyDescent="0.2">
      <c r="C129" t="s">
        <v>197</v>
      </c>
      <c r="D129" s="7"/>
    </row>
    <row r="130" spans="3:4" x14ac:dyDescent="0.2">
      <c r="C130" t="s">
        <v>123</v>
      </c>
      <c r="D130" s="7"/>
    </row>
    <row r="131" spans="3:4" x14ac:dyDescent="0.2">
      <c r="C131" t="s">
        <v>124</v>
      </c>
      <c r="D131" s="7"/>
    </row>
    <row r="132" spans="3:4" x14ac:dyDescent="0.2">
      <c r="C132" t="s">
        <v>125</v>
      </c>
      <c r="D132" s="7"/>
    </row>
    <row r="133" spans="3:4" x14ac:dyDescent="0.2">
      <c r="C133" t="s">
        <v>209</v>
      </c>
      <c r="D133" s="7"/>
    </row>
    <row r="134" spans="3:4" x14ac:dyDescent="0.2">
      <c r="C134" t="s">
        <v>126</v>
      </c>
      <c r="D134" s="7"/>
    </row>
    <row r="135" spans="3:4" x14ac:dyDescent="0.2">
      <c r="C135" t="s">
        <v>127</v>
      </c>
      <c r="D135" s="7"/>
    </row>
    <row r="136" spans="3:4" x14ac:dyDescent="0.2">
      <c r="C136" t="s">
        <v>128</v>
      </c>
      <c r="D136" s="7"/>
    </row>
    <row r="137" spans="3:4" x14ac:dyDescent="0.2">
      <c r="C137" t="s">
        <v>129</v>
      </c>
      <c r="D137" s="7"/>
    </row>
    <row r="138" spans="3:4" x14ac:dyDescent="0.2">
      <c r="C138" t="s">
        <v>130</v>
      </c>
      <c r="D138" s="7"/>
    </row>
    <row r="139" spans="3:4" x14ac:dyDescent="0.2">
      <c r="C139" t="s">
        <v>131</v>
      </c>
      <c r="D139" s="7"/>
    </row>
    <row r="140" spans="3:4" x14ac:dyDescent="0.2">
      <c r="C140" t="s">
        <v>132</v>
      </c>
      <c r="D140" s="7"/>
    </row>
    <row r="141" spans="3:4" x14ac:dyDescent="0.2">
      <c r="C141" t="s">
        <v>133</v>
      </c>
      <c r="D141" s="7"/>
    </row>
    <row r="142" spans="3:4" x14ac:dyDescent="0.2">
      <c r="C142" t="s">
        <v>134</v>
      </c>
      <c r="D142" s="7"/>
    </row>
    <row r="143" spans="3:4" x14ac:dyDescent="0.2">
      <c r="C143" t="s">
        <v>210</v>
      </c>
      <c r="D143" s="7"/>
    </row>
    <row r="144" spans="3:4" x14ac:dyDescent="0.2">
      <c r="C144" t="s">
        <v>135</v>
      </c>
      <c r="D144" s="7"/>
    </row>
    <row r="145" spans="3:4" x14ac:dyDescent="0.2">
      <c r="C145" t="s">
        <v>136</v>
      </c>
      <c r="D145" s="7"/>
    </row>
    <row r="146" spans="3:4" x14ac:dyDescent="0.2">
      <c r="C146" t="s">
        <v>464</v>
      </c>
      <c r="D146" s="7"/>
    </row>
    <row r="147" spans="3:4" x14ac:dyDescent="0.2">
      <c r="C147" t="s">
        <v>137</v>
      </c>
      <c r="D147" s="7"/>
    </row>
    <row r="148" spans="3:4" x14ac:dyDescent="0.2">
      <c r="C148" t="s">
        <v>138</v>
      </c>
      <c r="D148" s="7"/>
    </row>
    <row r="149" spans="3:4" x14ac:dyDescent="0.2">
      <c r="C149" t="s">
        <v>139</v>
      </c>
      <c r="D149" s="7"/>
    </row>
    <row r="150" spans="3:4" x14ac:dyDescent="0.2">
      <c r="C150" t="s">
        <v>140</v>
      </c>
      <c r="D150" s="7"/>
    </row>
    <row r="151" spans="3:4" x14ac:dyDescent="0.2">
      <c r="C151" t="s">
        <v>141</v>
      </c>
      <c r="D151" s="7"/>
    </row>
    <row r="152" spans="3:4" x14ac:dyDescent="0.2">
      <c r="C152" t="s">
        <v>142</v>
      </c>
      <c r="D152" s="7"/>
    </row>
    <row r="153" spans="3:4" x14ac:dyDescent="0.2">
      <c r="C153" t="s">
        <v>143</v>
      </c>
      <c r="D153" s="7"/>
    </row>
    <row r="154" spans="3:4" x14ac:dyDescent="0.2">
      <c r="C154" t="s">
        <v>144</v>
      </c>
      <c r="D154" s="7"/>
    </row>
    <row r="155" spans="3:4" x14ac:dyDescent="0.2">
      <c r="C155" t="s">
        <v>145</v>
      </c>
      <c r="D155" s="7"/>
    </row>
    <row r="156" spans="3:4" x14ac:dyDescent="0.2">
      <c r="C156" t="s">
        <v>146</v>
      </c>
      <c r="D156" s="7"/>
    </row>
    <row r="157" spans="3:4" x14ac:dyDescent="0.2">
      <c r="C157" t="s">
        <v>147</v>
      </c>
      <c r="D157" s="7"/>
    </row>
    <row r="158" spans="3:4" x14ac:dyDescent="0.2">
      <c r="C158" t="s">
        <v>148</v>
      </c>
      <c r="D158" s="7"/>
    </row>
    <row r="159" spans="3:4" x14ac:dyDescent="0.2">
      <c r="C159" t="s">
        <v>149</v>
      </c>
      <c r="D159" s="7"/>
    </row>
    <row r="160" spans="3:4" x14ac:dyDescent="0.2">
      <c r="C160" t="s">
        <v>150</v>
      </c>
      <c r="D160" s="7"/>
    </row>
    <row r="161" spans="3:4" x14ac:dyDescent="0.2">
      <c r="C161" t="s">
        <v>151</v>
      </c>
      <c r="D161" s="7"/>
    </row>
    <row r="162" spans="3:4" x14ac:dyDescent="0.2">
      <c r="C162" t="s">
        <v>22</v>
      </c>
      <c r="D162" s="7"/>
    </row>
    <row r="163" spans="3:4" x14ac:dyDescent="0.2">
      <c r="C163" t="s">
        <v>211</v>
      </c>
      <c r="D163" s="7"/>
    </row>
    <row r="164" spans="3:4" x14ac:dyDescent="0.2">
      <c r="C164" t="s">
        <v>25</v>
      </c>
      <c r="D164" s="7"/>
    </row>
    <row r="165" spans="3:4" x14ac:dyDescent="0.2">
      <c r="C165" t="s">
        <v>21</v>
      </c>
      <c r="D165" s="7"/>
    </row>
    <row r="166" spans="3:4" x14ac:dyDescent="0.2">
      <c r="C166" t="s">
        <v>152</v>
      </c>
      <c r="D166" s="7"/>
    </row>
    <row r="167" spans="3:4" x14ac:dyDescent="0.2">
      <c r="C167" t="s">
        <v>153</v>
      </c>
      <c r="D167" s="7"/>
    </row>
    <row r="168" spans="3:4" x14ac:dyDescent="0.2">
      <c r="C168" t="s">
        <v>154</v>
      </c>
      <c r="D168" s="7"/>
    </row>
    <row r="169" spans="3:4" x14ac:dyDescent="0.2">
      <c r="C169" t="s">
        <v>220</v>
      </c>
      <c r="D169" s="7"/>
    </row>
    <row r="170" spans="3:4" x14ac:dyDescent="0.2">
      <c r="C170" t="s">
        <v>212</v>
      </c>
      <c r="D170" s="7"/>
    </row>
    <row r="171" spans="3:4" x14ac:dyDescent="0.2">
      <c r="C171" t="s">
        <v>155</v>
      </c>
      <c r="D171" s="7"/>
    </row>
    <row r="172" spans="3:4" x14ac:dyDescent="0.2">
      <c r="C172" t="s">
        <v>156</v>
      </c>
      <c r="D172" s="7"/>
    </row>
    <row r="173" spans="3:4" x14ac:dyDescent="0.2">
      <c r="C173" t="s">
        <v>157</v>
      </c>
      <c r="D173" s="7"/>
    </row>
    <row r="174" spans="3:4" x14ac:dyDescent="0.2">
      <c r="C174" t="s">
        <v>158</v>
      </c>
      <c r="D174" s="7"/>
    </row>
    <row r="175" spans="3:4" x14ac:dyDescent="0.2">
      <c r="C175" t="s">
        <v>159</v>
      </c>
      <c r="D175" s="7"/>
    </row>
    <row r="176" spans="3:4" x14ac:dyDescent="0.2">
      <c r="C176" t="s">
        <v>160</v>
      </c>
      <c r="D176" s="7"/>
    </row>
    <row r="177" spans="3:4" x14ac:dyDescent="0.2">
      <c r="C177" t="s">
        <v>161</v>
      </c>
      <c r="D177" s="7"/>
    </row>
    <row r="178" spans="3:4" x14ac:dyDescent="0.2">
      <c r="C178" t="s">
        <v>162</v>
      </c>
      <c r="D178" s="7"/>
    </row>
    <row r="179" spans="3:4" x14ac:dyDescent="0.2">
      <c r="C179" t="s">
        <v>213</v>
      </c>
      <c r="D179" s="7"/>
    </row>
    <row r="180" spans="3:4" x14ac:dyDescent="0.2">
      <c r="C180" t="s">
        <v>214</v>
      </c>
      <c r="D180" s="7"/>
    </row>
    <row r="181" spans="3:4" x14ac:dyDescent="0.2">
      <c r="C181" t="s">
        <v>215</v>
      </c>
      <c r="D181" s="7"/>
    </row>
    <row r="182" spans="3:4" x14ac:dyDescent="0.2">
      <c r="C182" t="s">
        <v>216</v>
      </c>
      <c r="D182" s="7"/>
    </row>
    <row r="183" spans="3:4" x14ac:dyDescent="0.2">
      <c r="C183" t="s">
        <v>217</v>
      </c>
      <c r="D183" s="7"/>
    </row>
    <row r="184" spans="3:4" x14ac:dyDescent="0.2">
      <c r="C184" t="s">
        <v>218</v>
      </c>
      <c r="D184" s="7"/>
    </row>
    <row r="185" spans="3:4" x14ac:dyDescent="0.2">
      <c r="C185" t="s">
        <v>219</v>
      </c>
      <c r="D185" s="8"/>
    </row>
    <row r="186" spans="3:4" x14ac:dyDescent="0.2">
      <c r="C186" t="s">
        <v>12</v>
      </c>
      <c r="D186" s="8"/>
    </row>
    <row r="187" spans="3:4" x14ac:dyDescent="0.2">
      <c r="C187" t="s">
        <v>163</v>
      </c>
    </row>
    <row r="188" spans="3:4" x14ac:dyDescent="0.2">
      <c r="C188" t="s">
        <v>164</v>
      </c>
    </row>
  </sheetData>
  <sortState xmlns:xlrd2="http://schemas.microsoft.com/office/spreadsheetml/2017/richdata2" ref="F2:F175">
    <sortCondition ref="F2:F175"/>
  </sortState>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DictionaryName</vt:lpstr>
      <vt:lpstr>Definitions</vt:lpstr>
      <vt:lpstr>AssociatedElements</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Ponti, Daniel J</cp:lastModifiedBy>
  <dcterms:created xsi:type="dcterms:W3CDTF">2018-10-28T20:07:54Z</dcterms:created>
  <dcterms:modified xsi:type="dcterms:W3CDTF">2025-12-17T22:55:34Z</dcterms:modified>
</cp:coreProperties>
</file>