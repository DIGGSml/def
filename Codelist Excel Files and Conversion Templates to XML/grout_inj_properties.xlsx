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tables/table4.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1720" yWindow="3840" windowWidth="35840" windowHeight="20900" tabRatio="500" firstSheet="0" activeTab="1" autoFilterDateGrouping="1"/>
  </bookViews>
  <sheets>
    <sheet xmlns:r="http://schemas.openxmlformats.org/officeDocument/2006/relationships" name="DictionaryName" sheetId="1" state="visible" r:id="rId1"/>
    <sheet xmlns:r="http://schemas.openxmlformats.org/officeDocument/2006/relationships" name="Definitions" sheetId="2" state="visible" r:id="rId2"/>
    <sheet xmlns:r="http://schemas.openxmlformats.org/officeDocument/2006/relationships" name="AssociatedElements" sheetId="3" state="visible" r:id="rId3"/>
    <sheet xmlns:r="http://schemas.openxmlformats.org/officeDocument/2006/relationships" name="AlternateNames" sheetId="4" state="visible" r:id="rId4"/>
    <sheet xmlns:r="http://schemas.openxmlformats.org/officeDocument/2006/relationships" name="Lists" sheetId="5" state="visible" r:id="rId5"/>
  </sheets>
  <definedNames/>
  <calcPr calcId="191029" fullCalcOnLoad="1"/>
</workbook>
</file>

<file path=xl/styles.xml><?xml version="1.0" encoding="utf-8"?>
<styleSheet xmlns="http://schemas.openxmlformats.org/spreadsheetml/2006/main">
  <numFmts count="0"/>
  <fonts count="16">
    <font>
      <name val="Calibri"/>
      <family val="2"/>
      <color theme="1"/>
      <sz val="12"/>
      <scheme val="minor"/>
    </font>
    <font>
      <name val="Calibri"/>
      <family val="2"/>
      <b val="1"/>
      <color theme="1"/>
      <sz val="12"/>
      <scheme val="minor"/>
    </font>
    <font>
      <name val="Calibri"/>
      <family val="2"/>
      <color theme="10"/>
      <sz val="12"/>
      <u val="single"/>
      <scheme val="minor"/>
    </font>
    <font>
      <name val="Calibri"/>
      <family val="2"/>
      <color theme="11"/>
      <sz val="12"/>
      <u val="single"/>
      <scheme val="minor"/>
    </font>
    <font>
      <name val="Calibri"/>
      <family val="2"/>
      <sz val="12"/>
      <scheme val="minor"/>
    </font>
    <font>
      <name val="Calibri"/>
      <family val="2"/>
      <b val="1"/>
      <color theme="0"/>
      <sz val="12"/>
      <scheme val="minor"/>
    </font>
    <font>
      <name val="Calibri"/>
      <family val="2"/>
      <color theme="0"/>
      <sz val="12"/>
      <scheme val="minor"/>
    </font>
    <font>
      <name val="Verdana"/>
      <family val="2"/>
      <b val="1"/>
      <color theme="0"/>
      <sz val="10"/>
    </font>
    <font>
      <name val="Helvetica"/>
      <family val="2"/>
      <color rgb="FF000000"/>
      <sz val="12"/>
    </font>
    <font>
      <name val="Helvetica"/>
      <family val="2"/>
      <color rgb="FF003296"/>
      <sz val="12"/>
    </font>
    <font>
      <name val="Calibri"/>
      <family val="2"/>
      <b val="1"/>
      <color rgb="FFFFFFFF"/>
      <sz val="12"/>
      <scheme val="minor"/>
    </font>
    <font>
      <name val="Calibri"/>
      <family val="2"/>
      <color rgb="FFC00000"/>
      <sz val="12"/>
      <scheme val="minor"/>
    </font>
    <font>
      <name val="Calibri"/>
      <family val="2"/>
      <color theme="1"/>
      <sz val="12"/>
      <scheme val="minor"/>
    </font>
    <font>
      <name val="Aptos Narrow"/>
      <family val="2"/>
      <color rgb="FF000000"/>
      <sz val="12"/>
    </font>
    <font>
      <name val="Helvetica"/>
      <family val="2"/>
      <color theme="1"/>
      <sz val="12"/>
    </font>
    <font>
      <b val="1"/>
    </font>
  </fonts>
  <fills count="5">
    <fill>
      <patternFill/>
    </fill>
    <fill>
      <patternFill patternType="gray125"/>
    </fill>
    <fill>
      <patternFill patternType="solid">
        <fgColor rgb="FF4472C4"/>
        <bgColor rgb="FF4472C4"/>
      </patternFill>
    </fill>
    <fill>
      <patternFill patternType="solid">
        <fgColor rgb="FFDBE5F1"/>
        <bgColor indexed="64"/>
      </patternFill>
    </fill>
    <fill>
      <patternFill patternType="solid">
        <fgColor rgb="FFB4C6E7"/>
        <bgColor rgb="FFB4C6E7"/>
      </patternFill>
    </fill>
  </fills>
  <borders count="6">
    <border>
      <left/>
      <right/>
      <top/>
      <bottom/>
      <diagonal/>
    </border>
    <border>
      <left style="thin">
        <color rgb="FFFFFFFF"/>
      </left>
      <right style="thin">
        <color rgb="FFFFFFFF"/>
      </right>
      <top/>
      <bottom style="thick">
        <color rgb="FFFFFFFF"/>
      </bottom>
      <diagonal/>
    </border>
    <border>
      <left/>
      <right style="thin">
        <color rgb="FFFFFFFF"/>
      </right>
      <top/>
      <bottom style="thin">
        <color rgb="FFFFFFFF"/>
      </bottom>
      <diagonal/>
    </border>
    <border>
      <left/>
      <right style="thin">
        <color rgb="FFFFFFFF"/>
      </right>
      <top/>
      <bottom/>
      <diagonal/>
    </border>
    <border>
      <left style="thin">
        <color rgb="FFFFFFFF"/>
      </left>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s>
  <cellStyleXfs count="3">
    <xf numFmtId="0" fontId="12" fillId="0" borderId="0"/>
    <xf numFmtId="0" fontId="2" fillId="0" borderId="0"/>
    <xf numFmtId="0" fontId="3" fillId="0" borderId="0"/>
  </cellStyleXfs>
  <cellXfs count="27">
    <xf numFmtId="0" fontId="0" fillId="0" borderId="0" pivotButton="0" quotePrefix="0" xfId="0"/>
    <xf numFmtId="0" fontId="1" fillId="0" borderId="0" applyAlignment="1" pivotButton="0" quotePrefix="0" xfId="0">
      <alignment vertical="center" wrapText="1"/>
    </xf>
    <xf numFmtId="0" fontId="0" fillId="0" borderId="0" applyAlignment="1" pivotButton="0" quotePrefix="0" xfId="0">
      <alignment vertical="center" wrapText="1"/>
    </xf>
    <xf numFmtId="0" fontId="4" fillId="0" borderId="0" pivotButton="0" quotePrefix="0" xfId="0"/>
    <xf numFmtId="0" fontId="7" fillId="0" borderId="0" pivotButton="0" quotePrefix="0" xfId="0"/>
    <xf numFmtId="0" fontId="5" fillId="0" borderId="0" pivotButton="0" quotePrefix="0" xfId="0"/>
    <xf numFmtId="0" fontId="6" fillId="0" borderId="0" pivotButton="0" quotePrefix="0" xfId="0"/>
    <xf numFmtId="0" fontId="9" fillId="0" borderId="0" pivotButton="0" quotePrefix="0" xfId="0"/>
    <xf numFmtId="0" fontId="8" fillId="0" borderId="0" pivotButton="0" quotePrefix="0" xfId="0"/>
    <xf numFmtId="0" fontId="11" fillId="0" borderId="0" pivotButton="0" quotePrefix="0" xfId="0"/>
    <xf numFmtId="0" fontId="0" fillId="0" borderId="0" applyAlignment="1" pivotButton="0" quotePrefix="0" xfId="0">
      <alignment wrapText="1"/>
    </xf>
    <xf numFmtId="0" fontId="4" fillId="0" borderId="0" applyAlignment="1" pivotButton="0" quotePrefix="0" xfId="0">
      <alignment horizontal="left" vertical="center"/>
    </xf>
    <xf numFmtId="0" fontId="1" fillId="0" borderId="0" applyAlignment="1" pivotButton="0" quotePrefix="0" xfId="0">
      <alignment wrapText="1"/>
    </xf>
    <xf numFmtId="0" fontId="10" fillId="2" borderId="1" applyAlignment="1" pivotButton="0" quotePrefix="0" xfId="0">
      <alignment wrapText="1"/>
    </xf>
    <xf numFmtId="0" fontId="0" fillId="0" borderId="0" applyAlignment="1" pivotButton="0" quotePrefix="0" xfId="0">
      <alignment vertical="center"/>
    </xf>
    <xf numFmtId="0" fontId="0" fillId="3" borderId="2" applyAlignment="1" pivotButton="0" quotePrefix="0" xfId="0">
      <alignment horizontal="left" vertical="top" wrapText="1"/>
    </xf>
    <xf numFmtId="0" fontId="0" fillId="0" borderId="0" applyAlignment="1" pivotButton="0" quotePrefix="0" xfId="0">
      <alignment horizontal="left" vertical="center" wrapText="1"/>
    </xf>
    <xf numFmtId="0" fontId="4" fillId="3" borderId="3" applyAlignment="1" pivotButton="0" quotePrefix="0" xfId="0">
      <alignment horizontal="left" vertical="top" wrapText="1"/>
    </xf>
    <xf numFmtId="0" fontId="4" fillId="3" borderId="2" applyAlignment="1" pivotButton="0" quotePrefix="0" xfId="0">
      <alignment horizontal="left" vertical="top" wrapText="1"/>
    </xf>
    <xf numFmtId="0" fontId="4" fillId="0" borderId="0" applyAlignment="1" pivotButton="0" quotePrefix="0" xfId="0">
      <alignment vertical="center"/>
    </xf>
    <xf numFmtId="0" fontId="4" fillId="0" borderId="4" pivotButton="0" quotePrefix="0" xfId="0"/>
    <xf numFmtId="0" fontId="13" fillId="0" borderId="0" applyAlignment="1" pivotButton="0" quotePrefix="0" xfId="0">
      <alignment vertical="center"/>
    </xf>
    <xf numFmtId="0" fontId="12" fillId="0" borderId="0" applyAlignment="1" pivotButton="0" quotePrefix="0" xfId="0">
      <alignment vertical="center" wrapText="1"/>
    </xf>
    <xf numFmtId="0" fontId="13" fillId="4" borderId="0" applyAlignment="1" pivotButton="0" quotePrefix="0" xfId="0">
      <alignment vertical="center"/>
    </xf>
    <xf numFmtId="0" fontId="0" fillId="0" borderId="5" pivotButton="0" quotePrefix="0" xfId="0"/>
    <xf numFmtId="0" fontId="14" fillId="0" borderId="0" pivotButton="0" quotePrefix="0" xfId="0"/>
    <xf numFmtId="0" fontId="15" fillId="0" borderId="0" pivotButton="0" quotePrefix="0" xfId="0"/>
  </cellXfs>
  <cellStyles count="3">
    <cellStyle name="Normal" xfId="0" builtinId="0"/>
    <cellStyle name="Hyperlink" xfId="1" builtinId="8" hidden="1"/>
    <cellStyle name="Followed Hyperlink" xfId="2" builtinId="9" hidden="1"/>
  </cellStyles>
  <dxfs count="22">
    <dxf>
      <font>
        <name val="Calibri"/>
        <family val="2"/>
        <strike val="0"/>
        <outline val="0"/>
        <shadow val="0"/>
        <condense val="0"/>
        <color auto="1"/>
        <extend val="0"/>
        <sz val="12"/>
        <vertAlign val="baseline"/>
        <scheme val="minor"/>
      </font>
    </dxf>
    <dxf>
      <font>
        <name val="Calibri"/>
        <strike val="0"/>
        <outline val="0"/>
        <shadow val="0"/>
        <condense val="0"/>
        <color auto="1"/>
        <extend val="0"/>
        <sz val="12"/>
        <vertAlign val="baseline"/>
        <scheme val="minor"/>
      </font>
      <fill>
        <patternFill>
          <fgColor indexed="64"/>
          <bgColor indexed="65"/>
        </patternFill>
      </fill>
      <alignment horizontal="general" vertical="bottom"/>
    </dxf>
    <dxf>
      <fill>
        <patternFill>
          <fgColor indexed="64"/>
          <bgColor indexed="65"/>
        </patternFill>
      </fill>
      <alignment horizontal="general" vertical="center"/>
    </dxf>
    <dxf>
      <numFmt numFmtId="0" formatCode="General"/>
      <fill>
        <patternFill>
          <fgColor indexed="64"/>
          <bgColor indexed="65"/>
        </patternFill>
      </fill>
      <alignment horizontal="general" vertical="bottom"/>
    </dxf>
    <dxf>
      <font>
        <strike val="0"/>
        <outline val="0"/>
        <shadow val="0"/>
        <color theme="0"/>
        <vertAlign val="baseline"/>
      </font>
    </dxf>
    <dxf>
      <alignment horizontal="general" vertical="center" wrapText="1"/>
    </dxf>
    <dxf>
      <alignment horizontal="general" vertical="center" wrapText="1"/>
    </dxf>
    <dxf>
      <alignment horizontal="general" wrapText="1"/>
    </dxf>
    <dxf>
      <alignment horizontal="general" vertical="center" wrapText="1"/>
    </dxf>
    <dxf>
      <alignment horizontal="general" vertical="center" wrapText="1"/>
    </dxf>
    <dxf>
      <alignment horizontal="general" vertical="center" wrapText="1"/>
    </dxf>
    <dxf>
      <font>
        <name val="Calibri"/>
        <b val="1"/>
        <strike val="0"/>
        <outline val="0"/>
        <shadow val="0"/>
        <condense val="0"/>
        <color theme="1"/>
        <extend val="0"/>
        <sz val="12"/>
        <vertAlign val="baseline"/>
        <scheme val="minor"/>
      </font>
      <alignment horizontal="general" wrapText="1"/>
    </dxf>
    <dxf>
      <alignment horizontal="general" vertical="center" wrapText="1"/>
    </dxf>
    <dxf>
      <font>
        <color auto="1"/>
      </font>
      <alignment horizontal="left" vertical="center"/>
    </dxf>
    <dxf>
      <alignment horizontal="general" vertical="center" wrapText="1"/>
    </dxf>
    <dxf>
      <font>
        <color auto="1"/>
      </font>
      <alignment horizontal="general" vertical="center"/>
    </dxf>
    <dxf>
      <font>
        <name val="Calibri"/>
        <strike val="0"/>
        <outline val="0"/>
        <shadow val="0"/>
        <color auto="1"/>
        <sz val="12"/>
        <vertAlign val="baseline"/>
        <scheme val="minor"/>
      </font>
      <fill>
        <patternFill patternType="solid">
          <fgColor indexed="64"/>
          <bgColor rgb="FFDBE5F1"/>
        </patternFill>
      </fill>
      <alignment horizontal="left" vertical="top" wrapText="1"/>
      <border>
        <left/>
        <right style="thin">
          <color rgb="FFFFFFFF"/>
        </right>
        <top/>
        <bottom style="thin">
          <color rgb="FFFFFFFF"/>
        </bottom>
        <vertical/>
        <horizontal/>
      </border>
    </dxf>
    <dxf>
      <font>
        <color auto="1"/>
      </font>
      <fill>
        <patternFill patternType="solid">
          <fgColor indexed="64"/>
          <bgColor rgb="FFDBE5F1"/>
        </patternFill>
      </fill>
      <alignment horizontal="left" vertical="top" wrapText="1"/>
      <border>
        <left/>
        <right style="thin">
          <color rgb="FFFFFFFF"/>
        </right>
        <top/>
        <bottom style="thin">
          <color rgb="FFFFFFFF"/>
        </bottom>
        <vertical/>
        <horizontal/>
      </border>
    </dxf>
    <dxf>
      <alignment horizontal="left" vertical="center" wrapText="1"/>
    </dxf>
    <dxf>
      <numFmt numFmtId="0" formatCode="General"/>
      <alignment horizontal="general" vertical="center" wrapText="1"/>
    </dxf>
    <dxf>
      <alignment horizontal="general" vertical="center" wrapText="1"/>
    </dxf>
    <dxf>
      <font>
        <name val="Calibri"/>
        <b val="1"/>
        <strike val="0"/>
        <outline val="0"/>
        <shadow val="0"/>
        <condense val="0"/>
        <color theme="1"/>
        <extend val="0"/>
        <sz val="12"/>
        <vertAlign val="baseline"/>
        <scheme val="minor"/>
      </font>
      <alignment horizontal="general" vertical="center" wrapText="1"/>
    </dxf>
  </dxfs>
  <tableStyles count="0" defaultTableStyle="TableStyleMedium9" defaultPivotStyle="PivotStyleMedium7"/>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ables/table1.xml><?xml version="1.0" encoding="utf-8"?>
<table xmlns="http://schemas.openxmlformats.org/spreadsheetml/2006/main" id="1" name="DictionaryName" displayName="DictionaryName" ref="A1:E3" headerRowCount="1" totalsRowShown="0" headerRowDxfId="11" dataDxfId="10">
  <autoFilter ref="A1:E3"/>
  <tableColumns count="5">
    <tableColumn id="1" name="Start" dataDxfId="9"/>
    <tableColumn id="4" name="Dictionary ID" dataDxfId="8"/>
    <tableColumn id="5" name="DictionaryFile" dataDxfId="7"/>
    <tableColumn id="2" name="DictionaryName" dataDxfId="6"/>
    <tableColumn id="3" name="Description" dataDxfId="5"/>
  </tableColumns>
  <tableStyleInfo name="TableStyleMedium9" showFirstColumn="0" showLastColumn="0" showRowStripes="1" showColumnStripes="0"/>
</table>
</file>

<file path=xl/tables/table2.xml><?xml version="1.0" encoding="utf-8"?>
<table xmlns="http://schemas.openxmlformats.org/spreadsheetml/2006/main" id="2" name="Definitions" displayName="Definitions" ref="A1:H37" headerRowCount="1" totalsRowShown="0" headerRowDxfId="21" dataDxfId="20">
  <autoFilter ref="A1:H37"/>
  <tableColumns count="8">
    <tableColumn id="1" name="Start" dataDxfId="19">
      <calculatedColumnFormula>IF(ISNA(VLOOKUP(B2,AssociatedElements!B$2:B423,1,FALSE)),"Not used","")</calculatedColumnFormula>
    </tableColumn>
    <tableColumn id="10" name="ID" dataDxfId="18"/>
    <tableColumn id="7" name="Name" dataDxfId="17"/>
    <tableColumn id="3" name="Description" dataDxfId="16"/>
    <tableColumn id="4" name="DataType" dataDxfId="15"/>
    <tableColumn id="5" name="QuantityClass" dataDxfId="14"/>
    <tableColumn id="6" name="Authority" dataDxfId="13"/>
    <tableColumn id="9" name="Reference" dataDxfId="12"/>
  </tableColumns>
  <tableStyleInfo name="TableStyleMedium9" showFirstColumn="0" showLastColumn="0" showRowStripes="1" showColumnStripes="0"/>
</table>
</file>

<file path=xl/tables/table3.xml><?xml version="1.0" encoding="utf-8"?>
<table xmlns="http://schemas.openxmlformats.org/spreadsheetml/2006/main" id="3" name="AssociatedElements" displayName="AssociatedElements" ref="A1:E58" headerRowCount="1" totalsRowShown="0" headerRowDxfId="4">
  <autoFilter ref="A1:E58"/>
  <sortState ref="A2:E45">
    <sortCondition ref="B1:B45"/>
  </sortState>
  <tableColumns count="5">
    <tableColumn id="1" name="Start" dataDxfId="3">
      <calculatedColumnFormula>IF(ISNA(VLOOKUP(B2,Definitions!B$2:B$1843,1,FALSE)),"Not listed","")</calculatedColumnFormula>
    </tableColumn>
    <tableColumn id="4" name="ID" dataDxfId="2"/>
    <tableColumn id="2" name="SourceElement" dataDxfId="1"/>
    <tableColumn id="3" name="ConditionalElement" dataDxfId="0"/>
    <tableColumn id="5" name="Column1"/>
  </tableColumns>
  <tableStyleInfo name="TableStyleMedium9" showFirstColumn="0" showLastColumn="0" showRowStripes="1" showColumnStripes="0"/>
</table>
</file>

<file path=xl/tables/table4.xml><?xml version="1.0" encoding="utf-8"?>
<table xmlns="http://schemas.openxmlformats.org/spreadsheetml/2006/main" id="4" name="Table6" displayName="Table6" ref="A1:C187" headerRowCount="1" totalsRowShown="0">
  <autoFilter ref="A1:C187"/>
  <sortState ref="A2:C187">
    <sortCondition ref="C1:C187"/>
  </sortState>
  <tableColumns count="3">
    <tableColumn id="1" name="DataType"/>
    <tableColumn id="2" name="DataType2"/>
    <tableColumn id="3" name="QuantityClass"/>
  </tableColumns>
  <tableStyleInfo name="TableStyleMedium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sheet1.xml><?xml version="1.0" encoding="utf-8"?>
<worksheet xmlns="http://schemas.openxmlformats.org/spreadsheetml/2006/main">
  <sheetPr codeName="Sheet1">
    <outlinePr summaryBelow="1" summaryRight="1"/>
    <pageSetUpPr/>
  </sheetPr>
  <dimension ref="A1:E3"/>
  <sheetViews>
    <sheetView workbookViewId="0">
      <selection activeCell="E3" sqref="E3"/>
    </sheetView>
  </sheetViews>
  <sheetFormatPr baseColWidth="10" defaultColWidth="11" defaultRowHeight="16"/>
  <cols>
    <col width="7.5" customWidth="1" style="10" min="1" max="1"/>
    <col width="41.33203125" customWidth="1" style="10" min="2" max="2"/>
    <col width="26.33203125" customWidth="1" style="10" min="3" max="3"/>
    <col width="21.6640625" customWidth="1" style="10" min="4" max="4"/>
    <col width="76" customWidth="1" style="10" min="5" max="5"/>
    <col width="11" customWidth="1" style="10" min="6" max="6"/>
    <col width="11" customWidth="1" style="10" min="7" max="16384"/>
  </cols>
  <sheetData>
    <row r="1" ht="18" customFormat="1" customHeight="1" s="12" thickBot="1">
      <c r="A1" s="12" t="inlineStr">
        <is>
          <t>Start</t>
        </is>
      </c>
      <c r="B1" s="12" t="inlineStr">
        <is>
          <t>Dictionary ID</t>
        </is>
      </c>
      <c r="C1" s="13" t="inlineStr">
        <is>
          <t>DictionaryFile</t>
        </is>
      </c>
      <c r="D1" s="12" t="inlineStr">
        <is>
          <t>DictionaryName</t>
        </is>
      </c>
      <c r="E1" s="12" t="inlineStr">
        <is>
          <t>Description</t>
        </is>
      </c>
    </row>
    <row r="2" ht="18" customFormat="1" customHeight="1" s="12" thickTop="1">
      <c r="A2" s="1" t="n"/>
      <c r="B2" s="1" t="n"/>
      <c r="C2" s="1" t="n"/>
      <c r="D2" s="1" t="n"/>
      <c r="E2" s="1" t="inlineStr">
        <is>
          <t>Leave this line blank</t>
        </is>
      </c>
    </row>
    <row r="3" ht="51" customFormat="1" customHeight="1" s="2">
      <c r="B3" s="2" t="inlineStr">
        <is>
          <t>propertyClass</t>
        </is>
      </c>
      <c r="C3" s="2" t="inlineStr">
        <is>
          <t>gr_inj_properties</t>
        </is>
      </c>
      <c r="D3" s="2" t="inlineStr">
        <is>
          <t>DIGGS Grout Injection Properties</t>
        </is>
      </c>
      <c r="E3" s="2" t="inlineStr">
        <is>
          <t>Dictionary defining the values for recorded grout injection properties for both staged and continuous grouting activities. These values are used in the propertyClass property of the "GroutinjectionProperty" and "ContinuousGroutInjectionProperty" objects.</t>
        </is>
      </c>
    </row>
  </sheetData>
  <pageMargins left="0.7" right="0.7" top="0.75" bottom="0.75" header="0.3" footer="0.3"/>
  <pageSetup orientation="portrait" horizontalDpi="0" verticalDpi="0"/>
  <tableParts count="1">
    <tablePart xmlns:r="http://schemas.openxmlformats.org/officeDocument/2006/relationships" r:id="rId1"/>
  </tableParts>
</worksheet>
</file>

<file path=xl/worksheets/sheet2.xml><?xml version="1.0" encoding="utf-8"?>
<worksheet xmlns="http://schemas.openxmlformats.org/spreadsheetml/2006/main">
  <sheetPr codeName="Sheet2">
    <outlinePr summaryBelow="1" summaryRight="1"/>
    <pageSetUpPr/>
  </sheetPr>
  <dimension ref="A1:H40"/>
  <sheetViews>
    <sheetView tabSelected="1" zoomScale="120" zoomScaleNormal="120" workbookViewId="0">
      <selection activeCell="E28" sqref="E28"/>
    </sheetView>
  </sheetViews>
  <sheetFormatPr baseColWidth="10" defaultColWidth="10.83203125" defaultRowHeight="16"/>
  <cols>
    <col width="16.1640625" customWidth="1" style="2" min="1" max="1"/>
    <col width="25.83203125" customWidth="1" style="2" min="2" max="2"/>
    <col width="31.6640625" customWidth="1" style="2" min="3" max="3"/>
    <col width="84.6640625" customWidth="1" style="2" min="4" max="4"/>
    <col width="11.1640625" customWidth="1" style="2" min="5" max="5"/>
    <col width="25.6640625" bestFit="1" customWidth="1" style="2" min="6" max="6"/>
    <col width="17.83203125" customWidth="1" style="2" min="7" max="7"/>
    <col width="20.83203125" customWidth="1" style="2" min="8" max="8"/>
    <col width="10.83203125" customWidth="1" style="2" min="9" max="9"/>
    <col width="10.83203125" customWidth="1" style="2" min="10" max="16384"/>
  </cols>
  <sheetData>
    <row r="1" ht="17" customFormat="1" customHeight="1" s="1">
      <c r="A1" s="1" t="inlineStr">
        <is>
          <t>Start</t>
        </is>
      </c>
      <c r="B1" s="1" t="inlineStr">
        <is>
          <t>ID</t>
        </is>
      </c>
      <c r="C1" s="1" t="inlineStr">
        <is>
          <t>Name</t>
        </is>
      </c>
      <c r="D1" s="1" t="inlineStr">
        <is>
          <t>Description</t>
        </is>
      </c>
      <c r="E1" s="1" t="inlineStr">
        <is>
          <t>DataType</t>
        </is>
      </c>
      <c r="F1" s="1" t="inlineStr">
        <is>
          <t>QuantityClass</t>
        </is>
      </c>
      <c r="G1" s="1" t="inlineStr">
        <is>
          <t>Authority</t>
        </is>
      </c>
      <c r="H1" s="1" t="inlineStr">
        <is>
          <t>Reference</t>
        </is>
      </c>
    </row>
    <row r="2" ht="17" customHeight="1">
      <c r="A2" s="2">
        <f>IF(ISNA(VLOOKUP(B2,AssociatedElements!B$2:B423,1,FALSE)),"Not used","")</f>
        <v/>
      </c>
      <c r="B2" s="16" t="inlineStr">
        <is>
          <t>apparent_lugeon_value</t>
        </is>
      </c>
      <c r="C2" s="15" t="inlineStr">
        <is>
          <t>apparent lugeon value</t>
        </is>
      </c>
      <c r="D2" s="15" t="inlineStr">
        <is>
          <t>Measure of permeability via in-site pressure testing</t>
        </is>
      </c>
      <c r="E2" s="14" t="inlineStr">
        <is>
          <t>double</t>
        </is>
      </c>
      <c r="F2" s="2" t="inlineStr">
        <is>
          <t>dimensionless</t>
        </is>
      </c>
      <c r="G2" s="11" t="n"/>
    </row>
    <row r="3" ht="17" customHeight="1">
      <c r="A3" s="2">
        <f>IF(ISNA(VLOOKUP(B3,AssociatedElements!B$2:B424,1,FALSE)),"Not used","")</f>
        <v/>
      </c>
      <c r="B3" s="16" t="inlineStr">
        <is>
          <t>column_pressure</t>
        </is>
      </c>
      <c r="C3" s="17" t="inlineStr">
        <is>
          <t>column pressure</t>
        </is>
      </c>
      <c r="D3" s="17" t="inlineStr">
        <is>
          <t>Calculated hydrostatic pressure on borehole wall</t>
        </is>
      </c>
      <c r="E3" s="19" t="inlineStr">
        <is>
          <t>double</t>
        </is>
      </c>
      <c r="F3" s="2" t="inlineStr">
        <is>
          <t>pressure</t>
        </is>
      </c>
      <c r="G3" s="11" t="n"/>
    </row>
    <row r="4" ht="17" customHeight="1">
      <c r="A4" s="2">
        <f>IF(ISNA(VLOOKUP(B4,AssociatedElements!B$2:B425,1,FALSE)),"Not used","")</f>
        <v/>
      </c>
      <c r="B4" s="16" t="inlineStr">
        <is>
          <t>crowd_pressure</t>
        </is>
      </c>
      <c r="C4" s="17" t="inlineStr">
        <is>
          <t>crowd pressure</t>
        </is>
      </c>
      <c r="D4" s="17" t="inlineStr">
        <is>
          <t>Downward hydraulic pressure of the drill (not at the bit)</t>
        </is>
      </c>
      <c r="E4" s="19" t="inlineStr">
        <is>
          <t>double</t>
        </is>
      </c>
      <c r="F4" s="2" t="inlineStr">
        <is>
          <t>pressure</t>
        </is>
      </c>
      <c r="G4" s="11" t="n"/>
    </row>
    <row r="5" ht="17" customHeight="1">
      <c r="A5" s="2">
        <f>IF(ISNA(VLOOKUP(B5,AssociatedElements!B$2:B426,1,FALSE)),"Not used","")</f>
        <v/>
      </c>
      <c r="B5" s="16" t="inlineStr">
        <is>
          <t>depth</t>
        </is>
      </c>
      <c r="C5" s="17" t="inlineStr">
        <is>
          <t>depth</t>
        </is>
      </c>
      <c r="D5" s="17" t="inlineStr">
        <is>
          <t>Depth of the monitor at a specific time instance</t>
        </is>
      </c>
      <c r="E5" s="19" t="inlineStr">
        <is>
          <t>double</t>
        </is>
      </c>
      <c r="F5" s="2" t="inlineStr">
        <is>
          <t>length</t>
        </is>
      </c>
      <c r="G5" s="11" t="n"/>
    </row>
    <row r="6" ht="17" customHeight="1">
      <c r="A6" s="2">
        <f>IF(ISNA(VLOOKUP(B6,AssociatedElements!B$2:B427,1,FALSE)),"Not used","")</f>
        <v/>
      </c>
      <c r="B6" s="16" t="inlineStr">
        <is>
          <t>drilling_index</t>
        </is>
      </c>
      <c r="C6" s="17" t="inlineStr">
        <is>
          <t>drilling index</t>
        </is>
      </c>
      <c r="D6" s="17" t="inlineStr">
        <is>
          <t>Measure of bit performance calculated using a number of dimensionless parameters</t>
        </is>
      </c>
      <c r="E6" s="19" t="inlineStr">
        <is>
          <t>double</t>
        </is>
      </c>
      <c r="F6" s="2" t="inlineStr">
        <is>
          <t>dimensionless</t>
        </is>
      </c>
      <c r="G6" s="11" t="n"/>
    </row>
    <row r="7" ht="17" customHeight="1">
      <c r="A7" s="2">
        <f>IF(ISNA(VLOOKUP(B7,AssociatedElements!B$2:B428,1,FALSE)),"Not used","")</f>
        <v/>
      </c>
      <c r="B7" s="16" t="inlineStr">
        <is>
          <t>drilling_speed</t>
        </is>
      </c>
      <c r="C7" s="17" t="inlineStr">
        <is>
          <t>drilling speed</t>
        </is>
      </c>
      <c r="D7" s="17" t="inlineStr">
        <is>
          <t>Advance rate of the monitor while drilling downward</t>
        </is>
      </c>
      <c r="E7" s="19" t="inlineStr">
        <is>
          <t>double</t>
        </is>
      </c>
      <c r="F7" s="2" t="inlineStr">
        <is>
          <t>length per time</t>
        </is>
      </c>
      <c r="G7" s="11" t="n"/>
    </row>
    <row r="8" ht="17" customHeight="1">
      <c r="A8" s="2">
        <f>IF(ISNA(VLOOKUP(B8,AssociatedElements!B$2:B429,1,FALSE)),"Not used","")</f>
        <v/>
      </c>
      <c r="B8" s="16" t="inlineStr">
        <is>
          <t>effective_pressure</t>
        </is>
      </c>
      <c r="C8" s="17" t="inlineStr">
        <is>
          <t>effective pressure</t>
        </is>
      </c>
      <c r="D8" s="17" t="inlineStr">
        <is>
          <t>Pressure felt at injection point (pressure at pump - line loss)</t>
        </is>
      </c>
      <c r="E8" s="19" t="inlineStr">
        <is>
          <t>double</t>
        </is>
      </c>
      <c r="F8" s="2" t="inlineStr">
        <is>
          <t>pressure</t>
        </is>
      </c>
      <c r="G8" s="11" t="n"/>
    </row>
    <row r="9" ht="17" customHeight="1">
      <c r="A9" s="2">
        <f>IF(ISNA(VLOOKUP(B9,AssociatedElements!B$2:B430,1,FALSE)),"Not used","")</f>
        <v/>
      </c>
      <c r="B9" s="16" t="inlineStr">
        <is>
          <t>elapsed_time</t>
        </is>
      </c>
      <c r="C9" s="17" t="inlineStr">
        <is>
          <t>elapsed time</t>
        </is>
      </c>
      <c r="D9" s="17" t="inlineStr">
        <is>
          <t>Amount of time since start of an injection period</t>
        </is>
      </c>
      <c r="E9" s="19" t="inlineStr">
        <is>
          <t>double</t>
        </is>
      </c>
      <c r="F9" s="2" t="inlineStr">
        <is>
          <t>time</t>
        </is>
      </c>
      <c r="G9" s="11" t="n"/>
    </row>
    <row r="10" ht="17" customHeight="1">
      <c r="A10" s="2">
        <f>IF(ISNA(VLOOKUP(B10,AssociatedElements!B$2:B431,1,FALSE)),"Not used","")</f>
        <v/>
      </c>
      <c r="B10" s="16" t="inlineStr">
        <is>
          <t>fluid_1_flow</t>
        </is>
      </c>
      <c r="C10" s="17" t="inlineStr">
        <is>
          <t>fluid 1 flow</t>
        </is>
      </c>
      <c r="D10" s="17" t="inlineStr">
        <is>
          <t>Rate of flow of the fluid 1 component (either water or air) as defined in the instance</t>
        </is>
      </c>
      <c r="E10" s="19" t="inlineStr">
        <is>
          <t>double</t>
        </is>
      </c>
      <c r="F10" s="2" t="inlineStr">
        <is>
          <t>volume per time</t>
        </is>
      </c>
      <c r="G10" s="11" t="n"/>
    </row>
    <row r="11" ht="17" customHeight="1">
      <c r="A11" s="2">
        <f>IF(ISNA(VLOOKUP(B11,AssociatedElements!B$2:B432,1,FALSE)),"Not used","")</f>
        <v/>
      </c>
      <c r="B11" s="16" t="inlineStr">
        <is>
          <t>fluid_1_pressure</t>
        </is>
      </c>
      <c r="C11" s="17" t="inlineStr">
        <is>
          <t>fluid 1 pressure</t>
        </is>
      </c>
      <c r="D11" s="17" t="inlineStr">
        <is>
          <t>Pressure reading of fluid 1 during injection</t>
        </is>
      </c>
      <c r="E11" s="19" t="inlineStr">
        <is>
          <t>double</t>
        </is>
      </c>
      <c r="F11" s="2" t="inlineStr">
        <is>
          <t>pressure</t>
        </is>
      </c>
      <c r="G11" s="11" t="n"/>
    </row>
    <row r="12" ht="17" customHeight="1">
      <c r="A12" s="2">
        <f>IF(ISNA(VLOOKUP(B12,AssociatedElements!B$2:B433,1,FALSE)),"Not used","")</f>
        <v/>
      </c>
      <c r="B12" s="16" t="inlineStr">
        <is>
          <t>fluid_1_temperature</t>
        </is>
      </c>
      <c r="C12" s="17" t="inlineStr">
        <is>
          <t>fluid 1 temperature</t>
        </is>
      </c>
      <c r="D12" s="17" t="inlineStr">
        <is>
          <t>Temperature of fluid 1</t>
        </is>
      </c>
      <c r="E12" s="19" t="inlineStr">
        <is>
          <t>double</t>
        </is>
      </c>
      <c r="F12" s="2" t="inlineStr">
        <is>
          <t>thermodynamic temperature</t>
        </is>
      </c>
      <c r="G12" s="11" t="n"/>
    </row>
    <row r="13" ht="17" customHeight="1">
      <c r="A13" s="2">
        <f>IF(ISNA(VLOOKUP(B13,AssociatedElements!B$2:B434,1,FALSE)),"Not used","")</f>
        <v/>
      </c>
      <c r="B13" s="16" t="inlineStr">
        <is>
          <t>fluid_2_flow</t>
        </is>
      </c>
      <c r="C13" s="17" t="inlineStr">
        <is>
          <t>fluid 2 flow</t>
        </is>
      </c>
      <c r="D13" s="17" t="inlineStr">
        <is>
          <t>Rate of flow of the fluid 2 component (either water or air) as defined in the instance</t>
        </is>
      </c>
      <c r="E13" s="19" t="inlineStr">
        <is>
          <t>double</t>
        </is>
      </c>
      <c r="F13" s="2" t="inlineStr">
        <is>
          <t>volume per time</t>
        </is>
      </c>
      <c r="G13" s="11" t="n"/>
    </row>
    <row r="14" ht="17" customHeight="1">
      <c r="A14" s="2">
        <f>IF(ISNA(VLOOKUP(B14,AssociatedElements!B$2:B435,1,FALSE)),"Not used","")</f>
        <v/>
      </c>
      <c r="B14" s="16" t="inlineStr">
        <is>
          <t>fluid_2_pressure</t>
        </is>
      </c>
      <c r="C14" s="17" t="inlineStr">
        <is>
          <t>fluid 2 pressure</t>
        </is>
      </c>
      <c r="D14" s="17" t="inlineStr">
        <is>
          <t>Pressure reading of fluid 2 during injection</t>
        </is>
      </c>
      <c r="E14" s="19" t="inlineStr">
        <is>
          <t>double</t>
        </is>
      </c>
      <c r="F14" s="2" t="inlineStr">
        <is>
          <t>pressure</t>
        </is>
      </c>
      <c r="G14" s="11" t="n"/>
    </row>
    <row r="15" ht="17" customHeight="1">
      <c r="A15" s="2">
        <f>IF(ISNA(VLOOKUP(B15,AssociatedElements!B$2:B436,1,FALSE)),"Not used","")</f>
        <v/>
      </c>
      <c r="B15" s="16" t="inlineStr">
        <is>
          <t>fluid_2_temperature</t>
        </is>
      </c>
      <c r="C15" s="17" t="inlineStr">
        <is>
          <t>fluid 2 temperature</t>
        </is>
      </c>
      <c r="D15" s="17" t="inlineStr">
        <is>
          <t>Temperature of fluid 2</t>
        </is>
      </c>
      <c r="E15" s="19" t="inlineStr">
        <is>
          <t>double</t>
        </is>
      </c>
      <c r="F15" s="2" t="inlineStr">
        <is>
          <t>thermodynamic temperature</t>
        </is>
      </c>
      <c r="G15" s="11" t="n"/>
    </row>
    <row r="16" ht="17" customHeight="1">
      <c r="A16" s="2">
        <f>IF(ISNA(VLOOKUP(B16,AssociatedElements!B$2:B437,1,FALSE)),"Not used","")</f>
        <v/>
      </c>
      <c r="B16" s="16" t="inlineStr">
        <is>
          <t>gauge_pressure</t>
        </is>
      </c>
      <c r="C16" s="17" t="inlineStr">
        <is>
          <t>gauge pressure</t>
        </is>
      </c>
      <c r="D16" s="17" t="inlineStr">
        <is>
          <t>Pressure measured at the gauge</t>
        </is>
      </c>
      <c r="E16" s="19" t="inlineStr">
        <is>
          <t>double</t>
        </is>
      </c>
      <c r="F16" s="2" t="inlineStr">
        <is>
          <t>pressure</t>
        </is>
      </c>
      <c r="G16" s="11" t="n"/>
    </row>
    <row r="17" ht="17" customHeight="1">
      <c r="A17" s="2">
        <f>IF(ISNA(VLOOKUP(B17,AssociatedElements!B$2:B438,1,FALSE)),"Not used","")</f>
        <v/>
      </c>
      <c r="B17" s="16" t="inlineStr">
        <is>
          <t>grout_flow</t>
        </is>
      </c>
      <c r="C17" s="17" t="inlineStr">
        <is>
          <t>grout flow</t>
        </is>
      </c>
      <c r="D17" s="17" t="inlineStr">
        <is>
          <t>Rate of flow of the grout component during injection</t>
        </is>
      </c>
      <c r="E17" s="19" t="inlineStr">
        <is>
          <t>double</t>
        </is>
      </c>
      <c r="F17" s="2" t="inlineStr">
        <is>
          <t>volume per time</t>
        </is>
      </c>
      <c r="G17" s="11" t="n"/>
    </row>
    <row r="18" ht="17" customHeight="1">
      <c r="A18" s="2">
        <f>IF(ISNA(VLOOKUP(B18,AssociatedElements!B$2:B439,1,FALSE)),"Not used","")</f>
        <v/>
      </c>
      <c r="B18" s="16" t="inlineStr">
        <is>
          <t>grout_pressure</t>
        </is>
      </c>
      <c r="C18" s="17" t="inlineStr">
        <is>
          <t>grout pressure</t>
        </is>
      </c>
      <c r="D18" s="17" t="inlineStr">
        <is>
          <t>Pressure reading of the grout</t>
        </is>
      </c>
      <c r="E18" s="19" t="inlineStr">
        <is>
          <t>double</t>
        </is>
      </c>
      <c r="F18" s="2" t="inlineStr">
        <is>
          <t>pressure</t>
        </is>
      </c>
      <c r="G18" s="11" t="n"/>
    </row>
    <row r="19" ht="17" customHeight="1">
      <c r="A19" s="2">
        <f>IF(ISNA(VLOOKUP(B19,AssociatedElements!B$2:B440,1,FALSE)),"Not used","")</f>
        <v/>
      </c>
      <c r="B19" s="16" t="inlineStr">
        <is>
          <t>grout_specific_gravity</t>
        </is>
      </c>
      <c r="C19" s="17" t="inlineStr">
        <is>
          <t>grout specific gravity</t>
        </is>
      </c>
      <c r="D19" s="17" t="inlineStr">
        <is>
          <t>Specific gravity of the grout component</t>
        </is>
      </c>
      <c r="E19" s="19" t="inlineStr">
        <is>
          <t>double</t>
        </is>
      </c>
      <c r="F19" s="2" t="inlineStr">
        <is>
          <t>dimensionless</t>
        </is>
      </c>
      <c r="G19" s="11" t="n"/>
    </row>
    <row r="20" ht="17" customHeight="1">
      <c r="A20" s="2">
        <f>IF(ISNA(VLOOKUP(B20,AssociatedElements!B$2:B441,1,FALSE)),"Not used","")</f>
        <v/>
      </c>
      <c r="B20" s="16" t="inlineStr">
        <is>
          <t>grout_temperature</t>
        </is>
      </c>
      <c r="C20" s="17" t="inlineStr">
        <is>
          <t>grout temperature</t>
        </is>
      </c>
      <c r="D20" s="17" t="inlineStr">
        <is>
          <t>Temperature of the grout component</t>
        </is>
      </c>
      <c r="E20" s="19" t="inlineStr">
        <is>
          <t>double</t>
        </is>
      </c>
      <c r="F20" s="2" t="inlineStr">
        <is>
          <t>thermodynamic temperature</t>
        </is>
      </c>
      <c r="G20" s="11" t="n"/>
    </row>
    <row r="21" ht="17" customHeight="1">
      <c r="A21" s="2">
        <f>IF(ISNA(VLOOKUP(B21,AssociatedElements!B$2:B442,1,FALSE)),"Not used","")</f>
        <v/>
      </c>
      <c r="B21" s="16" t="inlineStr">
        <is>
          <t>grout_volume</t>
        </is>
      </c>
      <c r="C21" s="17" t="inlineStr">
        <is>
          <t>grout volume</t>
        </is>
      </c>
      <c r="D21" s="17" t="inlineStr">
        <is>
          <t>Volume of grout injected during the present time interval</t>
        </is>
      </c>
      <c r="E21" s="19" t="inlineStr">
        <is>
          <t>double</t>
        </is>
      </c>
      <c r="F21" s="2" t="inlineStr">
        <is>
          <t>volume</t>
        </is>
      </c>
      <c r="G21" s="11" t="n"/>
    </row>
    <row r="22" ht="17" customHeight="1">
      <c r="A22" s="2">
        <f>IF(ISNA(VLOOKUP(B22,AssociatedElements!B$2:B443,1,FALSE)),"Not used","")</f>
        <v/>
      </c>
      <c r="B22" s="16" t="inlineStr">
        <is>
          <t>header_pressure</t>
        </is>
      </c>
      <c r="C22" s="17" t="inlineStr">
        <is>
          <t>header pressure</t>
        </is>
      </c>
      <c r="D22" s="17" t="inlineStr">
        <is>
          <t>Pressure measured at the header</t>
        </is>
      </c>
      <c r="E22" s="19" t="inlineStr">
        <is>
          <t>double</t>
        </is>
      </c>
      <c r="F22" s="2" t="inlineStr">
        <is>
          <t>pressure</t>
        </is>
      </c>
      <c r="G22" s="11" t="n"/>
    </row>
    <row r="23" ht="17" customHeight="1">
      <c r="A23" s="2">
        <f>IF(ISNA(VLOOKUP(B23,AssociatedElements!B$2:B444,1,FALSE)),"Not used","")</f>
        <v/>
      </c>
      <c r="B23" s="16" t="inlineStr">
        <is>
          <t>injection_pressure</t>
        </is>
      </c>
      <c r="C23" s="17" t="inlineStr">
        <is>
          <t>injection pressure</t>
        </is>
      </c>
      <c r="D23" s="17" t="inlineStr">
        <is>
          <t>Pressure of the grout being injected (often used for grout stage injections)</t>
        </is>
      </c>
      <c r="E23" s="19" t="inlineStr">
        <is>
          <t>double</t>
        </is>
      </c>
      <c r="F23" s="2" t="inlineStr">
        <is>
          <t>pressure</t>
        </is>
      </c>
      <c r="G23" s="11" t="n"/>
    </row>
    <row r="24" ht="17" customHeight="1">
      <c r="A24" s="2">
        <f>IF(ISNA(VLOOKUP(B24,AssociatedElements!B$2:B445,1,FALSE)),"Not used","")</f>
        <v/>
      </c>
      <c r="B24" s="16" t="inlineStr">
        <is>
          <t>line_loss</t>
        </is>
      </c>
      <c r="C24" s="17" t="inlineStr">
        <is>
          <t>line loss</t>
        </is>
      </c>
      <c r="D24" s="17" t="inlineStr">
        <is>
          <t>Pressure lost through the line</t>
        </is>
      </c>
      <c r="E24" s="19" t="inlineStr">
        <is>
          <t>double</t>
        </is>
      </c>
      <c r="F24" s="2" t="inlineStr">
        <is>
          <t>pressure</t>
        </is>
      </c>
      <c r="G24" s="11" t="n"/>
    </row>
    <row r="25" ht="17" customHeight="1">
      <c r="A25" s="2">
        <f>IF(ISNA(VLOOKUP(B25,AssociatedElements!B$2:B446,1,FALSE)),"Not used","")</f>
        <v/>
      </c>
      <c r="B25" s="16" t="inlineStr">
        <is>
          <t>micro_motion_flow</t>
        </is>
      </c>
      <c r="C25" s="17" t="inlineStr">
        <is>
          <t>micro motion flow</t>
        </is>
      </c>
      <c r="D25" s="17" t="inlineStr">
        <is>
          <t>Flow rate of grout measured by Micro Motion branded sensor</t>
        </is>
      </c>
      <c r="E25" s="19" t="inlineStr">
        <is>
          <t>double</t>
        </is>
      </c>
      <c r="F25" s="2" t="inlineStr">
        <is>
          <t>volume per time</t>
        </is>
      </c>
      <c r="G25" s="11" t="n"/>
    </row>
    <row r="26" ht="17" customHeight="1">
      <c r="A26" s="2">
        <f>IF(ISNA(VLOOKUP(B26,AssociatedElements!B$2:B447,1,FALSE)),"Not used","")</f>
        <v/>
      </c>
      <c r="B26" s="16" t="inlineStr">
        <is>
          <t>micro_motion_volume</t>
        </is>
      </c>
      <c r="C26" s="17" t="inlineStr">
        <is>
          <t>micro motion volume</t>
        </is>
      </c>
      <c r="D26" s="17" t="inlineStr">
        <is>
          <t>Volume of grout measured by Micro Motion branded sensor</t>
        </is>
      </c>
      <c r="E26" s="19" t="inlineStr">
        <is>
          <t>double</t>
        </is>
      </c>
      <c r="F26" s="2" t="inlineStr">
        <is>
          <t>volume</t>
        </is>
      </c>
      <c r="G26" s="11" t="n"/>
    </row>
    <row r="27" ht="17" customHeight="1">
      <c r="A27" s="2">
        <f>IF(ISNA(VLOOKUP(B27,AssociatedElements!B$2:B448,1,FALSE)),"Not used","")</f>
        <v/>
      </c>
      <c r="B27" s="16" t="inlineStr">
        <is>
          <t>mix</t>
        </is>
      </c>
      <c r="C27" s="17" t="inlineStr">
        <is>
          <t>grout mix ID</t>
        </is>
      </c>
      <c r="D27" s="17" t="inlineStr">
        <is>
          <t>Identifer for the grout mix used</t>
        </is>
      </c>
      <c r="E27" s="19" t="inlineStr">
        <is>
          <t>string</t>
        </is>
      </c>
      <c r="G27" s="11" t="n"/>
    </row>
    <row r="28" ht="17" customHeight="1">
      <c r="A28" s="2">
        <f>IF(ISNA(VLOOKUP(B28,AssociatedElements!B$2:B449,1,FALSE)),"Not used","")</f>
        <v/>
      </c>
      <c r="B28" s="16" t="inlineStr">
        <is>
          <t>packer_pressure</t>
        </is>
      </c>
      <c r="C28" s="17" t="inlineStr">
        <is>
          <t>packer pressure</t>
        </is>
      </c>
      <c r="D28" s="17" t="inlineStr">
        <is>
          <t>Pressure within the packer</t>
        </is>
      </c>
      <c r="E28" s="19" t="inlineStr">
        <is>
          <t>double</t>
        </is>
      </c>
      <c r="F28" s="2" t="inlineStr">
        <is>
          <t>pressure</t>
        </is>
      </c>
      <c r="G28" s="11" t="n"/>
    </row>
    <row r="29" ht="17" customHeight="1">
      <c r="A29" s="2">
        <f>IF(ISNA(VLOOKUP(B29,AssociatedElements!B$2:B450,1,FALSE)),"Not used","")</f>
        <v/>
      </c>
      <c r="B29" s="16" t="inlineStr">
        <is>
          <t>pull_speed</t>
        </is>
      </c>
      <c r="C29" s="17" t="inlineStr">
        <is>
          <t>pull speed</t>
        </is>
      </c>
      <c r="D29" s="17" t="inlineStr">
        <is>
          <t>Lift rate of the monitor while grouting</t>
        </is>
      </c>
      <c r="E29" s="19" t="inlineStr">
        <is>
          <t>double</t>
        </is>
      </c>
      <c r="F29" s="2" t="inlineStr">
        <is>
          <t>length per time</t>
        </is>
      </c>
      <c r="G29" s="11" t="n"/>
    </row>
    <row r="30" ht="17" customHeight="1">
      <c r="A30" s="2">
        <f>IF(ISNA(VLOOKUP(B30,AssociatedElements!B$2:B451,1,FALSE)),"Not used","")</f>
        <v/>
      </c>
      <c r="B30" s="16" t="inlineStr">
        <is>
          <t>rotary_pressure</t>
        </is>
      </c>
      <c r="C30" s="17" t="inlineStr">
        <is>
          <t>rotary pressure</t>
        </is>
      </c>
      <c r="D30" s="17" t="inlineStr">
        <is>
          <t>Hydraulic system pressure to spin the drill steel</t>
        </is>
      </c>
      <c r="E30" s="19" t="inlineStr">
        <is>
          <t>double</t>
        </is>
      </c>
      <c r="F30" s="2" t="inlineStr">
        <is>
          <t>pressure</t>
        </is>
      </c>
      <c r="G30" s="11" t="n"/>
    </row>
    <row r="31" ht="17" customHeight="1">
      <c r="A31" s="2">
        <f>IF(ISNA(VLOOKUP(B31,AssociatedElements!B$2:B452,1,FALSE)),"Not used","")</f>
        <v/>
      </c>
      <c r="B31" s="16" t="inlineStr">
        <is>
          <t>rotation_speed</t>
        </is>
      </c>
      <c r="C31" s="17" t="inlineStr">
        <is>
          <t>rotation speed</t>
        </is>
      </c>
      <c r="D31" s="17" t="inlineStr">
        <is>
          <t>Rotational velocity of the monitor</t>
        </is>
      </c>
      <c r="E31" s="19" t="inlineStr">
        <is>
          <t>double</t>
        </is>
      </c>
      <c r="F31" s="2" t="inlineStr">
        <is>
          <t>angular velocity</t>
        </is>
      </c>
      <c r="G31" s="11" t="n"/>
    </row>
    <row r="32" ht="119" customHeight="1">
      <c r="A32" s="2">
        <f>IF(ISNA(VLOOKUP(B32,AssociatedElements!B$2:B453,1,FALSE)),"Not used","")</f>
        <v/>
      </c>
      <c r="B32" s="16" t="inlineStr">
        <is>
          <t>specific_energy</t>
        </is>
      </c>
      <c r="C32" s="17" t="inlineStr">
        <is>
          <t>specific energy</t>
        </is>
      </c>
      <c r="D32" s="17" t="inlineStr">
        <is>
          <t>Pressure times flow divided by lift rate. Pressure can be measured at the pump or at the drill rig and is not measured at the nozzle. Lift rate is average uplift distance per unit time. Pressure at the pump can be affected by line type, size, and distance to the rig for constant applied pressure. The energy of the air is usually negligible in this calculation, but does contribute significantly to column diameter. This parameter can be graphed to quickly check jetting records and can be correlated to diameter for all other aspects (especially number of fluids) staying constant during the test program.</t>
        </is>
      </c>
      <c r="E32" s="19" t="inlineStr">
        <is>
          <t>double</t>
        </is>
      </c>
      <c r="F32" s="2" t="inlineStr">
        <is>
          <t>energy per length</t>
        </is>
      </c>
      <c r="G32" s="11" t="n"/>
    </row>
    <row r="33" ht="17" customHeight="1">
      <c r="A33" s="2">
        <f>IF(ISNA(VLOOKUP(B33,AssociatedElements!B$2:B454,1,FALSE)),"Not used","")</f>
        <v/>
      </c>
      <c r="B33" s="16" t="inlineStr">
        <is>
          <t>stroke_count</t>
        </is>
      </c>
      <c r="C33" s="17" t="inlineStr">
        <is>
          <t>stroke count</t>
        </is>
      </c>
      <c r="D33" s="17" t="inlineStr">
        <is>
          <t>The number of strokes of the pump piston</t>
        </is>
      </c>
      <c r="E33" s="19" t="inlineStr">
        <is>
          <t>integer</t>
        </is>
      </c>
      <c r="F33" s="2" t="inlineStr">
        <is>
          <t>dimensionless</t>
        </is>
      </c>
      <c r="G33" s="11" t="n"/>
    </row>
    <row r="34" ht="17" customHeight="1">
      <c r="A34" s="2">
        <f>IF(ISNA(VLOOKUP(B34,AssociatedElements!B$2:B455,1,FALSE)),"Not used","")</f>
        <v/>
      </c>
      <c r="B34" s="16" t="inlineStr">
        <is>
          <t>take</t>
        </is>
      </c>
      <c r="C34" s="17" t="inlineStr">
        <is>
          <t>grout take</t>
        </is>
      </c>
      <c r="D34" s="17" t="inlineStr">
        <is>
          <t>Total volume of grout injected</t>
        </is>
      </c>
      <c r="E34" s="19" t="inlineStr">
        <is>
          <t>double</t>
        </is>
      </c>
      <c r="F34" s="2" t="inlineStr">
        <is>
          <t>volume</t>
        </is>
      </c>
      <c r="G34" s="11" t="n"/>
    </row>
    <row r="35" ht="17" customHeight="1">
      <c r="A35" s="2">
        <f>IF(ISNA(VLOOKUP(B35,AssociatedElements!B$2:B456,1,FALSE)),"Not used","")</f>
        <v/>
      </c>
      <c r="B35" s="16" t="inlineStr">
        <is>
          <t>thrust</t>
        </is>
      </c>
      <c r="C35" s="17" t="inlineStr">
        <is>
          <t>thrust</t>
        </is>
      </c>
      <c r="D35" s="17" t="inlineStr">
        <is>
          <t>Downward force of the drill</t>
        </is>
      </c>
      <c r="E35" s="19" t="inlineStr">
        <is>
          <t>double</t>
        </is>
      </c>
      <c r="F35" s="2" t="inlineStr">
        <is>
          <t>force</t>
        </is>
      </c>
      <c r="G35" s="11" t="n"/>
    </row>
    <row r="36" ht="17" customHeight="1">
      <c r="A36" s="2">
        <f>IF(ISNA(VLOOKUP(B36,AssociatedElements!B$2:B457,1,FALSE)),"Not used","")</f>
        <v/>
      </c>
      <c r="B36" s="16" t="inlineStr">
        <is>
          <t>torque</t>
        </is>
      </c>
      <c r="C36" s="18" t="inlineStr">
        <is>
          <t>torque</t>
        </is>
      </c>
      <c r="D36" s="18" t="inlineStr">
        <is>
          <t>Rotational force of the drill</t>
        </is>
      </c>
      <c r="E36" s="19" t="inlineStr">
        <is>
          <t>double</t>
        </is>
      </c>
      <c r="F36" s="2" t="inlineStr">
        <is>
          <t>moment of force</t>
        </is>
      </c>
      <c r="G36" s="11" t="n"/>
    </row>
    <row r="37" ht="17" customHeight="1">
      <c r="A37" s="2">
        <f>IF(ISNA(VLOOKUP(B37,AssociatedElements!B$2:B458,1,FALSE)),"Not used","")</f>
        <v/>
      </c>
      <c r="B37" s="16" t="inlineStr">
        <is>
          <t>time</t>
        </is>
      </c>
      <c r="C37" s="17" t="inlineStr">
        <is>
          <t>time</t>
        </is>
      </c>
      <c r="D37" s="22" t="inlineStr">
        <is>
          <t>Time instant of measurement</t>
        </is>
      </c>
      <c r="E37" s="21" t="inlineStr">
        <is>
          <t>time</t>
        </is>
      </c>
      <c r="F37" s="21" t="inlineStr">
        <is>
          <t>time</t>
        </is>
      </c>
      <c r="G37" s="11" t="n"/>
    </row>
    <row r="38">
      <c r="B38" t="inlineStr">
        <is>
          <t>volume_overconsumption</t>
        </is>
      </c>
      <c r="C38" t="inlineStr">
        <is>
          <t>Volume overconsumption</t>
        </is>
      </c>
      <c r="D38" t="inlineStr">
        <is>
          <t>The ratio of actual to theoretical grout or concrete volume placed at a given depth during installation, expressed as a percentage - the depth-indexed counterpart to a Menard CMC installation record (GIW p.42). A GENUINE COVERAGE QUANTITY, NOT A REPEAT OF A COLUMN-LEVEL COMPUTATION: RIColumnType already carries theoreticalGroutVolume and placedGroutVolume, so the whole-column overconsumption ratio is derivable from those two without this entry - but that derived ratio cannot say WHERE along the column the overconsumption occurred, which is what a Menard-style rig log actually records and what a reviewer needs to see a void, a soft layer or a loss zone. Carry both: the column-level total on RIColumnType is the separate, out-of-scope-for-this-entry summary; this entry is the per-reading value that makes the profile against depth expressible at all.</t>
        </is>
      </c>
      <c r="E38" t="inlineStr">
        <is>
          <t>double</t>
        </is>
      </c>
      <c r="F38" t="inlineStr">
        <is>
          <t>dimensionless</t>
        </is>
      </c>
    </row>
    <row r="39">
      <c r="B39" t="inlineStr">
        <is>
          <t>grout_level</t>
        </is>
      </c>
      <c r="C39" t="inlineStr">
        <is>
          <t>grout level</t>
        </is>
      </c>
      <c r="D39" t="inlineStr">
        <is>
          <t>The elevation or depth of the grout surface within the column bore or annulus at a given reading, used to detect an in-progress drop in grout level - a sign the column is losing grout into the surrounding ground and is at risk of an 'uncovered column' condition (V2 Installation row 31). Where a drop triggers a corrective action, that outcome is recorded separately as diggs:RIColumnConstructionType/groutLevelCorrectiveAction; this entry carries only the level reading itself.</t>
        </is>
      </c>
      <c r="E39" t="inlineStr">
        <is>
          <t>double</t>
        </is>
      </c>
      <c r="F39" t="inlineStr">
        <is>
          <t>length</t>
        </is>
      </c>
    </row>
    <row r="40">
      <c r="B40" t="inlineStr">
        <is>
          <t>grout_return_volume</t>
        </is>
      </c>
      <c r="C40" t="inlineStr">
        <is>
          <t>Grout return (wet-squeeze) volume</t>
        </is>
      </c>
      <c r="D40" t="inlineStr">
        <is>
          <t>The volume of grout or slurry returning to the surface during installation - a 'wet squeeze' - distinct from volume_overconsumption (excess grout pumped versus theoretical, in-bore and depth-indexed): this is fluid actually emerging at the surface, and is often observed at an already-installed neighbouring column rather than the one currently being drilled or grouted. Where that is the case, record this reading against whichever column's installationRecord the observer is logging against, and use remark to note which column the return was actually attributed to if it differs (V2 Installation row 32).</t>
        </is>
      </c>
      <c r="E40" t="inlineStr">
        <is>
          <t>double</t>
        </is>
      </c>
      <c r="F40" t="inlineStr">
        <is>
          <t>volume</t>
        </is>
      </c>
    </row>
  </sheetData>
  <pageMargins left="0.7" right="0.7" top="0.75" bottom="0.75" header="0.3" footer="0.3"/>
  <pageSetup orientation="portrait"/>
  <tableParts count="1">
    <tablePart xmlns:r="http://schemas.openxmlformats.org/officeDocument/2006/relationships" r:id="rId1"/>
  </tableParts>
</worksheet>
</file>

<file path=xl/worksheets/sheet3.xml><?xml version="1.0" encoding="utf-8"?>
<worksheet xmlns="http://schemas.openxmlformats.org/spreadsheetml/2006/main">
  <sheetPr codeName="Sheet3">
    <outlinePr summaryBelow="1" summaryRight="1"/>
    <pageSetUpPr/>
  </sheetPr>
  <dimension ref="A1:E97"/>
  <sheetViews>
    <sheetView zoomScale="120" zoomScaleNormal="120" workbookViewId="0">
      <pane ySplit="1" topLeftCell="A30" activePane="bottomLeft" state="frozen"/>
      <selection pane="bottomLeft" activeCell="C63" sqref="C63"/>
    </sheetView>
  </sheetViews>
  <sheetFormatPr baseColWidth="10" defaultColWidth="10.83203125" defaultRowHeight="16"/>
  <cols>
    <col width="6.83203125" customWidth="1" min="1" max="1"/>
    <col width="31.6640625" customWidth="1" min="2" max="2"/>
    <col width="86.1640625" customWidth="1" style="3" min="3" max="3"/>
    <col width="93" customWidth="1" min="4" max="4"/>
  </cols>
  <sheetData>
    <row r="1" customFormat="1" s="6">
      <c r="A1" s="4" t="inlineStr">
        <is>
          <t>Start</t>
        </is>
      </c>
      <c r="B1" s="4" t="inlineStr">
        <is>
          <t>ID</t>
        </is>
      </c>
      <c r="C1" s="5" t="inlineStr">
        <is>
          <t>SourceElement</t>
        </is>
      </c>
      <c r="D1" s="6" t="inlineStr">
        <is>
          <t>ConditionalElement</t>
        </is>
      </c>
      <c r="E1" s="6" t="inlineStr">
        <is>
          <t>Column1</t>
        </is>
      </c>
    </row>
    <row r="2">
      <c r="A2">
        <f>IF(ISNA(VLOOKUP(B2,Definitions!B$2:B$1843,1,FALSE)),"Not listed","")</f>
        <v/>
      </c>
      <c r="B2" s="14" t="inlineStr">
        <is>
          <t>apparent_lugeon_value</t>
        </is>
      </c>
      <c r="C2" s="3" t="inlineStr">
        <is>
          <t>//diggs:propertyClass</t>
        </is>
      </c>
      <c r="D2" s="3" t="inlineStr">
        <is>
          <t>ancestor::diggs:GroutStage</t>
        </is>
      </c>
    </row>
    <row r="3">
      <c r="A3">
        <f>IF(ISNA(VLOOKUP(B3,Definitions!B$2:B$1843,1,FALSE)),"Not listed","")</f>
        <v/>
      </c>
      <c r="B3" s="14" t="inlineStr">
        <is>
          <t>column_pressure</t>
        </is>
      </c>
      <c r="C3" s="3" t="inlineStr">
        <is>
          <t>//diggs:propertyClass</t>
        </is>
      </c>
      <c r="D3" s="3" t="inlineStr">
        <is>
          <t>ancestor::diggs:GroutStage</t>
        </is>
      </c>
    </row>
    <row r="4">
      <c r="A4">
        <f>IF(ISNA(VLOOKUP(B4,Definitions!B$2:B$1843,1,FALSE)),"Not listed","")</f>
        <v/>
      </c>
      <c r="B4" s="14" t="inlineStr">
        <is>
          <t>crowd_pressure</t>
        </is>
      </c>
      <c r="C4" s="3" t="inlineStr">
        <is>
          <t>//diggs:propertyClass</t>
        </is>
      </c>
      <c r="D4" s="3" t="inlineStr">
        <is>
          <t>ancestor::diggs:ContinuousGrouting</t>
        </is>
      </c>
    </row>
    <row r="5">
      <c r="A5">
        <f>IF(ISNA(VLOOKUP(B5,Definitions!B$2:B$1843,1,FALSE)),"Not listed","")</f>
        <v/>
      </c>
      <c r="B5" s="14" t="inlineStr">
        <is>
          <t>depth</t>
        </is>
      </c>
      <c r="C5" s="3" t="inlineStr">
        <is>
          <t>//diggs:propertyClass</t>
        </is>
      </c>
      <c r="D5" s="3" t="inlineStr">
        <is>
          <t>ancestor::diggs:ContinuousGrouting</t>
        </is>
      </c>
    </row>
    <row r="6">
      <c r="A6">
        <f>IF(ISNA(VLOOKUP(B6,Definitions!B$2:B$1843,1,FALSE)),"Not listed","")</f>
        <v/>
      </c>
      <c r="B6" s="14" t="inlineStr">
        <is>
          <t>drilling_index</t>
        </is>
      </c>
      <c r="C6" s="3" t="inlineStr">
        <is>
          <t>//diggs:propertyClass</t>
        </is>
      </c>
      <c r="D6" s="3" t="inlineStr">
        <is>
          <t>ancestor::diggs:ContinuousGrouting</t>
        </is>
      </c>
    </row>
    <row r="7">
      <c r="A7">
        <f>IF(ISNA(VLOOKUP(B7,Definitions!B$2:B$1843,1,FALSE)),"Not listed","")</f>
        <v/>
      </c>
      <c r="B7" s="14" t="inlineStr">
        <is>
          <t>drilling_speed</t>
        </is>
      </c>
      <c r="C7" s="3" t="inlineStr">
        <is>
          <t>//diggs:propertyClass</t>
        </is>
      </c>
      <c r="D7" s="3" t="inlineStr">
        <is>
          <t>ancestor::diggs:ContinuousGrouting</t>
        </is>
      </c>
    </row>
    <row r="8">
      <c r="A8">
        <f>IF(ISNA(VLOOKUP(B8,Definitions!B$2:B$1843,1,FALSE)),"Not listed","")</f>
        <v/>
      </c>
      <c r="B8" s="14" t="inlineStr">
        <is>
          <t>effective_pressure</t>
        </is>
      </c>
      <c r="C8" s="3" t="inlineStr">
        <is>
          <t>//diggs:propertyClass</t>
        </is>
      </c>
      <c r="D8" s="3" t="inlineStr">
        <is>
          <t>ancestor::diggs:GroutStage</t>
        </is>
      </c>
    </row>
    <row r="9">
      <c r="A9">
        <f>IF(ISNA(VLOOKUP(B9,Definitions!B$2:B$1843,1,FALSE)),"Not listed","")</f>
        <v/>
      </c>
      <c r="B9" t="inlineStr">
        <is>
          <t>elapsed_time</t>
        </is>
      </c>
      <c r="C9" s="3" t="inlineStr">
        <is>
          <t>//diggs:propertyClass</t>
        </is>
      </c>
      <c r="D9" s="3" t="inlineStr">
        <is>
          <t>ancestor::diggs:GroutStage</t>
        </is>
      </c>
    </row>
    <row r="10">
      <c r="A10">
        <f>IF(ISNA(VLOOKUP(B10,Definitions!B$2:B$1843,1,FALSE)),"Not listed","")</f>
        <v/>
      </c>
      <c r="B10" t="inlineStr">
        <is>
          <t>elapsed_time</t>
        </is>
      </c>
      <c r="C10" s="3" t="inlineStr">
        <is>
          <t>//diggs:propertyClass</t>
        </is>
      </c>
      <c r="D10" s="3" t="inlineStr">
        <is>
          <t>ancestor::diggs:ContinuousGrouting</t>
        </is>
      </c>
    </row>
    <row r="11">
      <c r="A11">
        <f>IF(ISNA(VLOOKUP(B11,Definitions!B$2:B$1843,1,FALSE)),"Not listed","")</f>
        <v/>
      </c>
      <c r="B11" s="14" t="inlineStr">
        <is>
          <t>fluid_1_flow</t>
        </is>
      </c>
      <c r="C11" s="3" t="inlineStr">
        <is>
          <t>//diggs:propertyClass</t>
        </is>
      </c>
      <c r="D11" s="3" t="inlineStr">
        <is>
          <t>ancestor::diggs:ContinuousGrouting</t>
        </is>
      </c>
    </row>
    <row r="12">
      <c r="A12">
        <f>IF(ISNA(VLOOKUP(B12,Definitions!B$2:B$1843,1,FALSE)),"Not listed","")</f>
        <v/>
      </c>
      <c r="B12" s="14" t="inlineStr">
        <is>
          <t>fluid_1_pressure</t>
        </is>
      </c>
      <c r="C12" s="3" t="inlineStr">
        <is>
          <t>//diggs:propertyClass</t>
        </is>
      </c>
      <c r="D12" s="3" t="inlineStr">
        <is>
          <t>ancestor::diggs:ContinuousGrouting</t>
        </is>
      </c>
    </row>
    <row r="13">
      <c r="A13">
        <f>IF(ISNA(VLOOKUP(B13,Definitions!B$2:B$1843,1,FALSE)),"Not listed","")</f>
        <v/>
      </c>
      <c r="B13" s="14" t="inlineStr">
        <is>
          <t>fluid_1_temperature</t>
        </is>
      </c>
      <c r="C13" s="3" t="inlineStr">
        <is>
          <t>//diggs:propertyClass</t>
        </is>
      </c>
      <c r="D13" s="3" t="inlineStr">
        <is>
          <t>ancestor::diggs:ContinuousGrouting</t>
        </is>
      </c>
    </row>
    <row r="14">
      <c r="A14">
        <f>IF(ISNA(VLOOKUP(B14,Definitions!B$2:B$1843,1,FALSE)),"Not listed","")</f>
        <v/>
      </c>
      <c r="B14" s="14" t="inlineStr">
        <is>
          <t>fluid_2_flow</t>
        </is>
      </c>
      <c r="C14" s="3" t="inlineStr">
        <is>
          <t>//diggs:propertyClass</t>
        </is>
      </c>
      <c r="D14" s="3" t="inlineStr">
        <is>
          <t>ancestor::diggs:ContinuousGrouting</t>
        </is>
      </c>
    </row>
    <row r="15">
      <c r="A15">
        <f>IF(ISNA(VLOOKUP(B15,Definitions!B$2:B$1843,1,FALSE)),"Not listed","")</f>
        <v/>
      </c>
      <c r="B15" s="14" t="inlineStr">
        <is>
          <t>fluid_2_pressure</t>
        </is>
      </c>
      <c r="C15" s="3" t="inlineStr">
        <is>
          <t>//diggs:propertyClass</t>
        </is>
      </c>
      <c r="D15" s="3" t="inlineStr">
        <is>
          <t>ancestor::diggs:ContinuousGrouting</t>
        </is>
      </c>
    </row>
    <row r="16">
      <c r="A16">
        <f>IF(ISNA(VLOOKUP(B16,Definitions!B$2:B$1843,1,FALSE)),"Not listed","")</f>
        <v/>
      </c>
      <c r="B16" s="14" t="inlineStr">
        <is>
          <t>fluid_2_temperature</t>
        </is>
      </c>
      <c r="C16" s="3" t="inlineStr">
        <is>
          <t>//diggs:propertyClass</t>
        </is>
      </c>
      <c r="D16" s="3" t="inlineStr">
        <is>
          <t>ancestor::diggs:ContinuousGrouting</t>
        </is>
      </c>
    </row>
    <row r="17">
      <c r="A17">
        <f>IF(ISNA(VLOOKUP(B17,Definitions!B$2:B$1843,1,FALSE)),"Not listed","")</f>
        <v/>
      </c>
      <c r="B17" s="14" t="inlineStr">
        <is>
          <t>gauge_pressure</t>
        </is>
      </c>
      <c r="C17" s="3" t="inlineStr">
        <is>
          <t>//diggs:propertyClass</t>
        </is>
      </c>
      <c r="D17" s="3" t="inlineStr">
        <is>
          <t>ancestor::diggs:ContinuousGrouting</t>
        </is>
      </c>
    </row>
    <row r="18">
      <c r="A18">
        <f>IF(ISNA(VLOOKUP(B18,Definitions!B$2:B$1843,1,FALSE)),"Not listed","")</f>
        <v/>
      </c>
      <c r="B18" s="14" t="inlineStr">
        <is>
          <t>grout_flow</t>
        </is>
      </c>
      <c r="C18" s="3" t="inlineStr">
        <is>
          <t>//diggs:propertyClass</t>
        </is>
      </c>
      <c r="D18" s="3" t="inlineStr">
        <is>
          <t>ancestor::diggs:GroutStage</t>
        </is>
      </c>
    </row>
    <row r="19">
      <c r="A19">
        <f>IF(ISNA(VLOOKUP(B19,Definitions!B$2:B$1843,1,FALSE)),"Not listed","")</f>
        <v/>
      </c>
      <c r="B19" s="14" t="inlineStr">
        <is>
          <t>grout_flow</t>
        </is>
      </c>
      <c r="C19" s="3" t="inlineStr">
        <is>
          <t>//diggs:propertyClass</t>
        </is>
      </c>
      <c r="D19" s="3" t="inlineStr">
        <is>
          <t>ancestor::diggs:ContinuousGrouting</t>
        </is>
      </c>
    </row>
    <row r="20">
      <c r="A20">
        <f>IF(ISNA(VLOOKUP(B20,Definitions!B$2:B$1843,1,FALSE)),"Not listed","")</f>
        <v/>
      </c>
      <c r="B20" s="14" t="inlineStr">
        <is>
          <t>grout_pressure</t>
        </is>
      </c>
      <c r="C20" s="3" t="inlineStr">
        <is>
          <t>//diggs:propertyClass</t>
        </is>
      </c>
      <c r="D20" s="3" t="inlineStr">
        <is>
          <t>ancestor::diggs:GroutStage</t>
        </is>
      </c>
    </row>
    <row r="21">
      <c r="A21">
        <f>IF(ISNA(VLOOKUP(B21,Definitions!B$2:B$1843,1,FALSE)),"Not listed","")</f>
        <v/>
      </c>
      <c r="B21" s="14" t="inlineStr">
        <is>
          <t>grout_pressure</t>
        </is>
      </c>
      <c r="C21" s="3" t="inlineStr">
        <is>
          <t>//diggs:propertyClass</t>
        </is>
      </c>
      <c r="D21" s="3" t="inlineStr">
        <is>
          <t>ancestor::diggs:ContinuousGrouting</t>
        </is>
      </c>
    </row>
    <row r="22">
      <c r="A22">
        <f>IF(ISNA(VLOOKUP(B22,Definitions!B$2:B$1843,1,FALSE)),"Not listed","")</f>
        <v/>
      </c>
      <c r="B22" s="14" t="inlineStr">
        <is>
          <t>grout_specific_gravity</t>
        </is>
      </c>
      <c r="C22" s="3" t="inlineStr">
        <is>
          <t>//diggs:propertyClass</t>
        </is>
      </c>
      <c r="D22" s="3" t="inlineStr">
        <is>
          <t>ancestor::diggs:GroutStage</t>
        </is>
      </c>
    </row>
    <row r="23">
      <c r="A23">
        <f>IF(ISNA(VLOOKUP(B23,Definitions!B$2:B$1843,1,FALSE)),"Not listed","")</f>
        <v/>
      </c>
      <c r="B23" s="14" t="inlineStr">
        <is>
          <t>grout_specific_gravity</t>
        </is>
      </c>
      <c r="C23" s="3" t="inlineStr">
        <is>
          <t>//diggs:propertyClass</t>
        </is>
      </c>
      <c r="D23" s="3" t="inlineStr">
        <is>
          <t>ancestor::diggs:ContinuousGrouting</t>
        </is>
      </c>
    </row>
    <row r="24">
      <c r="A24">
        <f>IF(ISNA(VLOOKUP(B24,Definitions!B$2:B$1843,1,FALSE)),"Not listed","")</f>
        <v/>
      </c>
      <c r="B24" s="14" t="inlineStr">
        <is>
          <t>grout_temperature</t>
        </is>
      </c>
      <c r="C24" s="3" t="inlineStr">
        <is>
          <t>//diggs:propertyClass</t>
        </is>
      </c>
      <c r="D24" s="3" t="inlineStr">
        <is>
          <t>ancestor::diggs:GroutStage</t>
        </is>
      </c>
    </row>
    <row r="25">
      <c r="A25">
        <f>IF(ISNA(VLOOKUP(B25,Definitions!B$2:B$1843,1,FALSE)),"Not listed","")</f>
        <v/>
      </c>
      <c r="B25" s="14" t="inlineStr">
        <is>
          <t>grout_temperature</t>
        </is>
      </c>
      <c r="C25" s="3" t="inlineStr">
        <is>
          <t>//diggs:propertyClass</t>
        </is>
      </c>
      <c r="D25" s="3" t="inlineStr">
        <is>
          <t>ancestor::diggs:ContinuousGrouting</t>
        </is>
      </c>
    </row>
    <row r="26">
      <c r="A26">
        <f>IF(ISNA(VLOOKUP(B26,Definitions!B$2:B$1843,1,FALSE)),"Not listed","")</f>
        <v/>
      </c>
      <c r="B26" s="14" t="inlineStr">
        <is>
          <t>grout_volume</t>
        </is>
      </c>
      <c r="C26" s="3" t="inlineStr">
        <is>
          <t>//diggs:propertyClass</t>
        </is>
      </c>
      <c r="D26" s="3" t="inlineStr">
        <is>
          <t>ancestor::diggs:ContinuousGrouting</t>
        </is>
      </c>
    </row>
    <row r="27">
      <c r="A27">
        <f>IF(ISNA(VLOOKUP(B27,Definitions!B$2:B$1843,1,FALSE)),"Not listed","")</f>
        <v/>
      </c>
      <c r="B27" s="14" t="inlineStr">
        <is>
          <t>header_pressure</t>
        </is>
      </c>
      <c r="C27" s="3" t="inlineStr">
        <is>
          <t>//diggs:propertyClass</t>
        </is>
      </c>
      <c r="D27" s="3" t="inlineStr">
        <is>
          <t>ancestor::diggs:ContinuousGrouting</t>
        </is>
      </c>
    </row>
    <row r="28">
      <c r="A28">
        <f>IF(ISNA(VLOOKUP(B28,Definitions!B$2:B$1843,1,FALSE)),"Not listed","")</f>
        <v/>
      </c>
      <c r="B28" s="14" t="inlineStr">
        <is>
          <t>injection_pressure</t>
        </is>
      </c>
      <c r="C28" s="3" t="inlineStr">
        <is>
          <t>//diggs:propertyClass</t>
        </is>
      </c>
      <c r="D28" s="3" t="inlineStr">
        <is>
          <t>ancestor::diggs:GroutStage</t>
        </is>
      </c>
    </row>
    <row r="29">
      <c r="A29">
        <f>IF(ISNA(VLOOKUP(B29,Definitions!B$2:B$1843,1,FALSE)),"Not listed","")</f>
        <v/>
      </c>
      <c r="B29" s="14" t="inlineStr">
        <is>
          <t>line_loss</t>
        </is>
      </c>
      <c r="C29" s="3" t="inlineStr">
        <is>
          <t>//diggs:propertyClass</t>
        </is>
      </c>
      <c r="D29" t="inlineStr">
        <is>
          <t>ancestor::diggs:GroutStage</t>
        </is>
      </c>
    </row>
    <row r="30">
      <c r="A30">
        <f>IF(ISNA(VLOOKUP(B30,Definitions!B$2:B$1843,1,FALSE)),"Not listed","")</f>
        <v/>
      </c>
      <c r="B30" s="14" t="inlineStr">
        <is>
          <t>micro_motion_flow</t>
        </is>
      </c>
      <c r="C30" s="3" t="inlineStr">
        <is>
          <t>//diggs:propertyClass</t>
        </is>
      </c>
      <c r="D30" s="3" t="inlineStr">
        <is>
          <t>ancestor::diggs:ContinuousGrouting</t>
        </is>
      </c>
    </row>
    <row r="31">
      <c r="A31">
        <f>IF(ISNA(VLOOKUP(B31,Definitions!B$2:B$1843,1,FALSE)),"Not listed","")</f>
        <v/>
      </c>
      <c r="B31" s="14" t="inlineStr">
        <is>
          <t>micro_motion_volume</t>
        </is>
      </c>
      <c r="C31" s="3" t="inlineStr">
        <is>
          <t>//diggs:propertyClass</t>
        </is>
      </c>
      <c r="D31" s="3" t="inlineStr">
        <is>
          <t>ancestor::diggs:ContinuousGrouting</t>
        </is>
      </c>
    </row>
    <row r="32">
      <c r="A32">
        <f>IF(ISNA(VLOOKUP(B32,Definitions!B$2:B$1843,1,FALSE)),"Not listed","")</f>
        <v/>
      </c>
      <c r="B32" s="14" t="inlineStr">
        <is>
          <t>mix</t>
        </is>
      </c>
      <c r="C32" s="3" t="inlineStr">
        <is>
          <t>//diggs:propertyClass</t>
        </is>
      </c>
      <c r="D32" t="inlineStr">
        <is>
          <t>ancestor::diggs:GroutStage</t>
        </is>
      </c>
    </row>
    <row r="33">
      <c r="A33">
        <f>IF(ISNA(VLOOKUP(B33,Definitions!B$2:B$1843,1,FALSE)),"Not listed","")</f>
        <v/>
      </c>
      <c r="B33" s="14" t="inlineStr">
        <is>
          <t>packer_pressure</t>
        </is>
      </c>
      <c r="C33" s="3" t="inlineStr">
        <is>
          <t>//diggs:propertyClass</t>
        </is>
      </c>
      <c r="D33" t="inlineStr">
        <is>
          <t>ancestor::diggs:GroutStage</t>
        </is>
      </c>
    </row>
    <row r="34">
      <c r="A34">
        <f>IF(ISNA(VLOOKUP(B34,Definitions!B$2:B$1843,1,FALSE)),"Not listed","")</f>
        <v/>
      </c>
      <c r="B34" s="14" t="inlineStr">
        <is>
          <t>pull_speed</t>
        </is>
      </c>
      <c r="C34" s="3" t="inlineStr">
        <is>
          <t>//diggs:propertyClass</t>
        </is>
      </c>
      <c r="D34" s="3" t="inlineStr">
        <is>
          <t>ancestor::diggs:ContinuousGrouting</t>
        </is>
      </c>
    </row>
    <row r="35">
      <c r="A35">
        <f>IF(ISNA(VLOOKUP(B35,Definitions!B$2:B$1843,1,FALSE)),"Not listed","")</f>
        <v/>
      </c>
      <c r="B35" s="14" t="inlineStr">
        <is>
          <t>rotary_pressure</t>
        </is>
      </c>
      <c r="C35" s="3" t="inlineStr">
        <is>
          <t>//diggs:propertyClass</t>
        </is>
      </c>
      <c r="D35" s="3" t="inlineStr">
        <is>
          <t>ancestor::diggs:ContinuousGrouting</t>
        </is>
      </c>
    </row>
    <row r="36">
      <c r="A36">
        <f>IF(ISNA(VLOOKUP(B36,Definitions!B$2:B$1843,1,FALSE)),"Not listed","")</f>
        <v/>
      </c>
      <c r="B36" s="14" t="inlineStr">
        <is>
          <t>rotation_speed</t>
        </is>
      </c>
      <c r="C36" s="3" t="inlineStr">
        <is>
          <t>//diggs:propertyClass</t>
        </is>
      </c>
      <c r="D36" s="3" t="inlineStr">
        <is>
          <t>ancestor::diggs:ContinuousGrouting</t>
        </is>
      </c>
    </row>
    <row r="37">
      <c r="A37">
        <f>IF(ISNA(VLOOKUP(B37,Definitions!B$2:B$1843,1,FALSE)),"Not listed","")</f>
        <v/>
      </c>
      <c r="B37" s="14" t="inlineStr">
        <is>
          <t>specific_energy</t>
        </is>
      </c>
      <c r="C37" s="3" t="inlineStr">
        <is>
          <t>//diggs:propertyClass</t>
        </is>
      </c>
      <c r="D37" s="3" t="inlineStr">
        <is>
          <t>ancestor::diggs:ContinuousGrouting</t>
        </is>
      </c>
    </row>
    <row r="38">
      <c r="A38">
        <f>IF(ISNA(VLOOKUP(B38,Definitions!B$2:B$1843,1,FALSE)),"Not listed","")</f>
        <v/>
      </c>
      <c r="B38" s="14" t="inlineStr">
        <is>
          <t>stroke_count</t>
        </is>
      </c>
      <c r="C38" s="3" t="inlineStr">
        <is>
          <t>//diggs:propertyClass</t>
        </is>
      </c>
      <c r="D38" s="3" t="inlineStr">
        <is>
          <t>ancestor::diggs:ContinuousGrouting</t>
        </is>
      </c>
    </row>
    <row r="39">
      <c r="A39">
        <f>IF(ISNA(VLOOKUP(B39,Definitions!B$2:B$1843,1,FALSE)),"Not listed","")</f>
        <v/>
      </c>
      <c r="D39" s="3" t="n"/>
    </row>
    <row r="40">
      <c r="A40">
        <f>IF(ISNA(VLOOKUP(B40,Definitions!B$2:B$1843,1,FALSE)),"Not listed","")</f>
        <v/>
      </c>
      <c r="B40" t="inlineStr">
        <is>
          <t>take</t>
        </is>
      </c>
      <c r="C40" s="3" t="inlineStr">
        <is>
          <t>//diggs:propertyClass</t>
        </is>
      </c>
      <c r="D40" s="20" t="inlineStr">
        <is>
          <t>ancestor::diggs:GroutStage</t>
        </is>
      </c>
    </row>
    <row r="41">
      <c r="A41">
        <f>IF(ISNA(VLOOKUP(B41,Definitions!B$2:B$1843,1,FALSE)),"Not listed","")</f>
        <v/>
      </c>
      <c r="B41" t="inlineStr">
        <is>
          <t>take</t>
        </is>
      </c>
      <c r="C41" s="3" t="inlineStr">
        <is>
          <t>//diggs:propertyClass</t>
        </is>
      </c>
      <c r="D41" s="3" t="inlineStr">
        <is>
          <t>ancestor::diggs:ContinuousGrouting</t>
        </is>
      </c>
    </row>
    <row r="42">
      <c r="A42">
        <f>IF(ISNA(VLOOKUP(B42,Definitions!B$2:B$1843,1,FALSE)),"Not listed","")</f>
        <v/>
      </c>
      <c r="B42" s="14" t="inlineStr">
        <is>
          <t>thrust</t>
        </is>
      </c>
      <c r="C42" s="3" t="inlineStr">
        <is>
          <t>//diggs:propertyClass</t>
        </is>
      </c>
      <c r="D42" s="3" t="inlineStr">
        <is>
          <t>ancestor::diggs:ContinuousGrouting</t>
        </is>
      </c>
    </row>
    <row r="43">
      <c r="A43">
        <f>IF(ISNA(VLOOKUP(B43,Definitions!B$2:B$1843,1,FALSE)),"Not listed","")</f>
        <v/>
      </c>
      <c r="B43" s="14" t="inlineStr">
        <is>
          <t>time</t>
        </is>
      </c>
      <c r="C43" s="3" t="inlineStr">
        <is>
          <t>//diggs:propertyClass</t>
        </is>
      </c>
      <c r="D43" s="3" t="inlineStr">
        <is>
          <t>ancestor::diggs:ContinuousGrouting</t>
        </is>
      </c>
      <c r="E43" s="23" t="n"/>
    </row>
    <row r="44">
      <c r="A44">
        <f>IF(ISNA(VLOOKUP(B44,Definitions!B$2:B$1843,1,FALSE)),"Not listed","")</f>
        <v/>
      </c>
      <c r="B44" s="14" t="inlineStr">
        <is>
          <t>time</t>
        </is>
      </c>
      <c r="C44" s="3" t="inlineStr">
        <is>
          <t>//diggs:propertyClass</t>
        </is>
      </c>
      <c r="D44" s="3" t="inlineStr">
        <is>
          <t>ancestor::diggs:GroutStage</t>
        </is>
      </c>
      <c r="E44" s="24" t="n"/>
    </row>
    <row r="45">
      <c r="A45">
        <f>IF(ISNA(VLOOKUP(B45,Definitions!B$2:B$1843,1,FALSE)),"Not listed","")</f>
        <v/>
      </c>
      <c r="B45" s="14" t="inlineStr">
        <is>
          <t>torque</t>
        </is>
      </c>
      <c r="C45" s="3" t="inlineStr">
        <is>
          <t>//diggs:propertyClass</t>
        </is>
      </c>
      <c r="D45" s="3" t="inlineStr">
        <is>
          <t>ancestor::diggs:ContinuousGrouting</t>
        </is>
      </c>
    </row>
    <row r="46">
      <c r="A46">
        <f>IF(ISNA(VLOOKUP(B46,Definitions!B$2:B$1843,1,FALSE)),"Not listed","")</f>
        <v/>
      </c>
      <c r="B46" s="14" t="inlineStr">
        <is>
          <t>pull_speed</t>
        </is>
      </c>
      <c r="C46" s="3" t="inlineStr">
        <is>
          <t>//diggs:propertyClass</t>
        </is>
      </c>
      <c r="D46" s="25" t="inlineStr">
        <is>
          <t>ancestor::diggs:constructionActivity//diggs:RIInstallationRecord</t>
        </is>
      </c>
    </row>
    <row r="47">
      <c r="A47">
        <f>IF(ISNA(VLOOKUP(B47,Definitions!B$2:B$1843,1,FALSE)),"Not listed","")</f>
        <v/>
      </c>
      <c r="B47" s="14" t="inlineStr">
        <is>
          <t>grout_pressure</t>
        </is>
      </c>
      <c r="C47" s="3" t="inlineStr">
        <is>
          <t>//diggs:propertyClass</t>
        </is>
      </c>
      <c r="D47" s="25" t="inlineStr">
        <is>
          <t>ancestor::diggs:constructionActivity//diggs:RIInstallationRecord</t>
        </is>
      </c>
    </row>
    <row r="48">
      <c r="A48">
        <f>IF(ISNA(VLOOKUP(B48,Definitions!B$2:B$1843,1,FALSE)),"Not listed","")</f>
        <v/>
      </c>
      <c r="B48" s="14" t="inlineStr">
        <is>
          <t>grout_flow</t>
        </is>
      </c>
      <c r="C48" s="3" t="inlineStr">
        <is>
          <t>//diggs:propertyClass</t>
        </is>
      </c>
      <c r="D48" s="25" t="inlineStr">
        <is>
          <t>ancestor::diggs:constructionActivity//diggs:RIInstallationRecord</t>
        </is>
      </c>
    </row>
    <row r="49">
      <c r="A49">
        <f>IF(ISNA(VLOOKUP(B49,Definitions!B$2:B$1843,1,FALSE)),"Not listed","")</f>
        <v/>
      </c>
      <c r="B49" s="14" t="inlineStr">
        <is>
          <t>grout_volume</t>
        </is>
      </c>
      <c r="C49" s="3" t="inlineStr">
        <is>
          <t>//diggs:propertyClass</t>
        </is>
      </c>
      <c r="D49" s="3" t="inlineStr">
        <is>
          <t>ancestor::diggs:constructionActivity//diggs:RIInstallationRecord</t>
        </is>
      </c>
    </row>
    <row r="50">
      <c r="A50">
        <f>IF(ISNA(VLOOKUP(B50,Definitions!B$2:B$1843,1,FALSE)),"Not listed","")</f>
        <v/>
      </c>
      <c r="B50" s="14" t="inlineStr">
        <is>
          <t>stroke_count</t>
        </is>
      </c>
      <c r="C50" s="3" t="inlineStr">
        <is>
          <t>//diggs:propertyClass</t>
        </is>
      </c>
      <c r="D50" s="3" t="inlineStr">
        <is>
          <t>ancestor::diggs:constructionActivity//diggs:RIInstallationRecord</t>
        </is>
      </c>
    </row>
    <row r="51">
      <c r="A51">
        <f>IF(ISNA(VLOOKUP(B51,Definitions!B$2:B$1843,1,FALSE)),"Not listed","")</f>
        <v/>
      </c>
      <c r="B51" s="14" t="inlineStr">
        <is>
          <t>drilling_speed</t>
        </is>
      </c>
      <c r="C51" s="3" t="inlineStr">
        <is>
          <t>//diggs:propertyClass</t>
        </is>
      </c>
      <c r="D51" s="3" t="inlineStr">
        <is>
          <t>ancestor::diggs:constructionActivity//diggs:RIInstallationRecord</t>
        </is>
      </c>
    </row>
    <row r="52">
      <c r="A52">
        <f>IF(ISNA(VLOOKUP(B52,Definitions!B$2:B$1843,1,FALSE)),"Not listed","")</f>
        <v/>
      </c>
      <c r="B52" s="14" t="inlineStr">
        <is>
          <t>rotation_speed</t>
        </is>
      </c>
      <c r="C52" s="3" t="inlineStr">
        <is>
          <t>//diggs:propertyClass</t>
        </is>
      </c>
      <c r="D52" s="3" t="inlineStr">
        <is>
          <t>ancestor::diggs:constructionActivity//diggs:RIInstallationRecord</t>
        </is>
      </c>
    </row>
    <row r="53">
      <c r="A53">
        <f>IF(ISNA(VLOOKUP(B53,Definitions!B$2:B$1843,1,FALSE)),"Not listed","")</f>
        <v/>
      </c>
      <c r="B53" s="14" t="inlineStr">
        <is>
          <t>torque</t>
        </is>
      </c>
      <c r="C53" s="3" t="inlineStr">
        <is>
          <t>//diggs:propertyClass</t>
        </is>
      </c>
      <c r="D53" s="3" t="inlineStr">
        <is>
          <t>ancestor::diggs:constructionActivity//diggs:RIInstallationRecord</t>
        </is>
      </c>
    </row>
    <row r="54">
      <c r="A54">
        <f>IF(ISNA(VLOOKUP(B54,Definitions!B$2:B$1843,1,FALSE)),"Not listed","")</f>
        <v/>
      </c>
      <c r="B54" s="14" t="inlineStr">
        <is>
          <t>thrust</t>
        </is>
      </c>
      <c r="C54" s="3" t="inlineStr">
        <is>
          <t>//diggs:propertyClass</t>
        </is>
      </c>
      <c r="D54" s="3" t="inlineStr">
        <is>
          <t>ancestor::diggs:constructionActivity//diggs:RIInstallationRecord</t>
        </is>
      </c>
    </row>
    <row r="55">
      <c r="A55">
        <f>IF(ISNA(VLOOKUP(B55,Definitions!B$2:B$1843,1,FALSE)),"Not listed","")</f>
        <v/>
      </c>
      <c r="B55" s="14" t="inlineStr">
        <is>
          <t>crowd_pressure</t>
        </is>
      </c>
      <c r="C55" s="3" t="inlineStr">
        <is>
          <t>//diggs:propertyClass</t>
        </is>
      </c>
      <c r="D55" s="3" t="inlineStr">
        <is>
          <t>ancestor::diggs:constructionActivity//diggs:RIInstallationRecord</t>
        </is>
      </c>
    </row>
    <row r="56">
      <c r="A56">
        <f>IF(ISNA(VLOOKUP(B56,Definitions!B$2:B$1843,1,FALSE)),"Not listed","")</f>
        <v/>
      </c>
      <c r="B56" s="14" t="inlineStr">
        <is>
          <t>volume_overconsumption</t>
        </is>
      </c>
      <c r="C56" s="3" t="inlineStr">
        <is>
          <t>//diggs:propertyClass</t>
        </is>
      </c>
      <c r="D56" s="3" t="inlineStr">
        <is>
          <t>ancestor::diggs:constructionActivity//diggs:RIInstallationRecord</t>
        </is>
      </c>
    </row>
    <row r="57">
      <c r="A57">
        <f>IF(ISNA(VLOOKUP(B57,Definitions!B$2:B$1843,1,FALSE)),"Not listed","")</f>
        <v/>
      </c>
      <c r="B57" s="14" t="inlineStr">
        <is>
          <t>grout_level</t>
        </is>
      </c>
      <c r="C57" s="3" t="inlineStr">
        <is>
          <t>//diggs:propertyClass</t>
        </is>
      </c>
      <c r="D57" s="3" t="inlineStr">
        <is>
          <t>ancestor::diggs:constructionActivity//diggs:RIInstallationRecord</t>
        </is>
      </c>
    </row>
    <row r="58">
      <c r="A58">
        <f>IF(ISNA(VLOOKUP(B58,Definitions!B$2:B$1843,1,FALSE)),"Not listed","")</f>
        <v/>
      </c>
      <c r="B58" s="14" t="inlineStr">
        <is>
          <t>grout_return_volume</t>
        </is>
      </c>
      <c r="C58" s="3" t="inlineStr">
        <is>
          <t>//diggs:propertyClass</t>
        </is>
      </c>
      <c r="D58" s="3" t="inlineStr">
        <is>
          <t>ancestor::diggs:constructionActivity//diggs:RIInstallationRecord</t>
        </is>
      </c>
    </row>
    <row r="59">
      <c r="B59" t="inlineStr">
        <is>
          <t>apparent_lugeon_value</t>
        </is>
      </c>
      <c r="C59" t="inlineStr">
        <is>
          <t>//diggs:recordingParameter</t>
        </is>
      </c>
      <c r="D59" t="inlineStr">
        <is>
          <t>ancestor::diggs:ConstructionActivitySpecification</t>
        </is>
      </c>
    </row>
    <row r="60">
      <c r="B60" t="inlineStr">
        <is>
          <t>column_pressure</t>
        </is>
      </c>
      <c r="C60" t="inlineStr">
        <is>
          <t>//diggs:recordingParameter</t>
        </is>
      </c>
      <c r="D60" t="inlineStr">
        <is>
          <t>ancestor::diggs:ConstructionActivitySpecification</t>
        </is>
      </c>
    </row>
    <row r="61">
      <c r="B61" t="inlineStr">
        <is>
          <t>crowd_pressure</t>
        </is>
      </c>
      <c r="C61" t="inlineStr">
        <is>
          <t>//diggs:recordingParameter</t>
        </is>
      </c>
      <c r="D61" t="inlineStr">
        <is>
          <t>ancestor::diggs:ConstructionActivitySpecification</t>
        </is>
      </c>
    </row>
    <row r="62">
      <c r="B62" t="inlineStr">
        <is>
          <t>depth</t>
        </is>
      </c>
      <c r="C62" t="inlineStr">
        <is>
          <t>//diggs:recordingParameter</t>
        </is>
      </c>
      <c r="D62" t="inlineStr">
        <is>
          <t>ancestor::diggs:ConstructionActivitySpecification</t>
        </is>
      </c>
    </row>
    <row r="63">
      <c r="B63" t="inlineStr">
        <is>
          <t>drilling_index</t>
        </is>
      </c>
      <c r="C63" t="inlineStr">
        <is>
          <t>//diggs:recordingParameter</t>
        </is>
      </c>
      <c r="D63" t="inlineStr">
        <is>
          <t>ancestor::diggs:ConstructionActivitySpecification</t>
        </is>
      </c>
    </row>
    <row r="64">
      <c r="B64" t="inlineStr">
        <is>
          <t>drilling_speed</t>
        </is>
      </c>
      <c r="C64" t="inlineStr">
        <is>
          <t>//diggs:recordingParameter</t>
        </is>
      </c>
      <c r="D64" t="inlineStr">
        <is>
          <t>ancestor::diggs:ConstructionActivitySpecification</t>
        </is>
      </c>
    </row>
    <row r="65">
      <c r="B65" t="inlineStr">
        <is>
          <t>effective_pressure</t>
        </is>
      </c>
      <c r="C65" t="inlineStr">
        <is>
          <t>//diggs:recordingParameter</t>
        </is>
      </c>
      <c r="D65" t="inlineStr">
        <is>
          <t>ancestor::diggs:ConstructionActivitySpecification</t>
        </is>
      </c>
    </row>
    <row r="66">
      <c r="B66" t="inlineStr">
        <is>
          <t>elapsed_time</t>
        </is>
      </c>
      <c r="C66" t="inlineStr">
        <is>
          <t>//diggs:recordingParameter</t>
        </is>
      </c>
      <c r="D66" t="inlineStr">
        <is>
          <t>ancestor::diggs:ConstructionActivitySpecification</t>
        </is>
      </c>
    </row>
    <row r="67">
      <c r="B67" t="inlineStr">
        <is>
          <t>fluid_1_flow</t>
        </is>
      </c>
      <c r="C67" t="inlineStr">
        <is>
          <t>//diggs:recordingParameter</t>
        </is>
      </c>
      <c r="D67" t="inlineStr">
        <is>
          <t>ancestor::diggs:ConstructionActivitySpecification</t>
        </is>
      </c>
    </row>
    <row r="68">
      <c r="B68" t="inlineStr">
        <is>
          <t>fluid_1_pressure</t>
        </is>
      </c>
      <c r="C68" t="inlineStr">
        <is>
          <t>//diggs:recordingParameter</t>
        </is>
      </c>
      <c r="D68" t="inlineStr">
        <is>
          <t>ancestor::diggs:ConstructionActivitySpecification</t>
        </is>
      </c>
    </row>
    <row r="69">
      <c r="B69" t="inlineStr">
        <is>
          <t>fluid_1_temperature</t>
        </is>
      </c>
      <c r="C69" t="inlineStr">
        <is>
          <t>//diggs:recordingParameter</t>
        </is>
      </c>
      <c r="D69" t="inlineStr">
        <is>
          <t>ancestor::diggs:ConstructionActivitySpecification</t>
        </is>
      </c>
    </row>
    <row r="70">
      <c r="B70" t="inlineStr">
        <is>
          <t>fluid_2_flow</t>
        </is>
      </c>
      <c r="C70" t="inlineStr">
        <is>
          <t>//diggs:recordingParameter</t>
        </is>
      </c>
      <c r="D70" t="inlineStr">
        <is>
          <t>ancestor::diggs:ConstructionActivitySpecification</t>
        </is>
      </c>
    </row>
    <row r="71">
      <c r="B71" t="inlineStr">
        <is>
          <t>fluid_2_pressure</t>
        </is>
      </c>
      <c r="C71" t="inlineStr">
        <is>
          <t>//diggs:recordingParameter</t>
        </is>
      </c>
      <c r="D71" t="inlineStr">
        <is>
          <t>ancestor::diggs:ConstructionActivitySpecification</t>
        </is>
      </c>
    </row>
    <row r="72">
      <c r="B72" t="inlineStr">
        <is>
          <t>fluid_2_temperature</t>
        </is>
      </c>
      <c r="C72" t="inlineStr">
        <is>
          <t>//diggs:recordingParameter</t>
        </is>
      </c>
      <c r="D72" t="inlineStr">
        <is>
          <t>ancestor::diggs:ConstructionActivitySpecification</t>
        </is>
      </c>
    </row>
    <row r="73">
      <c r="B73" t="inlineStr">
        <is>
          <t>gauge_pressure</t>
        </is>
      </c>
      <c r="C73" t="inlineStr">
        <is>
          <t>//diggs:recordingParameter</t>
        </is>
      </c>
      <c r="D73" t="inlineStr">
        <is>
          <t>ancestor::diggs:ConstructionActivitySpecification</t>
        </is>
      </c>
    </row>
    <row r="74">
      <c r="B74" t="inlineStr">
        <is>
          <t>grout_flow</t>
        </is>
      </c>
      <c r="C74" t="inlineStr">
        <is>
          <t>//diggs:recordingParameter</t>
        </is>
      </c>
      <c r="D74" t="inlineStr">
        <is>
          <t>ancestor::diggs:ConstructionActivitySpecification</t>
        </is>
      </c>
    </row>
    <row r="75">
      <c r="B75" t="inlineStr">
        <is>
          <t>grout_pressure</t>
        </is>
      </c>
      <c r="C75" t="inlineStr">
        <is>
          <t>//diggs:recordingParameter</t>
        </is>
      </c>
      <c r="D75" t="inlineStr">
        <is>
          <t>ancestor::diggs:ConstructionActivitySpecification</t>
        </is>
      </c>
    </row>
    <row r="76">
      <c r="B76" t="inlineStr">
        <is>
          <t>grout_specific_gravity</t>
        </is>
      </c>
      <c r="C76" t="inlineStr">
        <is>
          <t>//diggs:recordingParameter</t>
        </is>
      </c>
      <c r="D76" t="inlineStr">
        <is>
          <t>ancestor::diggs:ConstructionActivitySpecification</t>
        </is>
      </c>
    </row>
    <row r="77">
      <c r="B77" t="inlineStr">
        <is>
          <t>grout_temperature</t>
        </is>
      </c>
      <c r="C77" t="inlineStr">
        <is>
          <t>//diggs:recordingParameter</t>
        </is>
      </c>
      <c r="D77" t="inlineStr">
        <is>
          <t>ancestor::diggs:ConstructionActivitySpecification</t>
        </is>
      </c>
    </row>
    <row r="78">
      <c r="B78" t="inlineStr">
        <is>
          <t>grout_volume</t>
        </is>
      </c>
      <c r="C78" t="inlineStr">
        <is>
          <t>//diggs:recordingParameter</t>
        </is>
      </c>
      <c r="D78" t="inlineStr">
        <is>
          <t>ancestor::diggs:ConstructionActivitySpecification</t>
        </is>
      </c>
    </row>
    <row r="79">
      <c r="B79" t="inlineStr">
        <is>
          <t>header_pressure</t>
        </is>
      </c>
      <c r="C79" t="inlineStr">
        <is>
          <t>//diggs:recordingParameter</t>
        </is>
      </c>
      <c r="D79" t="inlineStr">
        <is>
          <t>ancestor::diggs:ConstructionActivitySpecification</t>
        </is>
      </c>
    </row>
    <row r="80">
      <c r="B80" t="inlineStr">
        <is>
          <t>injection_pressure</t>
        </is>
      </c>
      <c r="C80" t="inlineStr">
        <is>
          <t>//diggs:recordingParameter</t>
        </is>
      </c>
      <c r="D80" t="inlineStr">
        <is>
          <t>ancestor::diggs:ConstructionActivitySpecification</t>
        </is>
      </c>
    </row>
    <row r="81">
      <c r="B81" t="inlineStr">
        <is>
          <t>line_loss</t>
        </is>
      </c>
      <c r="C81" t="inlineStr">
        <is>
          <t>//diggs:recordingParameter</t>
        </is>
      </c>
      <c r="D81" t="inlineStr">
        <is>
          <t>ancestor::diggs:ConstructionActivitySpecification</t>
        </is>
      </c>
    </row>
    <row r="82">
      <c r="B82" t="inlineStr">
        <is>
          <t>micro_motion_flow</t>
        </is>
      </c>
      <c r="C82" t="inlineStr">
        <is>
          <t>//diggs:recordingParameter</t>
        </is>
      </c>
      <c r="D82" t="inlineStr">
        <is>
          <t>ancestor::diggs:ConstructionActivitySpecification</t>
        </is>
      </c>
    </row>
    <row r="83">
      <c r="B83" t="inlineStr">
        <is>
          <t>micro_motion_volume</t>
        </is>
      </c>
      <c r="C83" t="inlineStr">
        <is>
          <t>//diggs:recordingParameter</t>
        </is>
      </c>
      <c r="D83" t="inlineStr">
        <is>
          <t>ancestor::diggs:ConstructionActivitySpecification</t>
        </is>
      </c>
    </row>
    <row r="84">
      <c r="B84" t="inlineStr">
        <is>
          <t>mix</t>
        </is>
      </c>
      <c r="C84" t="inlineStr">
        <is>
          <t>//diggs:recordingParameter</t>
        </is>
      </c>
      <c r="D84" t="inlineStr">
        <is>
          <t>ancestor::diggs:ConstructionActivitySpecification</t>
        </is>
      </c>
    </row>
    <row r="85">
      <c r="B85" t="inlineStr">
        <is>
          <t>packer_pressure</t>
        </is>
      </c>
      <c r="C85" t="inlineStr">
        <is>
          <t>//diggs:recordingParameter</t>
        </is>
      </c>
      <c r="D85" t="inlineStr">
        <is>
          <t>ancestor::diggs:ConstructionActivitySpecification</t>
        </is>
      </c>
    </row>
    <row r="86">
      <c r="B86" t="inlineStr">
        <is>
          <t>pull_speed</t>
        </is>
      </c>
      <c r="C86" t="inlineStr">
        <is>
          <t>//diggs:recordingParameter</t>
        </is>
      </c>
      <c r="D86" t="inlineStr">
        <is>
          <t>ancestor::diggs:ConstructionActivitySpecification</t>
        </is>
      </c>
    </row>
    <row r="87">
      <c r="B87" t="inlineStr">
        <is>
          <t>rotary_pressure</t>
        </is>
      </c>
      <c r="C87" t="inlineStr">
        <is>
          <t>//diggs:recordingParameter</t>
        </is>
      </c>
      <c r="D87" t="inlineStr">
        <is>
          <t>ancestor::diggs:ConstructionActivitySpecification</t>
        </is>
      </c>
    </row>
    <row r="88">
      <c r="B88" t="inlineStr">
        <is>
          <t>rotation_speed</t>
        </is>
      </c>
      <c r="C88" t="inlineStr">
        <is>
          <t>//diggs:recordingParameter</t>
        </is>
      </c>
      <c r="D88" t="inlineStr">
        <is>
          <t>ancestor::diggs:ConstructionActivitySpecification</t>
        </is>
      </c>
    </row>
    <row r="89">
      <c r="B89" t="inlineStr">
        <is>
          <t>specific_energy</t>
        </is>
      </c>
      <c r="C89" t="inlineStr">
        <is>
          <t>//diggs:recordingParameter</t>
        </is>
      </c>
      <c r="D89" t="inlineStr">
        <is>
          <t>ancestor::diggs:ConstructionActivitySpecification</t>
        </is>
      </c>
    </row>
    <row r="90">
      <c r="B90" t="inlineStr">
        <is>
          <t>stroke_count</t>
        </is>
      </c>
      <c r="C90" t="inlineStr">
        <is>
          <t>//diggs:recordingParameter</t>
        </is>
      </c>
      <c r="D90" t="inlineStr">
        <is>
          <t>ancestor::diggs:ConstructionActivitySpecification</t>
        </is>
      </c>
    </row>
    <row r="91">
      <c r="B91" t="inlineStr">
        <is>
          <t>take</t>
        </is>
      </c>
      <c r="C91" t="inlineStr">
        <is>
          <t>//diggs:recordingParameter</t>
        </is>
      </c>
      <c r="D91" t="inlineStr">
        <is>
          <t>ancestor::diggs:ConstructionActivitySpecification</t>
        </is>
      </c>
    </row>
    <row r="92">
      <c r="B92" t="inlineStr">
        <is>
          <t>thrust</t>
        </is>
      </c>
      <c r="C92" t="inlineStr">
        <is>
          <t>//diggs:recordingParameter</t>
        </is>
      </c>
      <c r="D92" t="inlineStr">
        <is>
          <t>ancestor::diggs:ConstructionActivitySpecification</t>
        </is>
      </c>
    </row>
    <row r="93">
      <c r="B93" t="inlineStr">
        <is>
          <t>torque</t>
        </is>
      </c>
      <c r="C93" t="inlineStr">
        <is>
          <t>//diggs:recordingParameter</t>
        </is>
      </c>
      <c r="D93" t="inlineStr">
        <is>
          <t>ancestor::diggs:ConstructionActivitySpecification</t>
        </is>
      </c>
    </row>
    <row r="94">
      <c r="B94" t="inlineStr">
        <is>
          <t>time</t>
        </is>
      </c>
      <c r="C94" t="inlineStr">
        <is>
          <t>//diggs:recordingParameter</t>
        </is>
      </c>
      <c r="D94" t="inlineStr">
        <is>
          <t>ancestor::diggs:ConstructionActivitySpecification</t>
        </is>
      </c>
    </row>
    <row r="95">
      <c r="B95" t="inlineStr">
        <is>
          <t>volume_overconsumption</t>
        </is>
      </c>
      <c r="C95" t="inlineStr">
        <is>
          <t>//diggs:recordingParameter</t>
        </is>
      </c>
      <c r="D95" t="inlineStr">
        <is>
          <t>ancestor::diggs:ConstructionActivitySpecification</t>
        </is>
      </c>
    </row>
    <row r="96">
      <c r="B96" t="inlineStr">
        <is>
          <t>grout_level</t>
        </is>
      </c>
      <c r="C96" t="inlineStr">
        <is>
          <t>//diggs:recordingParameter</t>
        </is>
      </c>
      <c r="D96" t="inlineStr">
        <is>
          <t>ancestor::diggs:ConstructionActivitySpecification</t>
        </is>
      </c>
    </row>
    <row r="97">
      <c r="B97" t="inlineStr">
        <is>
          <t>grout_return_volume</t>
        </is>
      </c>
      <c r="C97" t="inlineStr">
        <is>
          <t>//diggs:recordingParameter</t>
        </is>
      </c>
      <c r="D97" t="inlineStr">
        <is>
          <t>ancestor::diggs:ConstructionActivitySpecification</t>
        </is>
      </c>
    </row>
  </sheetData>
  <pageMargins left="0.7" right="0.7" top="0.75" bottom="0.75" header="0.3" footer="0.3"/>
  <pageSetup orientation="portrait"/>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cols>
    <col width="6.83203125" customWidth="1" min="1" max="1"/>
    <col width="31.6640625" customWidth="1" min="2" max="2"/>
    <col width="86.1640625" customWidth="1" min="3" max="3"/>
    <col width="93" customWidth="1" min="4" max="4"/>
  </cols>
  <sheetData>
    <row r="1">
      <c r="A1" s="26" t="inlineStr">
        <is>
          <t>Start</t>
        </is>
      </c>
      <c r="B1" s="26" t="inlineStr">
        <is>
          <t>ID</t>
        </is>
      </c>
      <c r="C1" s="26" t="inlineStr">
        <is>
          <t>Name</t>
        </is>
      </c>
      <c r="D1" t="inlineStr">
        <is>
          <t>codeSpace</t>
        </is>
      </c>
    </row>
    <row r="2">
      <c r="A2">
        <f>IF(ISNA(VLOOKUP(B2,Definitions!B$2:B$1839,1,FALSE)),"Not listed","")</f>
        <v/>
      </c>
      <c r="B2" t="inlineStr">
        <is>
          <t>LFS</t>
        </is>
      </c>
      <c r="C2" t="inlineStr">
        <is>
          <t>An alternate name for the definition code given in ID</t>
        </is>
      </c>
      <c r="D2" t="inlineStr">
        <is>
          <t>A URI to provide context for the name. Typically this might identify an authority, a language. a dictionary, or some other metadata value</t>
        </is>
      </c>
    </row>
    <row r="3">
      <c r="A3">
        <f>IF(ISNA(VLOOKUP(B3,Definitions!B$2:B$1839,1,FALSE)),"Not listed","")</f>
        <v/>
      </c>
      <c r="B3" t="inlineStr">
        <is>
          <t>pull_speed</t>
        </is>
      </c>
      <c r="C3" t="inlineStr">
        <is>
          <t>withdrawal rate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87"/>
  <sheetViews>
    <sheetView topLeftCell="A40" zoomScale="130" zoomScaleNormal="130" workbookViewId="0">
      <selection activeCell="B18" sqref="B18"/>
    </sheetView>
  </sheetViews>
  <sheetFormatPr baseColWidth="10" defaultColWidth="11" defaultRowHeight="16"/>
  <cols>
    <col width="21.1640625" customWidth="1" min="2" max="2"/>
    <col width="54.1640625" customWidth="1" min="3" max="3"/>
  </cols>
  <sheetData>
    <row r="1">
      <c r="A1" t="inlineStr">
        <is>
          <t>DataType</t>
        </is>
      </c>
      <c r="B1" t="inlineStr">
        <is>
          <t>DataType2</t>
        </is>
      </c>
      <c r="C1" t="inlineStr">
        <is>
          <t>QuantityClass</t>
        </is>
      </c>
    </row>
    <row r="2">
      <c r="B2" t="inlineStr">
        <is>
          <t>anyURI</t>
        </is>
      </c>
      <c r="C2" t="inlineStr">
        <is>
          <t>absorbed dose</t>
        </is>
      </c>
      <c r="D2" s="7" t="n"/>
    </row>
    <row r="3">
      <c r="B3" t="inlineStr">
        <is>
          <t>base64binary</t>
        </is>
      </c>
      <c r="C3" t="inlineStr">
        <is>
          <t>activity of radioactivity</t>
        </is>
      </c>
      <c r="D3" s="7" t="n"/>
    </row>
    <row r="4">
      <c r="B4" s="9" t="inlineStr">
        <is>
          <t>boolean</t>
        </is>
      </c>
      <c r="C4" t="inlineStr">
        <is>
          <t>amount of substance</t>
        </is>
      </c>
      <c r="D4" s="7" t="n"/>
    </row>
    <row r="5">
      <c r="B5" s="9" t="inlineStr">
        <is>
          <t>byte</t>
        </is>
      </c>
      <c r="C5" t="inlineStr">
        <is>
          <t>amount of substance per amount of substance</t>
        </is>
      </c>
      <c r="D5" s="7" t="n"/>
    </row>
    <row r="6">
      <c r="B6" t="inlineStr">
        <is>
          <t>date</t>
        </is>
      </c>
      <c r="C6" t="inlineStr">
        <is>
          <t>amount of substance per area</t>
        </is>
      </c>
      <c r="D6" s="7" t="n"/>
    </row>
    <row r="7">
      <c r="B7" t="inlineStr">
        <is>
          <t>dateTime</t>
        </is>
      </c>
      <c r="C7" t="inlineStr">
        <is>
          <t>amount of substance per time</t>
        </is>
      </c>
      <c r="D7" s="7" t="n"/>
    </row>
    <row r="8">
      <c r="B8" t="inlineStr">
        <is>
          <t>decimal</t>
        </is>
      </c>
      <c r="C8" t="inlineStr">
        <is>
          <t>amount of substance per time per area</t>
        </is>
      </c>
      <c r="D8" s="7" t="n"/>
    </row>
    <row r="9">
      <c r="B9" s="9" t="inlineStr">
        <is>
          <t>double</t>
        </is>
      </c>
      <c r="C9" t="inlineStr">
        <is>
          <t>amount of substance per volume</t>
        </is>
      </c>
      <c r="D9" s="7" t="n"/>
    </row>
    <row r="10">
      <c r="B10" t="inlineStr">
        <is>
          <t>duration</t>
        </is>
      </c>
      <c r="C10" t="inlineStr">
        <is>
          <t>angle per length</t>
        </is>
      </c>
      <c r="D10" s="7" t="n"/>
    </row>
    <row r="11">
      <c r="B11" s="9" t="inlineStr">
        <is>
          <t>float</t>
        </is>
      </c>
      <c r="C11" t="inlineStr">
        <is>
          <t>angle per volume</t>
        </is>
      </c>
      <c r="D11" s="7" t="n"/>
    </row>
    <row r="12">
      <c r="B12" t="inlineStr">
        <is>
          <t>gDay</t>
        </is>
      </c>
      <c r="C12" t="inlineStr">
        <is>
          <t>angular acceleration</t>
        </is>
      </c>
      <c r="D12" s="7" t="n"/>
    </row>
    <row r="13">
      <c r="B13" t="inlineStr">
        <is>
          <t>gMonth</t>
        </is>
      </c>
      <c r="C13" t="inlineStr">
        <is>
          <t>angular velocity</t>
        </is>
      </c>
      <c r="D13" s="7" t="n"/>
    </row>
    <row r="14">
      <c r="B14" t="inlineStr">
        <is>
          <t>gMonthDay</t>
        </is>
      </c>
      <c r="C14" t="inlineStr">
        <is>
          <t>api gamma ray</t>
        </is>
      </c>
      <c r="D14" s="7" t="n"/>
    </row>
    <row r="15">
      <c r="B15" t="inlineStr">
        <is>
          <t>gYear</t>
        </is>
      </c>
      <c r="C15" t="inlineStr">
        <is>
          <t>api gravity</t>
        </is>
      </c>
      <c r="D15" s="7" t="n"/>
    </row>
    <row r="16">
      <c r="B16" t="inlineStr">
        <is>
          <t>gYearMonth</t>
        </is>
      </c>
      <c r="C16" t="inlineStr">
        <is>
          <t>api neutron</t>
        </is>
      </c>
      <c r="D16" s="7" t="n"/>
    </row>
    <row r="17">
      <c r="B17" t="inlineStr">
        <is>
          <t>hexBinary</t>
        </is>
      </c>
      <c r="C17" t="inlineStr">
        <is>
          <t>area</t>
        </is>
      </c>
      <c r="D17" s="7" t="n"/>
    </row>
    <row r="18">
      <c r="B18" s="9" t="n"/>
      <c r="C18" t="inlineStr">
        <is>
          <t>area per amount of substance</t>
        </is>
      </c>
      <c r="D18" s="7" t="n"/>
    </row>
    <row r="19">
      <c r="B19" t="inlineStr">
        <is>
          <t>integer</t>
        </is>
      </c>
      <c r="C19" t="inlineStr">
        <is>
          <t>area per area</t>
        </is>
      </c>
      <c r="D19" s="7" t="n"/>
    </row>
    <row r="20">
      <c r="B20" t="inlineStr">
        <is>
          <t>language</t>
        </is>
      </c>
      <c r="C20" t="inlineStr">
        <is>
          <t>area per count</t>
        </is>
      </c>
      <c r="D20" s="7" t="n"/>
    </row>
    <row r="21">
      <c r="B21" s="9" t="inlineStr">
        <is>
          <t>long</t>
        </is>
      </c>
      <c r="C21" t="inlineStr">
        <is>
          <t>area per mass</t>
        </is>
      </c>
      <c r="D21" s="7" t="n"/>
    </row>
    <row r="22">
      <c r="B22" t="inlineStr">
        <is>
          <t>negativeInteger</t>
        </is>
      </c>
      <c r="C22" t="inlineStr">
        <is>
          <t>area per time</t>
        </is>
      </c>
      <c r="D22" s="7" t="n"/>
    </row>
    <row r="23">
      <c r="B23" t="inlineStr">
        <is>
          <t>nonNegativeInteger</t>
        </is>
      </c>
      <c r="C23" t="inlineStr">
        <is>
          <t>area per volume</t>
        </is>
      </c>
      <c r="D23" s="7" t="n"/>
    </row>
    <row r="24">
      <c r="B24" t="inlineStr">
        <is>
          <t>nonPositiveInteger</t>
        </is>
      </c>
      <c r="C24" t="inlineStr">
        <is>
          <t>attenuation per frequency interval</t>
        </is>
      </c>
      <c r="D24" s="7" t="n"/>
    </row>
    <row r="25">
      <c r="B25" t="inlineStr">
        <is>
          <t>normalizedString</t>
        </is>
      </c>
      <c r="C25" t="inlineStr">
        <is>
          <t>capacitance</t>
        </is>
      </c>
      <c r="D25" s="7" t="n"/>
    </row>
    <row r="26">
      <c r="B26" t="inlineStr">
        <is>
          <t>positiveInteger</t>
        </is>
      </c>
      <c r="C26" t="inlineStr">
        <is>
          <t>cation exchange capacity</t>
        </is>
      </c>
      <c r="D26" s="7" t="n"/>
    </row>
    <row r="27">
      <c r="B27" t="inlineStr">
        <is>
          <t>short</t>
        </is>
      </c>
      <c r="C27" t="inlineStr">
        <is>
          <t>data transfer speed</t>
        </is>
      </c>
      <c r="D27" s="7" t="n"/>
    </row>
    <row r="28">
      <c r="B28" s="9" t="inlineStr">
        <is>
          <t>string</t>
        </is>
      </c>
      <c r="C28" t="inlineStr">
        <is>
          <t>density or unit weight</t>
        </is>
      </c>
      <c r="D28" s="7" t="n"/>
    </row>
    <row r="29">
      <c r="C29" t="inlineStr">
        <is>
          <t>diffusion coefficient</t>
        </is>
      </c>
      <c r="D29" s="7" t="n"/>
    </row>
    <row r="30">
      <c r="B30" t="inlineStr">
        <is>
          <t>time</t>
        </is>
      </c>
      <c r="C30" t="inlineStr">
        <is>
          <t>diffusive time of flight</t>
        </is>
      </c>
      <c r="D30" s="7" t="n"/>
    </row>
    <row r="31">
      <c r="B31" t="inlineStr">
        <is>
          <t>token</t>
        </is>
      </c>
      <c r="C31" t="inlineStr">
        <is>
          <t>digital storage</t>
        </is>
      </c>
      <c r="D31" s="7" t="n"/>
    </row>
    <row r="32">
      <c r="B32" t="inlineStr">
        <is>
          <t>unsignedByte</t>
        </is>
      </c>
      <c r="C32" t="inlineStr">
        <is>
          <t>dimensionless</t>
        </is>
      </c>
      <c r="D32" s="7" t="n"/>
    </row>
    <row r="33">
      <c r="B33" t="inlineStr">
        <is>
          <t>unsignedInt</t>
        </is>
      </c>
      <c r="C33" t="inlineStr">
        <is>
          <t>dipole moment</t>
        </is>
      </c>
      <c r="D33" s="7" t="n"/>
    </row>
    <row r="34">
      <c r="B34" t="inlineStr">
        <is>
          <t>unsignedLong</t>
        </is>
      </c>
      <c r="C34" t="inlineStr">
        <is>
          <t>dose equivalent</t>
        </is>
      </c>
      <c r="D34" s="7" t="n"/>
    </row>
    <row r="35">
      <c r="B35" t="inlineStr">
        <is>
          <t>unsignedShort</t>
        </is>
      </c>
      <c r="C35" t="inlineStr">
        <is>
          <t>dynamic viscosity</t>
        </is>
      </c>
      <c r="D35" s="7" t="n"/>
    </row>
    <row r="36">
      <c r="B36" s="9" t="inlineStr">
        <is>
          <t>vector</t>
        </is>
      </c>
      <c r="C36" t="inlineStr">
        <is>
          <t>electric charge</t>
        </is>
      </c>
      <c r="D36" s="7" t="n"/>
    </row>
    <row r="37">
      <c r="C37" t="inlineStr">
        <is>
          <t>electric charge per area</t>
        </is>
      </c>
      <c r="D37" s="7" t="n"/>
    </row>
    <row r="38">
      <c r="C38" t="inlineStr">
        <is>
          <t>electric charge per mass</t>
        </is>
      </c>
      <c r="D38" s="7" t="n"/>
    </row>
    <row r="39">
      <c r="C39" t="inlineStr">
        <is>
          <t>electric charge per volume</t>
        </is>
      </c>
      <c r="D39" s="7" t="n"/>
    </row>
    <row r="40">
      <c r="C40" t="inlineStr">
        <is>
          <t>electric conductance</t>
        </is>
      </c>
      <c r="D40" s="7" t="n"/>
    </row>
    <row r="41">
      <c r="C41" t="inlineStr">
        <is>
          <t>electric conductivity</t>
        </is>
      </c>
      <c r="D41" s="7" t="n"/>
    </row>
    <row r="42">
      <c r="C42" t="inlineStr">
        <is>
          <t>electric current</t>
        </is>
      </c>
      <c r="D42" s="7" t="n"/>
    </row>
    <row r="43">
      <c r="C43" t="inlineStr">
        <is>
          <t>electric current density</t>
        </is>
      </c>
      <c r="D43" s="7" t="n"/>
    </row>
    <row r="44">
      <c r="C44" t="inlineStr">
        <is>
          <t>electric field strength</t>
        </is>
      </c>
      <c r="D44" s="7" t="n"/>
    </row>
    <row r="45">
      <c r="C45" t="inlineStr">
        <is>
          <t>electric potential difference</t>
        </is>
      </c>
      <c r="D45" s="7" t="n"/>
    </row>
    <row r="46">
      <c r="C46" t="inlineStr">
        <is>
          <t>electric resistance</t>
        </is>
      </c>
      <c r="D46" s="7" t="n"/>
    </row>
    <row r="47">
      <c r="C47" t="inlineStr">
        <is>
          <t>electric resistance per length</t>
        </is>
      </c>
      <c r="D47" s="7" t="n"/>
    </row>
    <row r="48">
      <c r="C48" t="inlineStr">
        <is>
          <t>electrical resistivity</t>
        </is>
      </c>
      <c r="D48" s="7" t="n"/>
    </row>
    <row r="49">
      <c r="C49" t="inlineStr">
        <is>
          <t>electromagnetic moment</t>
        </is>
      </c>
      <c r="D49" s="7" t="n"/>
    </row>
    <row r="50">
      <c r="C50" t="inlineStr">
        <is>
          <t>energy</t>
        </is>
      </c>
      <c r="D50" s="7" t="n"/>
    </row>
    <row r="51">
      <c r="C51" t="inlineStr">
        <is>
          <t>energy length per area</t>
        </is>
      </c>
      <c r="D51" s="7" t="n"/>
    </row>
    <row r="52">
      <c r="C52" t="inlineStr">
        <is>
          <t>energy length per time area temperature</t>
        </is>
      </c>
      <c r="D52" s="7" t="n"/>
    </row>
    <row r="53">
      <c r="C53" t="inlineStr">
        <is>
          <t>energy per area</t>
        </is>
      </c>
      <c r="D53" s="7" t="n"/>
    </row>
    <row r="54">
      <c r="C54" t="inlineStr">
        <is>
          <t>energy per length</t>
        </is>
      </c>
      <c r="D54" s="7" t="n"/>
    </row>
    <row r="55">
      <c r="C55" t="inlineStr">
        <is>
          <t>energy per mass</t>
        </is>
      </c>
      <c r="D55" s="7" t="n"/>
    </row>
    <row r="56">
      <c r="C56" t="inlineStr">
        <is>
          <t>energy per mass per time</t>
        </is>
      </c>
      <c r="D56" s="7" t="n"/>
    </row>
    <row r="57">
      <c r="C57" t="inlineStr">
        <is>
          <t>energy per volume</t>
        </is>
      </c>
      <c r="D57" s="7" t="n"/>
    </row>
    <row r="58">
      <c r="C58" t="inlineStr">
        <is>
          <t>force</t>
        </is>
      </c>
      <c r="D58" s="7" t="n"/>
    </row>
    <row r="59">
      <c r="C59" t="inlineStr">
        <is>
          <t>force area</t>
        </is>
      </c>
      <c r="D59" s="7" t="n"/>
    </row>
    <row r="60">
      <c r="C60" t="inlineStr">
        <is>
          <t>force length per length</t>
        </is>
      </c>
      <c r="D60" s="7" t="n"/>
    </row>
    <row r="61">
      <c r="C61" t="inlineStr">
        <is>
          <t>force per force</t>
        </is>
      </c>
      <c r="D61" s="7" t="n"/>
    </row>
    <row r="62">
      <c r="C62" t="inlineStr">
        <is>
          <t>force per length</t>
        </is>
      </c>
      <c r="D62" s="7" t="n"/>
    </row>
    <row r="63">
      <c r="C63" t="inlineStr">
        <is>
          <t>force per volume</t>
        </is>
      </c>
      <c r="D63" s="7" t="n"/>
    </row>
    <row r="64">
      <c r="C64" t="inlineStr">
        <is>
          <t>frequency</t>
        </is>
      </c>
      <c r="D64" s="7" t="n"/>
    </row>
    <row r="65">
      <c r="C65" t="inlineStr">
        <is>
          <t>frequency interval</t>
        </is>
      </c>
      <c r="D65" s="7" t="n"/>
    </row>
    <row r="66">
      <c r="C66" t="inlineStr">
        <is>
          <t>heat capacity</t>
        </is>
      </c>
      <c r="D66" s="7" t="n"/>
    </row>
    <row r="67">
      <c r="C67" t="inlineStr">
        <is>
          <t>heat flow rate</t>
        </is>
      </c>
      <c r="D67" s="7" t="n"/>
    </row>
    <row r="68">
      <c r="C68" t="inlineStr">
        <is>
          <t>heat transfer coefficient</t>
        </is>
      </c>
      <c r="D68" s="7" t="n"/>
    </row>
    <row r="69">
      <c r="C69" t="inlineStr">
        <is>
          <t>illuminance</t>
        </is>
      </c>
      <c r="D69" s="7" t="n"/>
    </row>
    <row r="70">
      <c r="C70" t="inlineStr">
        <is>
          <t>inductance</t>
        </is>
      </c>
      <c r="D70" s="7" t="n"/>
    </row>
    <row r="71">
      <c r="C71" t="inlineStr">
        <is>
          <t>isothermal compressibility</t>
        </is>
      </c>
      <c r="D71" s="7" t="n"/>
    </row>
    <row r="72">
      <c r="C72" t="inlineStr">
        <is>
          <t>kinematic viscosity</t>
        </is>
      </c>
      <c r="D72" s="7" t="n"/>
    </row>
    <row r="73">
      <c r="C73" t="inlineStr">
        <is>
          <t>length</t>
        </is>
      </c>
      <c r="D73" s="7" t="n"/>
    </row>
    <row r="74">
      <c r="C74" t="inlineStr">
        <is>
          <t>length per length</t>
        </is>
      </c>
      <c r="D74" s="7" t="n"/>
    </row>
    <row r="75">
      <c r="C75" t="inlineStr">
        <is>
          <t>length per mass</t>
        </is>
      </c>
      <c r="D75" s="7" t="n"/>
    </row>
    <row r="76">
      <c r="C76" t="inlineStr">
        <is>
          <t>length per pressure</t>
        </is>
      </c>
      <c r="D76" s="7" t="n"/>
    </row>
    <row r="77">
      <c r="C77" t="inlineStr">
        <is>
          <t>length per temperature</t>
        </is>
      </c>
      <c r="D77" s="7" t="n"/>
    </row>
    <row r="78">
      <c r="C78" t="inlineStr">
        <is>
          <t>length per time</t>
        </is>
      </c>
      <c r="D78" s="7" t="n"/>
    </row>
    <row r="79">
      <c r="C79" t="inlineStr">
        <is>
          <t>length per volume</t>
        </is>
      </c>
      <c r="D79" s="7" t="n"/>
    </row>
    <row r="80">
      <c r="C80" t="inlineStr">
        <is>
          <t>light exposure</t>
        </is>
      </c>
      <c r="D80" s="7" t="n"/>
    </row>
    <row r="81">
      <c r="C81" t="inlineStr">
        <is>
          <t>linear acceleration</t>
        </is>
      </c>
      <c r="D81" s="7" t="n"/>
    </row>
    <row r="82">
      <c r="C82" t="inlineStr">
        <is>
          <t>linear thermal expansion</t>
        </is>
      </c>
      <c r="D82" s="7" t="n"/>
    </row>
    <row r="83">
      <c r="C83" t="inlineStr">
        <is>
          <t>logarithmic power ratio</t>
        </is>
      </c>
      <c r="D83" s="7" t="n"/>
    </row>
    <row r="84">
      <c r="C84" t="inlineStr">
        <is>
          <t>logarithmic power ratio per length</t>
        </is>
      </c>
      <c r="D84" s="7" t="n"/>
    </row>
    <row r="85">
      <c r="C85" t="inlineStr">
        <is>
          <t>luminance</t>
        </is>
      </c>
      <c r="D85" s="7" t="n"/>
    </row>
    <row r="86">
      <c r="C86" t="inlineStr">
        <is>
          <t>luminous efficacy</t>
        </is>
      </c>
      <c r="D86" s="7" t="n"/>
    </row>
    <row r="87">
      <c r="C87" t="inlineStr">
        <is>
          <t>luminous flux</t>
        </is>
      </c>
      <c r="D87" s="7" t="n"/>
    </row>
    <row r="88">
      <c r="C88" t="inlineStr">
        <is>
          <t>luminous intensity</t>
        </is>
      </c>
      <c r="D88" s="7" t="n"/>
    </row>
    <row r="89">
      <c r="C89" t="inlineStr">
        <is>
          <t>magnetic dipole moment</t>
        </is>
      </c>
      <c r="D89" s="7" t="n"/>
    </row>
    <row r="90">
      <c r="C90" t="inlineStr">
        <is>
          <t>magnetic field strength</t>
        </is>
      </c>
      <c r="D90" s="7" t="n"/>
    </row>
    <row r="91">
      <c r="C91" t="inlineStr">
        <is>
          <t>magnetic flux</t>
        </is>
      </c>
      <c r="D91" s="7" t="n"/>
    </row>
    <row r="92">
      <c r="C92" t="inlineStr">
        <is>
          <t>magnetic flux density</t>
        </is>
      </c>
      <c r="D92" s="7" t="n"/>
    </row>
    <row r="93">
      <c r="C93" t="inlineStr">
        <is>
          <t>magnetic flux density per length</t>
        </is>
      </c>
      <c r="D93" s="7" t="n"/>
    </row>
    <row r="94">
      <c r="C94" t="inlineStr">
        <is>
          <t>magnetic permeability</t>
        </is>
      </c>
      <c r="D94" s="7" t="n"/>
    </row>
    <row r="95">
      <c r="C95" t="inlineStr">
        <is>
          <t>magnetic vector potential</t>
        </is>
      </c>
      <c r="D95" s="7" t="n"/>
    </row>
    <row r="96">
      <c r="C96" t="inlineStr">
        <is>
          <t>mass</t>
        </is>
      </c>
      <c r="D96" s="7" t="n"/>
    </row>
    <row r="97">
      <c r="C97" t="inlineStr">
        <is>
          <t>mass length</t>
        </is>
      </c>
      <c r="D97" s="7" t="n"/>
    </row>
    <row r="98">
      <c r="C98" t="inlineStr">
        <is>
          <t>mass per area</t>
        </is>
      </c>
      <c r="D98" s="7" t="n"/>
    </row>
    <row r="99">
      <c r="C99" t="inlineStr">
        <is>
          <t>mass per energy</t>
        </is>
      </c>
      <c r="D99" s="7" t="n"/>
    </row>
    <row r="100">
      <c r="C100" t="inlineStr">
        <is>
          <t>mass per length</t>
        </is>
      </c>
      <c r="D100" s="7" t="n"/>
    </row>
    <row r="101">
      <c r="C101" t="inlineStr">
        <is>
          <t>mass per mass</t>
        </is>
      </c>
      <c r="D101" s="7" t="n"/>
    </row>
    <row r="102">
      <c r="C102" t="inlineStr">
        <is>
          <t>mass per time</t>
        </is>
      </c>
      <c r="D102" s="7" t="n"/>
    </row>
    <row r="103">
      <c r="C103" t="inlineStr">
        <is>
          <t>mass per time per area</t>
        </is>
      </c>
      <c r="D103" s="7" t="n"/>
    </row>
    <row r="104">
      <c r="C104" t="inlineStr">
        <is>
          <t>mass per time per length</t>
        </is>
      </c>
      <c r="D104" s="7" t="n"/>
    </row>
    <row r="105">
      <c r="C105" t="inlineStr">
        <is>
          <t>mass per volume</t>
        </is>
      </c>
      <c r="D105" s="7" t="n"/>
    </row>
    <row r="106">
      <c r="C106" t="inlineStr">
        <is>
          <t>mass per volume per length</t>
        </is>
      </c>
      <c r="D106" s="7" t="n"/>
    </row>
    <row r="107">
      <c r="C107" t="inlineStr">
        <is>
          <t>mass per volume per pressure</t>
        </is>
      </c>
      <c r="D107" s="7" t="n"/>
    </row>
    <row r="108">
      <c r="C108" t="inlineStr">
        <is>
          <t>mass per volume per temperature</t>
        </is>
      </c>
      <c r="D108" s="7" t="n"/>
    </row>
    <row r="109">
      <c r="C109" t="inlineStr">
        <is>
          <t>mobility</t>
        </is>
      </c>
      <c r="D109" s="7" t="n"/>
    </row>
    <row r="110">
      <c r="C110" t="inlineStr">
        <is>
          <t>molar energy</t>
        </is>
      </c>
      <c r="D110" s="7" t="n"/>
    </row>
    <row r="111">
      <c r="C111" t="inlineStr">
        <is>
          <t>molar heat capacity</t>
        </is>
      </c>
      <c r="D111" s="7" t="n"/>
    </row>
    <row r="112">
      <c r="C112" t="inlineStr">
        <is>
          <t>molar volume</t>
        </is>
      </c>
      <c r="D112" s="7" t="n"/>
    </row>
    <row r="113">
      <c r="C113" t="inlineStr">
        <is>
          <t>molecular weight</t>
        </is>
      </c>
      <c r="D113" s="7" t="n"/>
    </row>
    <row r="114">
      <c r="C114" t="inlineStr">
        <is>
          <t>moment of force</t>
        </is>
      </c>
      <c r="D114" s="7" t="n"/>
    </row>
    <row r="115">
      <c r="C115" t="inlineStr">
        <is>
          <t>moment of inertia</t>
        </is>
      </c>
      <c r="D115" s="7" t="n"/>
    </row>
    <row r="116">
      <c r="C116" t="inlineStr">
        <is>
          <t>momentum</t>
        </is>
      </c>
      <c r="D116" s="7" t="n"/>
    </row>
    <row r="117">
      <c r="C117" t="inlineStr">
        <is>
          <t>normalized power</t>
        </is>
      </c>
      <c r="D117" s="7" t="n"/>
    </row>
    <row r="118">
      <c r="C118" t="inlineStr">
        <is>
          <t>permeability length</t>
        </is>
      </c>
      <c r="D118" s="7" t="n"/>
    </row>
    <row r="119">
      <c r="C119" t="inlineStr">
        <is>
          <t>permeability rock</t>
        </is>
      </c>
      <c r="D119" s="7" t="n"/>
    </row>
    <row r="120">
      <c r="C120" t="inlineStr">
        <is>
          <t>permittivity</t>
        </is>
      </c>
      <c r="D120" s="7" t="n"/>
    </row>
    <row r="121">
      <c r="C121" t="inlineStr">
        <is>
          <t>plane angle</t>
        </is>
      </c>
      <c r="D121" s="7" t="n"/>
    </row>
    <row r="122">
      <c r="C122" t="inlineStr">
        <is>
          <t>potential difference per power drop</t>
        </is>
      </c>
      <c r="D122" s="7" t="n"/>
    </row>
    <row r="123">
      <c r="C123" t="inlineStr">
        <is>
          <t>power</t>
        </is>
      </c>
      <c r="D123" s="7" t="n"/>
    </row>
    <row r="124">
      <c r="C124" t="inlineStr">
        <is>
          <t>power per area</t>
        </is>
      </c>
      <c r="D124" s="7" t="n"/>
    </row>
    <row r="125">
      <c r="C125" t="inlineStr">
        <is>
          <t>power per power</t>
        </is>
      </c>
      <c r="D125" s="7" t="n"/>
    </row>
    <row r="126">
      <c r="C126" t="inlineStr">
        <is>
          <t>power per volume</t>
        </is>
      </c>
      <c r="D126" s="7" t="n"/>
    </row>
    <row r="127">
      <c r="C127" t="inlineStr">
        <is>
          <t>pressure</t>
        </is>
      </c>
      <c r="D127" s="7" t="n"/>
    </row>
    <row r="128">
      <c r="C128" t="inlineStr">
        <is>
          <t>pressure per pressure</t>
        </is>
      </c>
      <c r="D128" s="7" t="n"/>
    </row>
    <row r="129">
      <c r="C129" t="inlineStr">
        <is>
          <t>pressure per time</t>
        </is>
      </c>
      <c r="D129" s="7" t="n"/>
    </row>
    <row r="130">
      <c r="C130" t="inlineStr">
        <is>
          <t>pressure per volume</t>
        </is>
      </c>
      <c r="D130" s="7" t="n"/>
    </row>
    <row r="131">
      <c r="C131" t="inlineStr">
        <is>
          <t>pressure squared</t>
        </is>
      </c>
      <c r="D131" s="7" t="n"/>
    </row>
    <row r="132">
      <c r="C132" t="inlineStr">
        <is>
          <t>pressure squared per force time per area</t>
        </is>
      </c>
      <c r="D132" s="7" t="n"/>
    </row>
    <row r="133">
      <c r="C133" t="inlineStr">
        <is>
          <t>pressure time per volume</t>
        </is>
      </c>
      <c r="D133" s="7" t="n"/>
    </row>
    <row r="134">
      <c r="C134" t="inlineStr">
        <is>
          <t>quantity of light</t>
        </is>
      </c>
      <c r="D134" s="7" t="n"/>
    </row>
    <row r="135">
      <c r="C135" t="inlineStr">
        <is>
          <t>radiance</t>
        </is>
      </c>
      <c r="D135" s="7" t="n"/>
    </row>
    <row r="136">
      <c r="C136" t="inlineStr">
        <is>
          <t>radiant intensity</t>
        </is>
      </c>
      <c r="D136" s="7" t="n"/>
    </row>
    <row r="137">
      <c r="C137" t="inlineStr">
        <is>
          <t>reciprocal area</t>
        </is>
      </c>
      <c r="D137" s="7" t="n"/>
    </row>
    <row r="138">
      <c r="C138" t="inlineStr">
        <is>
          <t>reciprocal electric potential difference</t>
        </is>
      </c>
      <c r="D138" s="7" t="n"/>
    </row>
    <row r="139">
      <c r="C139" t="inlineStr">
        <is>
          <t>reciprocal force</t>
        </is>
      </c>
      <c r="D139" s="7" t="n"/>
    </row>
    <row r="140">
      <c r="C140" t="inlineStr">
        <is>
          <t>reciprocal length</t>
        </is>
      </c>
      <c r="D140" s="7" t="n"/>
    </row>
    <row r="141">
      <c r="C141" t="inlineStr">
        <is>
          <t>reciprocal mass</t>
        </is>
      </c>
      <c r="D141" s="7" t="n"/>
    </row>
    <row r="142">
      <c r="C142" t="inlineStr">
        <is>
          <t>reciprocal mass time</t>
        </is>
      </c>
      <c r="D142" s="7" t="n"/>
    </row>
    <row r="143">
      <c r="C143" t="inlineStr">
        <is>
          <t>reciprocal pressure</t>
        </is>
      </c>
      <c r="D143" s="7" t="n"/>
    </row>
    <row r="144">
      <c r="C144" t="inlineStr">
        <is>
          <t>reciprocal time</t>
        </is>
      </c>
      <c r="D144" s="7" t="n"/>
    </row>
    <row r="145">
      <c r="C145" t="inlineStr">
        <is>
          <t>reciprocal time squared</t>
        </is>
      </c>
      <c r="D145" s="7" t="n"/>
    </row>
    <row r="146">
      <c r="C146" t="inlineStr">
        <is>
          <t>reciprocal volume</t>
        </is>
      </c>
      <c r="D146" s="7" t="n"/>
    </row>
    <row r="147">
      <c r="C147" t="inlineStr">
        <is>
          <t>reluctance</t>
        </is>
      </c>
      <c r="D147" s="7" t="n"/>
    </row>
    <row r="148">
      <c r="C148" t="inlineStr">
        <is>
          <t>second moment of area</t>
        </is>
      </c>
      <c r="D148" s="7" t="n"/>
    </row>
    <row r="149">
      <c r="C149" t="inlineStr">
        <is>
          <t>signaling event per time</t>
        </is>
      </c>
      <c r="D149" s="7" t="n"/>
    </row>
    <row r="150">
      <c r="C150" t="inlineStr">
        <is>
          <t>solid angle</t>
        </is>
      </c>
      <c r="D150" s="7" t="n"/>
    </row>
    <row r="151">
      <c r="C151" t="inlineStr">
        <is>
          <t>specific heat capacity</t>
        </is>
      </c>
      <c r="D151" s="7" t="n"/>
    </row>
    <row r="152">
      <c r="C152" t="inlineStr">
        <is>
          <t>temperature interval</t>
        </is>
      </c>
      <c r="D152" s="7" t="n"/>
    </row>
    <row r="153">
      <c r="C153" t="inlineStr">
        <is>
          <t>temperature interval per length</t>
        </is>
      </c>
      <c r="D153" s="7" t="n"/>
    </row>
    <row r="154">
      <c r="C154" t="inlineStr">
        <is>
          <t>temperature interval per pressure</t>
        </is>
      </c>
      <c r="D154" s="7" t="n"/>
    </row>
    <row r="155">
      <c r="C155" t="inlineStr">
        <is>
          <t>temperature interval per time</t>
        </is>
      </c>
      <c r="D155" s="7" t="n"/>
    </row>
    <row r="156">
      <c r="C156" t="inlineStr">
        <is>
          <t>thermal conductance</t>
        </is>
      </c>
      <c r="D156" s="7" t="n"/>
    </row>
    <row r="157">
      <c r="C157" t="inlineStr">
        <is>
          <t>thermal conductivity</t>
        </is>
      </c>
      <c r="D157" s="7" t="n"/>
    </row>
    <row r="158">
      <c r="C158" t="inlineStr">
        <is>
          <t>thermal diffusivity</t>
        </is>
      </c>
      <c r="D158" s="7" t="n"/>
    </row>
    <row r="159">
      <c r="C159" t="inlineStr">
        <is>
          <t>thermal insulance</t>
        </is>
      </c>
      <c r="D159" s="7" t="n"/>
    </row>
    <row r="160">
      <c r="C160" t="inlineStr">
        <is>
          <t>thermal resistance</t>
        </is>
      </c>
      <c r="D160" s="7" t="n"/>
    </row>
    <row r="161">
      <c r="C161" t="inlineStr">
        <is>
          <t>thermodynamic temperature</t>
        </is>
      </c>
      <c r="D161" s="7" t="n"/>
    </row>
    <row r="162">
      <c r="C162" t="inlineStr">
        <is>
          <t>thermodynamic temperature per thermodynamic temperature</t>
        </is>
      </c>
      <c r="D162" s="7" t="n"/>
    </row>
    <row r="163">
      <c r="C163" t="inlineStr">
        <is>
          <t>time</t>
        </is>
      </c>
      <c r="D163" s="7" t="n"/>
    </row>
    <row r="164">
      <c r="C164" t="inlineStr">
        <is>
          <t>time per length</t>
        </is>
      </c>
      <c r="D164" s="7" t="n"/>
    </row>
    <row r="165">
      <c r="C165" t="inlineStr">
        <is>
          <t>time per mass</t>
        </is>
      </c>
      <c r="D165" s="7" t="n"/>
    </row>
    <row r="166">
      <c r="C166" t="inlineStr">
        <is>
          <t>time per time</t>
        </is>
      </c>
      <c r="D166" s="7" t="n"/>
    </row>
    <row r="167">
      <c r="C167" t="inlineStr">
        <is>
          <t>time per volume</t>
        </is>
      </c>
      <c r="D167" s="7" t="n"/>
    </row>
    <row r="168">
      <c r="C168" t="inlineStr">
        <is>
          <t>unitless</t>
        </is>
      </c>
      <c r="D168" s="7" t="n"/>
    </row>
    <row r="169">
      <c r="C169" t="inlineStr">
        <is>
          <t>vertical coordinate</t>
        </is>
      </c>
      <c r="D169" s="7" t="n"/>
    </row>
    <row r="170">
      <c r="C170" t="inlineStr">
        <is>
          <t>volume</t>
        </is>
      </c>
      <c r="D170" s="7" t="n"/>
    </row>
    <row r="171">
      <c r="C171" t="inlineStr">
        <is>
          <t>volume flow rate per volume flow rate</t>
        </is>
      </c>
      <c r="D171" s="7" t="n"/>
    </row>
    <row r="172">
      <c r="C172" t="inlineStr">
        <is>
          <t>volume per area</t>
        </is>
      </c>
      <c r="D172" s="7" t="n"/>
    </row>
    <row r="173">
      <c r="C173" t="inlineStr">
        <is>
          <t>volume per length</t>
        </is>
      </c>
      <c r="D173" s="7" t="n"/>
    </row>
    <row r="174">
      <c r="C174" t="inlineStr">
        <is>
          <t>volume per mass</t>
        </is>
      </c>
      <c r="D174" s="7" t="n"/>
    </row>
    <row r="175">
      <c r="C175" t="inlineStr">
        <is>
          <t>volume per pressure</t>
        </is>
      </c>
      <c r="D175" s="7" t="n"/>
    </row>
    <row r="176">
      <c r="C176" t="inlineStr">
        <is>
          <t>volume per rotation</t>
        </is>
      </c>
      <c r="D176" s="7" t="n"/>
    </row>
    <row r="177">
      <c r="C177" t="inlineStr">
        <is>
          <t>volume per time</t>
        </is>
      </c>
      <c r="D177" s="7" t="n"/>
    </row>
    <row r="178">
      <c r="C178" t="inlineStr">
        <is>
          <t>volume per time length</t>
        </is>
      </c>
      <c r="D178" s="7" t="n"/>
    </row>
    <row r="179">
      <c r="C179" t="inlineStr">
        <is>
          <t>volume per time per area</t>
        </is>
      </c>
      <c r="D179" s="7" t="n"/>
    </row>
    <row r="180">
      <c r="C180" t="inlineStr">
        <is>
          <t>volume per time per length</t>
        </is>
      </c>
      <c r="D180" s="7" t="n"/>
    </row>
    <row r="181">
      <c r="C181" t="inlineStr">
        <is>
          <t>volume per time per pressure</t>
        </is>
      </c>
      <c r="D181" s="7" t="n"/>
    </row>
    <row r="182">
      <c r="C182" t="inlineStr">
        <is>
          <t>volume per time per pressure length</t>
        </is>
      </c>
      <c r="D182" s="7" t="n"/>
    </row>
    <row r="183">
      <c r="C183" t="inlineStr">
        <is>
          <t>volume per time per time</t>
        </is>
      </c>
      <c r="D183" s="7" t="n"/>
    </row>
    <row r="184">
      <c r="C184" t="inlineStr">
        <is>
          <t>volume per time per volume</t>
        </is>
      </c>
      <c r="D184" s="7" t="n"/>
    </row>
    <row r="185">
      <c r="C185" t="inlineStr">
        <is>
          <t>volume per volume</t>
        </is>
      </c>
      <c r="D185" s="7" t="n"/>
    </row>
    <row r="186">
      <c r="C186" t="inlineStr">
        <is>
          <t>volumetric heat transfer coefficient</t>
        </is>
      </c>
      <c r="D186" s="8" t="n"/>
    </row>
    <row r="187">
      <c r="C187" t="inlineStr">
        <is>
          <t>volumetric thermal expansion</t>
        </is>
      </c>
      <c r="D187" s="8"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Microsoft Office User</dc:creator>
  <dcterms:created xmlns:dcterms="http://purl.org/dc/terms/" xmlns:xsi="http://www.w3.org/2001/XMLSchema-instance" xsi:type="dcterms:W3CDTF">2018-10-28T20:07:54Z</dcterms:created>
  <dcterms:modified xmlns:dcterms="http://purl.org/dc/terms/" xmlns:xsi="http://www.w3.org/2001/XMLSchema-instance" xsi:type="dcterms:W3CDTF">2026-10-04T09:47:54Z</dcterms:modified>
  <cp:lastModifiedBy>Dan Ponti</cp:lastModifiedBy>
</cp:coreProperties>
</file>