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720" yWindow="3840" windowWidth="35840" windowHeight="20900" tabRatio="500" firstSheet="0" activeTab="1"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color theme="1"/>
      <sz val="12"/>
      <scheme val="minor"/>
    </font>
    <font>
      <name val="Aptos Narrow"/>
      <family val="2"/>
      <color rgb="FF000000"/>
      <sz val="12"/>
    </font>
    <font>
      <name val="Helvetica"/>
      <family val="2"/>
      <color theme="1"/>
      <sz val="12"/>
    </font>
    <font>
      <b val="1"/>
    </font>
  </fonts>
  <fills count="5">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12" fillId="0" borderId="0"/>
    <xf numFmtId="0" fontId="2" fillId="0" borderId="0"/>
    <xf numFmtId="0" fontId="3" fillId="0" borderId="0"/>
  </cellStyleXfs>
  <cellXfs count="27">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10" fillId="2" borderId="1" applyAlignment="1" pivotButton="0" quotePrefix="0" xfId="0">
      <alignment wrapText="1"/>
    </xf>
    <xf numFmtId="0" fontId="0" fillId="0" borderId="0" applyAlignment="1" pivotButton="0" quotePrefix="0" xfId="0">
      <alignment vertical="center"/>
    </xf>
    <xf numFmtId="0" fontId="0" fillId="3" borderId="2" applyAlignment="1" pivotButton="0" quotePrefix="0" xfId="0">
      <alignment horizontal="left" vertical="top" wrapText="1"/>
    </xf>
    <xf numFmtId="0" fontId="0" fillId="0" borderId="0" applyAlignment="1" pivotButton="0" quotePrefix="0" xfId="0">
      <alignment horizontal="left" vertical="center" wrapText="1"/>
    </xf>
    <xf numFmtId="0" fontId="4" fillId="3" borderId="3" applyAlignment="1" pivotButton="0" quotePrefix="0" xfId="0">
      <alignment horizontal="left" vertical="top" wrapText="1"/>
    </xf>
    <xf numFmtId="0" fontId="4" fillId="3" borderId="2" applyAlignment="1" pivotButton="0" quotePrefix="0" xfId="0">
      <alignment horizontal="left" vertical="top" wrapText="1"/>
    </xf>
    <xf numFmtId="0" fontId="4" fillId="0" borderId="0" applyAlignment="1" pivotButton="0" quotePrefix="0" xfId="0">
      <alignment vertical="center"/>
    </xf>
    <xf numFmtId="0" fontId="4" fillId="0" borderId="4" pivotButton="0" quotePrefix="0" xfId="0"/>
    <xf numFmtId="0" fontId="13" fillId="0" borderId="0" applyAlignment="1" pivotButton="0" quotePrefix="0" xfId="0">
      <alignment vertical="center"/>
    </xf>
    <xf numFmtId="0" fontId="12" fillId="0" borderId="0" applyAlignment="1" pivotButton="0" quotePrefix="0" xfId="0">
      <alignment vertical="center" wrapText="1"/>
    </xf>
    <xf numFmtId="0" fontId="13" fillId="4" borderId="0" applyAlignment="1" pivotButton="0" quotePrefix="0" xfId="0">
      <alignment vertical="center"/>
    </xf>
    <xf numFmtId="0" fontId="0" fillId="0" borderId="5" pivotButton="0" quotePrefix="0" xfId="0"/>
    <xf numFmtId="0" fontId="14" fillId="0" borderId="0" pivotButton="0" quotePrefix="0" xfId="0"/>
    <xf numFmtId="0" fontId="15" fillId="0" borderId="0" pivotButton="0" quotePrefix="0" xfId="0"/>
  </cellXfs>
  <cellStyles count="3">
    <cellStyle name="Normal" xfId="0" builtinId="0"/>
    <cellStyle name="Hyperlink" xfId="1" builtinId="8" hidden="1"/>
    <cellStyle name="Followed Hyperlink" xfId="2" builtinId="9" hidden="1"/>
  </cellStyles>
  <dxfs count="22">
    <dxf>
      <font>
        <name val="Calibri"/>
        <family val="2"/>
        <strike val="0"/>
        <outline val="0"/>
        <shadow val="0"/>
        <condense val="0"/>
        <color auto="1"/>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alignment horizontal="general" vertical="center" wrapText="1"/>
    </dxf>
    <dxf>
      <font>
        <color auto="1"/>
      </font>
      <alignment horizontal="left" vertical="center"/>
    </dxf>
    <dxf>
      <alignment horizontal="general" vertical="center" wrapText="1"/>
    </dxf>
    <dxf>
      <font>
        <color auto="1"/>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3" headerRowCount="1" totalsRowShown="0" headerRowDxfId="11" dataDxfId="10">
  <autoFilter ref="A1:E3"/>
  <tableColumns count="5">
    <tableColumn id="1" name="Start" dataDxfId="9"/>
    <tableColumn id="4" name="Dictionary ID" dataDxfId="8"/>
    <tableColumn id="5" name="DictionaryFile" dataDxfId="7"/>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21" dataDxfId="20">
  <autoFilter ref="A1:H37"/>
  <tableColumns count="8">
    <tableColumn id="1" name="Start" dataDxfId="19">
      <calculatedColumnFormula>IF(ISNA(VLOOKUP(B2,AssociatedElements!B$2:B423,1,FALSE)),"Not used","")</calculatedColumnFormula>
    </tableColumn>
    <tableColumn id="10" name="ID" dataDxfId="18"/>
    <tableColumn id="7" name="Name" dataDxfId="17"/>
    <tableColumn id="3" name="Description" dataDxfId="16"/>
    <tableColumn id="4" name="DataType" dataDxfId="15"/>
    <tableColumn id="5" name="QuantityClass" dataDxfId="14"/>
    <tableColumn id="6" name="Authority" dataDxfId="13"/>
    <tableColumn id="9" name="Reference" dataDxfId="12"/>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E58" headerRowCount="1" totalsRowShown="0" headerRowDxfId="4">
  <autoFilter ref="A1:E58"/>
  <sortState ref="A2:E45">
    <sortCondition ref="B1:B45"/>
  </sortState>
  <tableColumns count="5">
    <tableColumn id="1" name="Start" dataDxfId="3">
      <calculatedColumnFormula>IF(ISNA(VLOOKUP(B2,Definitions!B$2:B$1843,1,FALSE)),"Not listed","")</calculatedColumnFormula>
    </tableColumn>
    <tableColumn id="4" name="ID" dataDxfId="2"/>
    <tableColumn id="2" name="SourceElement" dataDxfId="1"/>
    <tableColumn id="3" name="ConditionalElement" dataDxfId="0"/>
    <tableColumn id="5" name="Column1"/>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7">
    <sortCondition ref="C1:C187"/>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style="10" min="1" max="1"/>
    <col width="41.33203125" customWidth="1" style="10" min="2" max="2"/>
    <col width="26.33203125" customWidth="1" style="10" min="3" max="3"/>
    <col width="21.6640625" customWidth="1" style="10" min="4" max="4"/>
    <col width="76" customWidth="1" style="10" min="5" max="5"/>
    <col width="11" customWidth="1" style="10" min="6" max="6"/>
    <col width="11" customWidth="1" style="10" min="7" max="16384"/>
  </cols>
  <sheetData>
    <row r="1" ht="18" customFormat="1" customHeight="1" s="12" thickBot="1">
      <c r="A1" s="12" t="inlineStr">
        <is>
          <t>Start</t>
        </is>
      </c>
      <c r="B1" s="12" t="inlineStr">
        <is>
          <t>Dictionary ID</t>
        </is>
      </c>
      <c r="C1" s="13" t="inlineStr">
        <is>
          <t>DictionaryFile</t>
        </is>
      </c>
      <c r="D1" s="12" t="inlineStr">
        <is>
          <t>DictionaryName</t>
        </is>
      </c>
      <c r="E1" s="12" t="inlineStr">
        <is>
          <t>Description</t>
        </is>
      </c>
    </row>
    <row r="2" ht="18" customFormat="1" customHeight="1" s="12" thickTop="1">
      <c r="A2" s="1" t="n"/>
      <c r="B2" s="1" t="n"/>
      <c r="C2" s="1" t="n"/>
      <c r="D2" s="1" t="n"/>
      <c r="E2" s="1" t="inlineStr">
        <is>
          <t>Leave this line blank</t>
        </is>
      </c>
    </row>
    <row r="3" ht="51" customFormat="1" customHeight="1" s="2">
      <c r="B3" s="2" t="inlineStr">
        <is>
          <t>propertyClass</t>
        </is>
      </c>
      <c r="C3" s="2" t="inlineStr">
        <is>
          <t>gr_inj_properties</t>
        </is>
      </c>
      <c r="D3" s="2" t="inlineStr">
        <is>
          <t>DIGGS Grout Injection Properties</t>
        </is>
      </c>
      <c r="E3" s="2" t="inlineStr">
        <is>
          <t>Dictionary defining the values for recorded grout injection properties for both staged and continuous grouting activities. These values are used in the propertyClass property of the "GroutinjectionProperty" and "ContinuousGroutInjectionProperty" objects.</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40"/>
  <sheetViews>
    <sheetView tabSelected="1" zoomScale="120" zoomScaleNormal="120" workbookViewId="0">
      <selection activeCell="E28" sqref="E28"/>
    </sheetView>
  </sheetViews>
  <sheetFormatPr baseColWidth="10" defaultColWidth="10.83203125" defaultRowHeight="16"/>
  <cols>
    <col width="16.1640625"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9"/>
    <col width="10.83203125" customWidth="1" style="2" min="10"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ht="17" customHeight="1">
      <c r="A2" s="2">
        <f>IF(ISNA(VLOOKUP(B2,AssociatedElements!B$2:B423,1,FALSE)),"Not used","")</f>
        <v/>
      </c>
      <c r="B2" s="16" t="inlineStr">
        <is>
          <t>apparent_lugeon_value</t>
        </is>
      </c>
      <c r="C2" s="15" t="inlineStr">
        <is>
          <t>apparent lugeon value</t>
        </is>
      </c>
      <c r="D2" s="15" t="inlineStr">
        <is>
          <t>Measure of permeability via in-site pressure testing</t>
        </is>
      </c>
      <c r="E2" s="14" t="inlineStr">
        <is>
          <t>double</t>
        </is>
      </c>
      <c r="F2" s="2" t="inlineStr">
        <is>
          <t>dimensionless</t>
        </is>
      </c>
      <c r="G2" s="11" t="n"/>
    </row>
    <row r="3" ht="17" customHeight="1">
      <c r="A3" s="2">
        <f>IF(ISNA(VLOOKUP(B3,AssociatedElements!B$2:B424,1,FALSE)),"Not used","")</f>
        <v/>
      </c>
      <c r="B3" s="16" t="inlineStr">
        <is>
          <t>column_pressure</t>
        </is>
      </c>
      <c r="C3" s="17" t="inlineStr">
        <is>
          <t>column pressure</t>
        </is>
      </c>
      <c r="D3" s="17" t="inlineStr">
        <is>
          <t>Calculated hydrostatic pressure on borehole wall</t>
        </is>
      </c>
      <c r="E3" s="19" t="inlineStr">
        <is>
          <t>double</t>
        </is>
      </c>
      <c r="F3" s="2" t="inlineStr">
        <is>
          <t>pressure</t>
        </is>
      </c>
      <c r="G3" s="11" t="n"/>
    </row>
    <row r="4" ht="17" customHeight="1">
      <c r="A4" s="2">
        <f>IF(ISNA(VLOOKUP(B4,AssociatedElements!B$2:B425,1,FALSE)),"Not used","")</f>
        <v/>
      </c>
      <c r="B4" s="16" t="inlineStr">
        <is>
          <t>crowd_pressure</t>
        </is>
      </c>
      <c r="C4" s="17" t="inlineStr">
        <is>
          <t>crowd pressure</t>
        </is>
      </c>
      <c r="D4" s="17" t="inlineStr">
        <is>
          <t>Downward hydraulic pressure of the drill (not at the bit)</t>
        </is>
      </c>
      <c r="E4" s="19" t="inlineStr">
        <is>
          <t>double</t>
        </is>
      </c>
      <c r="F4" s="2" t="inlineStr">
        <is>
          <t>pressure</t>
        </is>
      </c>
      <c r="G4" s="11" t="n"/>
    </row>
    <row r="5" ht="17" customHeight="1">
      <c r="A5" s="2">
        <f>IF(ISNA(VLOOKUP(B5,AssociatedElements!B$2:B426,1,FALSE)),"Not used","")</f>
        <v/>
      </c>
      <c r="B5" s="16" t="inlineStr">
        <is>
          <t>depth</t>
        </is>
      </c>
      <c r="C5" s="17" t="inlineStr">
        <is>
          <t>depth</t>
        </is>
      </c>
      <c r="D5" s="17" t="inlineStr">
        <is>
          <t>Depth of the monitor at a specific time instance</t>
        </is>
      </c>
      <c r="E5" s="19" t="inlineStr">
        <is>
          <t>double</t>
        </is>
      </c>
      <c r="F5" s="2" t="inlineStr">
        <is>
          <t>length</t>
        </is>
      </c>
      <c r="G5" s="11" t="n"/>
    </row>
    <row r="6" ht="17" customHeight="1">
      <c r="A6" s="2">
        <f>IF(ISNA(VLOOKUP(B6,AssociatedElements!B$2:B427,1,FALSE)),"Not used","")</f>
        <v/>
      </c>
      <c r="B6" s="16" t="inlineStr">
        <is>
          <t>drilling_index</t>
        </is>
      </c>
      <c r="C6" s="17" t="inlineStr">
        <is>
          <t>drilling index</t>
        </is>
      </c>
      <c r="D6" s="17" t="inlineStr">
        <is>
          <t>Measure of bit performance calculated using a number of dimensionless parameters</t>
        </is>
      </c>
      <c r="E6" s="19" t="inlineStr">
        <is>
          <t>double</t>
        </is>
      </c>
      <c r="F6" s="2" t="inlineStr">
        <is>
          <t>dimensionless</t>
        </is>
      </c>
      <c r="G6" s="11" t="n"/>
    </row>
    <row r="7" ht="17" customHeight="1">
      <c r="A7" s="2">
        <f>IF(ISNA(VLOOKUP(B7,AssociatedElements!B$2:B428,1,FALSE)),"Not used","")</f>
        <v/>
      </c>
      <c r="B7" s="16" t="inlineStr">
        <is>
          <t>drilling_speed</t>
        </is>
      </c>
      <c r="C7" s="17" t="inlineStr">
        <is>
          <t>drilling speed</t>
        </is>
      </c>
      <c r="D7" s="17" t="inlineStr">
        <is>
          <t>Advance rate of the monitor while drilling downward</t>
        </is>
      </c>
      <c r="E7" s="19" t="inlineStr">
        <is>
          <t>double</t>
        </is>
      </c>
      <c r="F7" s="2" t="inlineStr">
        <is>
          <t>length per time</t>
        </is>
      </c>
      <c r="G7" s="11" t="n"/>
    </row>
    <row r="8" ht="17" customHeight="1">
      <c r="A8" s="2">
        <f>IF(ISNA(VLOOKUP(B8,AssociatedElements!B$2:B429,1,FALSE)),"Not used","")</f>
        <v/>
      </c>
      <c r="B8" s="16" t="inlineStr">
        <is>
          <t>effective_pressure</t>
        </is>
      </c>
      <c r="C8" s="17" t="inlineStr">
        <is>
          <t>effective pressure</t>
        </is>
      </c>
      <c r="D8" s="17" t="inlineStr">
        <is>
          <t>Pressure felt at injection point (pressure at pump - line loss)</t>
        </is>
      </c>
      <c r="E8" s="19" t="inlineStr">
        <is>
          <t>double</t>
        </is>
      </c>
      <c r="F8" s="2" t="inlineStr">
        <is>
          <t>pressure</t>
        </is>
      </c>
      <c r="G8" s="11" t="n"/>
    </row>
    <row r="9" ht="17" customHeight="1">
      <c r="A9" s="2">
        <f>IF(ISNA(VLOOKUP(B9,AssociatedElements!B$2:B430,1,FALSE)),"Not used","")</f>
        <v/>
      </c>
      <c r="B9" s="16" t="inlineStr">
        <is>
          <t>elapsed_time</t>
        </is>
      </c>
      <c r="C9" s="17" t="inlineStr">
        <is>
          <t>elapsed time</t>
        </is>
      </c>
      <c r="D9" s="17" t="inlineStr">
        <is>
          <t>Amount of time since start of an injection period</t>
        </is>
      </c>
      <c r="E9" s="19" t="inlineStr">
        <is>
          <t>double</t>
        </is>
      </c>
      <c r="F9" s="2" t="inlineStr">
        <is>
          <t>time</t>
        </is>
      </c>
      <c r="G9" s="11" t="n"/>
    </row>
    <row r="10" ht="17" customHeight="1">
      <c r="A10" s="2">
        <f>IF(ISNA(VLOOKUP(B10,AssociatedElements!B$2:B431,1,FALSE)),"Not used","")</f>
        <v/>
      </c>
      <c r="B10" s="16" t="inlineStr">
        <is>
          <t>fluid_1_flow</t>
        </is>
      </c>
      <c r="C10" s="17" t="inlineStr">
        <is>
          <t>fluid 1 flow</t>
        </is>
      </c>
      <c r="D10" s="17" t="inlineStr">
        <is>
          <t>Rate of flow of the fluid 1 component (either water or air) as defined in the instance</t>
        </is>
      </c>
      <c r="E10" s="19" t="inlineStr">
        <is>
          <t>double</t>
        </is>
      </c>
      <c r="F10" s="2" t="inlineStr">
        <is>
          <t>volume per time</t>
        </is>
      </c>
      <c r="G10" s="11" t="n"/>
    </row>
    <row r="11" ht="17" customHeight="1">
      <c r="A11" s="2">
        <f>IF(ISNA(VLOOKUP(B11,AssociatedElements!B$2:B432,1,FALSE)),"Not used","")</f>
        <v/>
      </c>
      <c r="B11" s="16" t="inlineStr">
        <is>
          <t>fluid_1_pressure</t>
        </is>
      </c>
      <c r="C11" s="17" t="inlineStr">
        <is>
          <t>fluid 1 pressure</t>
        </is>
      </c>
      <c r="D11" s="17" t="inlineStr">
        <is>
          <t>Pressure reading of fluid 1 during injection</t>
        </is>
      </c>
      <c r="E11" s="19" t="inlineStr">
        <is>
          <t>double</t>
        </is>
      </c>
      <c r="F11" s="2" t="inlineStr">
        <is>
          <t>pressure</t>
        </is>
      </c>
      <c r="G11" s="11" t="n"/>
    </row>
    <row r="12" ht="17" customHeight="1">
      <c r="A12" s="2">
        <f>IF(ISNA(VLOOKUP(B12,AssociatedElements!B$2:B433,1,FALSE)),"Not used","")</f>
        <v/>
      </c>
      <c r="B12" s="16" t="inlineStr">
        <is>
          <t>fluid_1_temperature</t>
        </is>
      </c>
      <c r="C12" s="17" t="inlineStr">
        <is>
          <t>fluid 1 temperature</t>
        </is>
      </c>
      <c r="D12" s="17" t="inlineStr">
        <is>
          <t>Temperature of fluid 1</t>
        </is>
      </c>
      <c r="E12" s="19" t="inlineStr">
        <is>
          <t>double</t>
        </is>
      </c>
      <c r="F12" s="2" t="inlineStr">
        <is>
          <t>thermodynamic temperature</t>
        </is>
      </c>
      <c r="G12" s="11" t="n"/>
    </row>
    <row r="13" ht="17" customHeight="1">
      <c r="A13" s="2">
        <f>IF(ISNA(VLOOKUP(B13,AssociatedElements!B$2:B434,1,FALSE)),"Not used","")</f>
        <v/>
      </c>
      <c r="B13" s="16" t="inlineStr">
        <is>
          <t>fluid_2_flow</t>
        </is>
      </c>
      <c r="C13" s="17" t="inlineStr">
        <is>
          <t>fluid 2 flow</t>
        </is>
      </c>
      <c r="D13" s="17" t="inlineStr">
        <is>
          <t>Rate of flow of the fluid 2 component (either water or air) as defined in the instance</t>
        </is>
      </c>
      <c r="E13" s="19" t="inlineStr">
        <is>
          <t>double</t>
        </is>
      </c>
      <c r="F13" s="2" t="inlineStr">
        <is>
          <t>volume per time</t>
        </is>
      </c>
      <c r="G13" s="11" t="n"/>
    </row>
    <row r="14" ht="17" customHeight="1">
      <c r="A14" s="2">
        <f>IF(ISNA(VLOOKUP(B14,AssociatedElements!B$2:B435,1,FALSE)),"Not used","")</f>
        <v/>
      </c>
      <c r="B14" s="16" t="inlineStr">
        <is>
          <t>fluid_2_pressure</t>
        </is>
      </c>
      <c r="C14" s="17" t="inlineStr">
        <is>
          <t>fluid 2 pressure</t>
        </is>
      </c>
      <c r="D14" s="17" t="inlineStr">
        <is>
          <t>Pressure reading of fluid 2 during injection</t>
        </is>
      </c>
      <c r="E14" s="19" t="inlineStr">
        <is>
          <t>double</t>
        </is>
      </c>
      <c r="F14" s="2" t="inlineStr">
        <is>
          <t>pressure</t>
        </is>
      </c>
      <c r="G14" s="11" t="n"/>
    </row>
    <row r="15" ht="17" customHeight="1">
      <c r="A15" s="2">
        <f>IF(ISNA(VLOOKUP(B15,AssociatedElements!B$2:B436,1,FALSE)),"Not used","")</f>
        <v/>
      </c>
      <c r="B15" s="16" t="inlineStr">
        <is>
          <t>fluid_2_temperature</t>
        </is>
      </c>
      <c r="C15" s="17" t="inlineStr">
        <is>
          <t>fluid 2 temperature</t>
        </is>
      </c>
      <c r="D15" s="17" t="inlineStr">
        <is>
          <t>Temperature of fluid 2</t>
        </is>
      </c>
      <c r="E15" s="19" t="inlineStr">
        <is>
          <t>double</t>
        </is>
      </c>
      <c r="F15" s="2" t="inlineStr">
        <is>
          <t>thermodynamic temperature</t>
        </is>
      </c>
      <c r="G15" s="11" t="n"/>
    </row>
    <row r="16" ht="17" customHeight="1">
      <c r="A16" s="2">
        <f>IF(ISNA(VLOOKUP(B16,AssociatedElements!B$2:B437,1,FALSE)),"Not used","")</f>
        <v/>
      </c>
      <c r="B16" s="16" t="inlineStr">
        <is>
          <t>gauge_pressure</t>
        </is>
      </c>
      <c r="C16" s="17" t="inlineStr">
        <is>
          <t>gauge pressure</t>
        </is>
      </c>
      <c r="D16" s="17" t="inlineStr">
        <is>
          <t>Pressure measured at the gauge</t>
        </is>
      </c>
      <c r="E16" s="19" t="inlineStr">
        <is>
          <t>double</t>
        </is>
      </c>
      <c r="F16" s="2" t="inlineStr">
        <is>
          <t>pressure</t>
        </is>
      </c>
      <c r="G16" s="11" t="n"/>
    </row>
    <row r="17" ht="17" customHeight="1">
      <c r="A17" s="2">
        <f>IF(ISNA(VLOOKUP(B17,AssociatedElements!B$2:B438,1,FALSE)),"Not used","")</f>
        <v/>
      </c>
      <c r="B17" s="16" t="inlineStr">
        <is>
          <t>grout_flow</t>
        </is>
      </c>
      <c r="C17" s="17" t="inlineStr">
        <is>
          <t>grout flow</t>
        </is>
      </c>
      <c r="D17" s="17" t="inlineStr">
        <is>
          <t>Rate of flow of the grout component during injection</t>
        </is>
      </c>
      <c r="E17" s="19" t="inlineStr">
        <is>
          <t>double</t>
        </is>
      </c>
      <c r="F17" s="2" t="inlineStr">
        <is>
          <t>volume per time</t>
        </is>
      </c>
      <c r="G17" s="11" t="n"/>
    </row>
    <row r="18" ht="17" customHeight="1">
      <c r="A18" s="2">
        <f>IF(ISNA(VLOOKUP(B18,AssociatedElements!B$2:B439,1,FALSE)),"Not used","")</f>
        <v/>
      </c>
      <c r="B18" s="16" t="inlineStr">
        <is>
          <t>grout_pressure</t>
        </is>
      </c>
      <c r="C18" s="17" t="inlineStr">
        <is>
          <t>grout pressure</t>
        </is>
      </c>
      <c r="D18" s="17" t="inlineStr">
        <is>
          <t>Pressure reading of the grout</t>
        </is>
      </c>
      <c r="E18" s="19" t="inlineStr">
        <is>
          <t>double</t>
        </is>
      </c>
      <c r="F18" s="2" t="inlineStr">
        <is>
          <t>pressure</t>
        </is>
      </c>
      <c r="G18" s="11" t="n"/>
    </row>
    <row r="19" ht="17" customHeight="1">
      <c r="A19" s="2">
        <f>IF(ISNA(VLOOKUP(B19,AssociatedElements!B$2:B440,1,FALSE)),"Not used","")</f>
        <v/>
      </c>
      <c r="B19" s="16" t="inlineStr">
        <is>
          <t>grout_specific_gravity</t>
        </is>
      </c>
      <c r="C19" s="17" t="inlineStr">
        <is>
          <t>grout specific gravity</t>
        </is>
      </c>
      <c r="D19" s="17" t="inlineStr">
        <is>
          <t>Specific gravity of the grout component</t>
        </is>
      </c>
      <c r="E19" s="19" t="inlineStr">
        <is>
          <t>double</t>
        </is>
      </c>
      <c r="F19" s="2" t="inlineStr">
        <is>
          <t>dimensionless</t>
        </is>
      </c>
      <c r="G19" s="11" t="n"/>
    </row>
    <row r="20" ht="17" customHeight="1">
      <c r="A20" s="2">
        <f>IF(ISNA(VLOOKUP(B20,AssociatedElements!B$2:B441,1,FALSE)),"Not used","")</f>
        <v/>
      </c>
      <c r="B20" s="16" t="inlineStr">
        <is>
          <t>grout_temperature</t>
        </is>
      </c>
      <c r="C20" s="17" t="inlineStr">
        <is>
          <t>grout temperature</t>
        </is>
      </c>
      <c r="D20" s="17" t="inlineStr">
        <is>
          <t>Temperature of the grout component</t>
        </is>
      </c>
      <c r="E20" s="19" t="inlineStr">
        <is>
          <t>double</t>
        </is>
      </c>
      <c r="F20" s="2" t="inlineStr">
        <is>
          <t>thermodynamic temperature</t>
        </is>
      </c>
      <c r="G20" s="11" t="n"/>
    </row>
    <row r="21" ht="17" customHeight="1">
      <c r="A21" s="2">
        <f>IF(ISNA(VLOOKUP(B21,AssociatedElements!B$2:B442,1,FALSE)),"Not used","")</f>
        <v/>
      </c>
      <c r="B21" s="16" t="inlineStr">
        <is>
          <t>grout_volume</t>
        </is>
      </c>
      <c r="C21" s="17" t="inlineStr">
        <is>
          <t>grout volume</t>
        </is>
      </c>
      <c r="D21" s="17" t="inlineStr">
        <is>
          <t>Volume of grout injected during the present time interval</t>
        </is>
      </c>
      <c r="E21" s="19" t="inlineStr">
        <is>
          <t>double</t>
        </is>
      </c>
      <c r="F21" s="2" t="inlineStr">
        <is>
          <t>volume</t>
        </is>
      </c>
      <c r="G21" s="11" t="n"/>
    </row>
    <row r="22" ht="17" customHeight="1">
      <c r="A22" s="2">
        <f>IF(ISNA(VLOOKUP(B22,AssociatedElements!B$2:B443,1,FALSE)),"Not used","")</f>
        <v/>
      </c>
      <c r="B22" s="16" t="inlineStr">
        <is>
          <t>header_pressure</t>
        </is>
      </c>
      <c r="C22" s="17" t="inlineStr">
        <is>
          <t>header pressure</t>
        </is>
      </c>
      <c r="D22" s="17" t="inlineStr">
        <is>
          <t>Pressure measured at the header</t>
        </is>
      </c>
      <c r="E22" s="19" t="inlineStr">
        <is>
          <t>double</t>
        </is>
      </c>
      <c r="F22" s="2" t="inlineStr">
        <is>
          <t>pressure</t>
        </is>
      </c>
      <c r="G22" s="11" t="n"/>
    </row>
    <row r="23" ht="17" customHeight="1">
      <c r="A23" s="2">
        <f>IF(ISNA(VLOOKUP(B23,AssociatedElements!B$2:B444,1,FALSE)),"Not used","")</f>
        <v/>
      </c>
      <c r="B23" s="16" t="inlineStr">
        <is>
          <t>injection_pressure</t>
        </is>
      </c>
      <c r="C23" s="17" t="inlineStr">
        <is>
          <t>injection pressure</t>
        </is>
      </c>
      <c r="D23" s="17" t="inlineStr">
        <is>
          <t>Pressure of the grout being injected (often used for grout stage injections)</t>
        </is>
      </c>
      <c r="E23" s="19" t="inlineStr">
        <is>
          <t>double</t>
        </is>
      </c>
      <c r="F23" s="2" t="inlineStr">
        <is>
          <t>pressure</t>
        </is>
      </c>
      <c r="G23" s="11" t="n"/>
    </row>
    <row r="24" ht="17" customHeight="1">
      <c r="A24" s="2">
        <f>IF(ISNA(VLOOKUP(B24,AssociatedElements!B$2:B445,1,FALSE)),"Not used","")</f>
        <v/>
      </c>
      <c r="B24" s="16" t="inlineStr">
        <is>
          <t>line_loss</t>
        </is>
      </c>
      <c r="C24" s="17" t="inlineStr">
        <is>
          <t>line loss</t>
        </is>
      </c>
      <c r="D24" s="17" t="inlineStr">
        <is>
          <t>Pressure lost through the line</t>
        </is>
      </c>
      <c r="E24" s="19" t="inlineStr">
        <is>
          <t>double</t>
        </is>
      </c>
      <c r="F24" s="2" t="inlineStr">
        <is>
          <t>pressure</t>
        </is>
      </c>
      <c r="G24" s="11" t="n"/>
    </row>
    <row r="25" ht="17" customHeight="1">
      <c r="A25" s="2">
        <f>IF(ISNA(VLOOKUP(B25,AssociatedElements!B$2:B446,1,FALSE)),"Not used","")</f>
        <v/>
      </c>
      <c r="B25" s="16" t="inlineStr">
        <is>
          <t>micro_motion_flow</t>
        </is>
      </c>
      <c r="C25" s="17" t="inlineStr">
        <is>
          <t>micro motion flow</t>
        </is>
      </c>
      <c r="D25" s="17" t="inlineStr">
        <is>
          <t>Flow rate of grout measured by Micro Motion branded sensor</t>
        </is>
      </c>
      <c r="E25" s="19" t="inlineStr">
        <is>
          <t>double</t>
        </is>
      </c>
      <c r="F25" s="2" t="inlineStr">
        <is>
          <t>volume per time</t>
        </is>
      </c>
      <c r="G25" s="11" t="n"/>
    </row>
    <row r="26" ht="17" customHeight="1">
      <c r="A26" s="2">
        <f>IF(ISNA(VLOOKUP(B26,AssociatedElements!B$2:B447,1,FALSE)),"Not used","")</f>
        <v/>
      </c>
      <c r="B26" s="16" t="inlineStr">
        <is>
          <t>micro_motion_volume</t>
        </is>
      </c>
      <c r="C26" s="17" t="inlineStr">
        <is>
          <t>micro motion volume</t>
        </is>
      </c>
      <c r="D26" s="17" t="inlineStr">
        <is>
          <t>Volume of grout measured by Micro Motion branded sensor</t>
        </is>
      </c>
      <c r="E26" s="19" t="inlineStr">
        <is>
          <t>double</t>
        </is>
      </c>
      <c r="F26" s="2" t="inlineStr">
        <is>
          <t>volume</t>
        </is>
      </c>
      <c r="G26" s="11" t="n"/>
    </row>
    <row r="27" ht="17" customHeight="1">
      <c r="A27" s="2">
        <f>IF(ISNA(VLOOKUP(B27,AssociatedElements!B$2:B448,1,FALSE)),"Not used","")</f>
        <v/>
      </c>
      <c r="B27" s="16" t="inlineStr">
        <is>
          <t>mix</t>
        </is>
      </c>
      <c r="C27" s="17" t="inlineStr">
        <is>
          <t>grout mix ID</t>
        </is>
      </c>
      <c r="D27" s="17" t="inlineStr">
        <is>
          <t>Identifer for the grout mix used</t>
        </is>
      </c>
      <c r="E27" s="19" t="inlineStr">
        <is>
          <t>string</t>
        </is>
      </c>
      <c r="G27" s="11" t="n"/>
    </row>
    <row r="28" ht="17" customHeight="1">
      <c r="A28" s="2">
        <f>IF(ISNA(VLOOKUP(B28,AssociatedElements!B$2:B449,1,FALSE)),"Not used","")</f>
        <v/>
      </c>
      <c r="B28" s="16" t="inlineStr">
        <is>
          <t>packer_pressure</t>
        </is>
      </c>
      <c r="C28" s="17" t="inlineStr">
        <is>
          <t>packer pressure</t>
        </is>
      </c>
      <c r="D28" s="17" t="inlineStr">
        <is>
          <t>Pressure within the packer</t>
        </is>
      </c>
      <c r="E28" s="19" t="inlineStr">
        <is>
          <t>double</t>
        </is>
      </c>
      <c r="F28" s="2" t="inlineStr">
        <is>
          <t>pressure</t>
        </is>
      </c>
      <c r="G28" s="11" t="n"/>
    </row>
    <row r="29" ht="17" customHeight="1">
      <c r="A29" s="2">
        <f>IF(ISNA(VLOOKUP(B29,AssociatedElements!B$2:B450,1,FALSE)),"Not used","")</f>
        <v/>
      </c>
      <c r="B29" s="16" t="inlineStr">
        <is>
          <t>pull_speed</t>
        </is>
      </c>
      <c r="C29" s="17" t="inlineStr">
        <is>
          <t>pull speed</t>
        </is>
      </c>
      <c r="D29" s="17" t="inlineStr">
        <is>
          <t>Lift rate of the monitor while grouting</t>
        </is>
      </c>
      <c r="E29" s="19" t="inlineStr">
        <is>
          <t>double</t>
        </is>
      </c>
      <c r="F29" s="2" t="inlineStr">
        <is>
          <t>length per time</t>
        </is>
      </c>
      <c r="G29" s="11" t="n"/>
    </row>
    <row r="30" ht="17" customHeight="1">
      <c r="A30" s="2">
        <f>IF(ISNA(VLOOKUP(B30,AssociatedElements!B$2:B451,1,FALSE)),"Not used","")</f>
        <v/>
      </c>
      <c r="B30" s="16" t="inlineStr">
        <is>
          <t>rotary_pressure</t>
        </is>
      </c>
      <c r="C30" s="17" t="inlineStr">
        <is>
          <t>rotary pressure</t>
        </is>
      </c>
      <c r="D30" s="17" t="inlineStr">
        <is>
          <t>Hydraulic system pressure to spin the drill steel</t>
        </is>
      </c>
      <c r="E30" s="19" t="inlineStr">
        <is>
          <t>double</t>
        </is>
      </c>
      <c r="F30" s="2" t="inlineStr">
        <is>
          <t>pressure</t>
        </is>
      </c>
      <c r="G30" s="11" t="n"/>
    </row>
    <row r="31" ht="17" customHeight="1">
      <c r="A31" s="2">
        <f>IF(ISNA(VLOOKUP(B31,AssociatedElements!B$2:B452,1,FALSE)),"Not used","")</f>
        <v/>
      </c>
      <c r="B31" s="16" t="inlineStr">
        <is>
          <t>rotation_speed</t>
        </is>
      </c>
      <c r="C31" s="17" t="inlineStr">
        <is>
          <t>rotation speed</t>
        </is>
      </c>
      <c r="D31" s="17" t="inlineStr">
        <is>
          <t>Rotational velocity of the monitor</t>
        </is>
      </c>
      <c r="E31" s="19" t="inlineStr">
        <is>
          <t>double</t>
        </is>
      </c>
      <c r="F31" s="2" t="inlineStr">
        <is>
          <t>angular velocity</t>
        </is>
      </c>
      <c r="G31" s="11" t="n"/>
    </row>
    <row r="32" ht="119" customHeight="1">
      <c r="A32" s="2">
        <f>IF(ISNA(VLOOKUP(B32,AssociatedElements!B$2:B453,1,FALSE)),"Not used","")</f>
        <v/>
      </c>
      <c r="B32" s="16" t="inlineStr">
        <is>
          <t>specific_energy</t>
        </is>
      </c>
      <c r="C32" s="17" t="inlineStr">
        <is>
          <t>specific energy</t>
        </is>
      </c>
      <c r="D32" s="17" t="inlineStr">
        <is>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is>
      </c>
      <c r="E32" s="19" t="inlineStr">
        <is>
          <t>double</t>
        </is>
      </c>
      <c r="F32" s="2" t="inlineStr">
        <is>
          <t>energy per length</t>
        </is>
      </c>
      <c r="G32" s="11" t="n"/>
    </row>
    <row r="33" ht="17" customHeight="1">
      <c r="A33" s="2">
        <f>IF(ISNA(VLOOKUP(B33,AssociatedElements!B$2:B454,1,FALSE)),"Not used","")</f>
        <v/>
      </c>
      <c r="B33" s="16" t="inlineStr">
        <is>
          <t>stroke_count</t>
        </is>
      </c>
      <c r="C33" s="17" t="inlineStr">
        <is>
          <t>stroke count</t>
        </is>
      </c>
      <c r="D33" s="17" t="inlineStr">
        <is>
          <t>The number of strokes of the pump piston</t>
        </is>
      </c>
      <c r="E33" s="19" t="inlineStr">
        <is>
          <t>integer</t>
        </is>
      </c>
      <c r="F33" s="2" t="inlineStr">
        <is>
          <t>dimensionless</t>
        </is>
      </c>
      <c r="G33" s="11" t="n"/>
    </row>
    <row r="34" ht="17" customHeight="1">
      <c r="A34" s="2">
        <f>IF(ISNA(VLOOKUP(B34,AssociatedElements!B$2:B455,1,FALSE)),"Not used","")</f>
        <v/>
      </c>
      <c r="B34" s="16" t="inlineStr">
        <is>
          <t>take</t>
        </is>
      </c>
      <c r="C34" s="17" t="inlineStr">
        <is>
          <t>grout take</t>
        </is>
      </c>
      <c r="D34" s="17" t="inlineStr">
        <is>
          <t>Total volume of grout injected</t>
        </is>
      </c>
      <c r="E34" s="19" t="inlineStr">
        <is>
          <t>double</t>
        </is>
      </c>
      <c r="F34" s="2" t="inlineStr">
        <is>
          <t>volume</t>
        </is>
      </c>
      <c r="G34" s="11" t="n"/>
    </row>
    <row r="35" ht="17" customHeight="1">
      <c r="A35" s="2">
        <f>IF(ISNA(VLOOKUP(B35,AssociatedElements!B$2:B456,1,FALSE)),"Not used","")</f>
        <v/>
      </c>
      <c r="B35" s="16" t="inlineStr">
        <is>
          <t>thrust</t>
        </is>
      </c>
      <c r="C35" s="17" t="inlineStr">
        <is>
          <t>thrust</t>
        </is>
      </c>
      <c r="D35" s="17" t="inlineStr">
        <is>
          <t>Downward force of the drill</t>
        </is>
      </c>
      <c r="E35" s="19" t="inlineStr">
        <is>
          <t>double</t>
        </is>
      </c>
      <c r="F35" s="2" t="inlineStr">
        <is>
          <t>force</t>
        </is>
      </c>
      <c r="G35" s="11" t="n"/>
    </row>
    <row r="36" ht="17" customHeight="1">
      <c r="A36" s="2">
        <f>IF(ISNA(VLOOKUP(B36,AssociatedElements!B$2:B457,1,FALSE)),"Not used","")</f>
        <v/>
      </c>
      <c r="B36" s="16" t="inlineStr">
        <is>
          <t>torque</t>
        </is>
      </c>
      <c r="C36" s="18" t="inlineStr">
        <is>
          <t>torque</t>
        </is>
      </c>
      <c r="D36" s="18" t="inlineStr">
        <is>
          <t>Rotational force of the drill</t>
        </is>
      </c>
      <c r="E36" s="19" t="inlineStr">
        <is>
          <t>double</t>
        </is>
      </c>
      <c r="F36" s="2" t="inlineStr">
        <is>
          <t>moment of force</t>
        </is>
      </c>
      <c r="G36" s="11" t="n"/>
    </row>
    <row r="37" ht="17" customHeight="1">
      <c r="A37" s="2">
        <f>IF(ISNA(VLOOKUP(B37,AssociatedElements!B$2:B458,1,FALSE)),"Not used","")</f>
        <v/>
      </c>
      <c r="B37" s="16" t="inlineStr">
        <is>
          <t>time</t>
        </is>
      </c>
      <c r="C37" s="17" t="inlineStr">
        <is>
          <t>time</t>
        </is>
      </c>
      <c r="D37" s="22" t="inlineStr">
        <is>
          <t>Time instant of measurement</t>
        </is>
      </c>
      <c r="E37" s="21" t="inlineStr">
        <is>
          <t>time</t>
        </is>
      </c>
      <c r="F37" s="21" t="inlineStr">
        <is>
          <t>time</t>
        </is>
      </c>
      <c r="G37" s="11" t="n"/>
    </row>
    <row r="38">
      <c r="B38" t="inlineStr">
        <is>
          <t>volume_overconsumption</t>
        </is>
      </c>
      <c r="C38" t="inlineStr">
        <is>
          <t>Volume overconsumption</t>
        </is>
      </c>
      <c r="D38" t="inlineStr">
        <is>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is>
      </c>
      <c r="E38" t="inlineStr">
        <is>
          <t>double</t>
        </is>
      </c>
      <c r="F38" t="inlineStr">
        <is>
          <t>dimensionless</t>
        </is>
      </c>
    </row>
    <row r="39">
      <c r="B39" t="inlineStr">
        <is>
          <t>grout_level</t>
        </is>
      </c>
      <c r="C39" t="inlineStr">
        <is>
          <t>grout level</t>
        </is>
      </c>
      <c r="D39" t="inlineStr">
        <is>
          <t>The elevation or depth of the grout surface within the column bore or annulus at a given reading, used to detect an in-progress drop in grout level - a sign the column is losing grout into the surrounding ground and is at risk of an 'uncovered column' condition (V2 Installation row 31). Where a drop triggers a corrective action, that outcome is recorded separately as diggs:RIColumnConstructionType/groutLevelCorrectiveAction; this entry carries only the level reading itself.</t>
        </is>
      </c>
      <c r="E39" t="inlineStr">
        <is>
          <t>double</t>
        </is>
      </c>
      <c r="F39" t="inlineStr">
        <is>
          <t>length</t>
        </is>
      </c>
    </row>
    <row r="40">
      <c r="B40" t="inlineStr">
        <is>
          <t>grout_return_volume</t>
        </is>
      </c>
      <c r="C40" t="inlineStr">
        <is>
          <t>Grout return (wet-squeeze) volume</t>
        </is>
      </c>
      <c r="D40" t="inlineStr">
        <is>
          <t>The volume of grout or slurry returning to the surface during installation - a 'wet squeeze' - distinct from volume_overconsumption (excess grout pumped versus theoretical, in-bore and depth-indexed): this is fluid actually emerging at the surface, and is often observed at an already-installed neighbouring column rather than the one currently being drilled or grouted. Where that is the case, record this reading against whichever column's installationRecord the observer is logging against, and use remark to note which column the return was actually attributed to if it differs (V2 Installation row 32).</t>
        </is>
      </c>
      <c r="E40" t="inlineStr">
        <is>
          <t>double</t>
        </is>
      </c>
      <c r="F40" t="inlineStr">
        <is>
          <t>volume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E58"/>
  <sheetViews>
    <sheetView zoomScale="120" zoomScaleNormal="120" workbookViewId="0">
      <pane ySplit="1" topLeftCell="A30" activePane="bottomLeft" state="frozen"/>
      <selection pane="bottomLeft" activeCell="C63" sqref="C63"/>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c r="E1" s="6" t="inlineStr">
        <is>
          <t>Column1</t>
        </is>
      </c>
    </row>
    <row r="2">
      <c r="A2">
        <f>IF(ISNA(VLOOKUP(B2,Definitions!B$2:B$1843,1,FALSE)),"Not listed","")</f>
        <v/>
      </c>
      <c r="B2" s="14" t="inlineStr">
        <is>
          <t>apparent_lugeon_value</t>
        </is>
      </c>
      <c r="C2" s="3" t="inlineStr">
        <is>
          <t>//diggs:propertyClass</t>
        </is>
      </c>
      <c r="D2" s="3" t="inlineStr">
        <is>
          <t>ancestor::diggs:GroutStage</t>
        </is>
      </c>
    </row>
    <row r="3">
      <c r="A3">
        <f>IF(ISNA(VLOOKUP(B3,Definitions!B$2:B$1843,1,FALSE)),"Not listed","")</f>
        <v/>
      </c>
      <c r="B3" s="14" t="inlineStr">
        <is>
          <t>column_pressure</t>
        </is>
      </c>
      <c r="C3" s="3" t="inlineStr">
        <is>
          <t>//diggs:propertyClass</t>
        </is>
      </c>
      <c r="D3" s="3" t="inlineStr">
        <is>
          <t>ancestor::diggs:GroutStage</t>
        </is>
      </c>
    </row>
    <row r="4">
      <c r="A4">
        <f>IF(ISNA(VLOOKUP(B4,Definitions!B$2:B$1843,1,FALSE)),"Not listed","")</f>
        <v/>
      </c>
      <c r="B4" s="14" t="inlineStr">
        <is>
          <t>crowd_pressure</t>
        </is>
      </c>
      <c r="C4" s="3" t="inlineStr">
        <is>
          <t>//diggs:propertyClass</t>
        </is>
      </c>
      <c r="D4" s="3" t="inlineStr">
        <is>
          <t>ancestor::diggs:ContinuousGrouting</t>
        </is>
      </c>
    </row>
    <row r="5">
      <c r="A5">
        <f>IF(ISNA(VLOOKUP(B5,Definitions!B$2:B$1843,1,FALSE)),"Not listed","")</f>
        <v/>
      </c>
      <c r="B5" s="14" t="inlineStr">
        <is>
          <t>depth</t>
        </is>
      </c>
      <c r="C5" s="3" t="inlineStr">
        <is>
          <t>//diggs:propertyClass</t>
        </is>
      </c>
      <c r="D5" s="3" t="inlineStr">
        <is>
          <t>ancestor::diggs:ContinuousGrouting</t>
        </is>
      </c>
    </row>
    <row r="6">
      <c r="A6">
        <f>IF(ISNA(VLOOKUP(B6,Definitions!B$2:B$1843,1,FALSE)),"Not listed","")</f>
        <v/>
      </c>
      <c r="B6" s="14" t="inlineStr">
        <is>
          <t>drilling_index</t>
        </is>
      </c>
      <c r="C6" s="3" t="inlineStr">
        <is>
          <t>//diggs:propertyClass</t>
        </is>
      </c>
      <c r="D6" s="3" t="inlineStr">
        <is>
          <t>ancestor::diggs:ContinuousGrouting</t>
        </is>
      </c>
    </row>
    <row r="7">
      <c r="A7">
        <f>IF(ISNA(VLOOKUP(B7,Definitions!B$2:B$1843,1,FALSE)),"Not listed","")</f>
        <v/>
      </c>
      <c r="B7" s="14" t="inlineStr">
        <is>
          <t>drilling_speed</t>
        </is>
      </c>
      <c r="C7" s="3" t="inlineStr">
        <is>
          <t>//diggs:propertyClass</t>
        </is>
      </c>
      <c r="D7" s="3" t="inlineStr">
        <is>
          <t>ancestor::diggs:ContinuousGrouting</t>
        </is>
      </c>
    </row>
    <row r="8">
      <c r="A8">
        <f>IF(ISNA(VLOOKUP(B8,Definitions!B$2:B$1843,1,FALSE)),"Not listed","")</f>
        <v/>
      </c>
      <c r="B8" s="14" t="inlineStr">
        <is>
          <t>effective_pressure</t>
        </is>
      </c>
      <c r="C8" s="3" t="inlineStr">
        <is>
          <t>//diggs:propertyClass</t>
        </is>
      </c>
      <c r="D8" s="3" t="inlineStr">
        <is>
          <t>ancestor::diggs:GroutStage</t>
        </is>
      </c>
    </row>
    <row r="9">
      <c r="A9">
        <f>IF(ISNA(VLOOKUP(B9,Definitions!B$2:B$1843,1,FALSE)),"Not listed","")</f>
        <v/>
      </c>
      <c r="B9" t="inlineStr">
        <is>
          <t>elapsed_time</t>
        </is>
      </c>
      <c r="C9" s="3" t="inlineStr">
        <is>
          <t>//diggs:propertyClass</t>
        </is>
      </c>
      <c r="D9" s="3" t="inlineStr">
        <is>
          <t>ancestor::diggs:GroutStage</t>
        </is>
      </c>
    </row>
    <row r="10">
      <c r="A10">
        <f>IF(ISNA(VLOOKUP(B10,Definitions!B$2:B$1843,1,FALSE)),"Not listed","")</f>
        <v/>
      </c>
      <c r="B10" t="inlineStr">
        <is>
          <t>elapsed_time</t>
        </is>
      </c>
      <c r="C10" s="3" t="inlineStr">
        <is>
          <t>//diggs:propertyClass</t>
        </is>
      </c>
      <c r="D10" s="3" t="inlineStr">
        <is>
          <t>ancestor::diggs:ContinuousGrouting</t>
        </is>
      </c>
    </row>
    <row r="11">
      <c r="A11">
        <f>IF(ISNA(VLOOKUP(B11,Definitions!B$2:B$1843,1,FALSE)),"Not listed","")</f>
        <v/>
      </c>
      <c r="B11" s="14" t="inlineStr">
        <is>
          <t>fluid_1_flow</t>
        </is>
      </c>
      <c r="C11" s="3" t="inlineStr">
        <is>
          <t>//diggs:propertyClass</t>
        </is>
      </c>
      <c r="D11" s="3" t="inlineStr">
        <is>
          <t>ancestor::diggs:ContinuousGrouting</t>
        </is>
      </c>
    </row>
    <row r="12">
      <c r="A12">
        <f>IF(ISNA(VLOOKUP(B12,Definitions!B$2:B$1843,1,FALSE)),"Not listed","")</f>
        <v/>
      </c>
      <c r="B12" s="14" t="inlineStr">
        <is>
          <t>fluid_1_pressure</t>
        </is>
      </c>
      <c r="C12" s="3" t="inlineStr">
        <is>
          <t>//diggs:propertyClass</t>
        </is>
      </c>
      <c r="D12" s="3" t="inlineStr">
        <is>
          <t>ancestor::diggs:ContinuousGrouting</t>
        </is>
      </c>
    </row>
    <row r="13">
      <c r="A13">
        <f>IF(ISNA(VLOOKUP(B13,Definitions!B$2:B$1843,1,FALSE)),"Not listed","")</f>
        <v/>
      </c>
      <c r="B13" s="14" t="inlineStr">
        <is>
          <t>fluid_1_temperature</t>
        </is>
      </c>
      <c r="C13" s="3" t="inlineStr">
        <is>
          <t>//diggs:propertyClass</t>
        </is>
      </c>
      <c r="D13" s="3" t="inlineStr">
        <is>
          <t>ancestor::diggs:ContinuousGrouting</t>
        </is>
      </c>
    </row>
    <row r="14">
      <c r="A14">
        <f>IF(ISNA(VLOOKUP(B14,Definitions!B$2:B$1843,1,FALSE)),"Not listed","")</f>
        <v/>
      </c>
      <c r="B14" s="14" t="inlineStr">
        <is>
          <t>fluid_2_flow</t>
        </is>
      </c>
      <c r="C14" s="3" t="inlineStr">
        <is>
          <t>//diggs:propertyClass</t>
        </is>
      </c>
      <c r="D14" s="3" t="inlineStr">
        <is>
          <t>ancestor::diggs:ContinuousGrouting</t>
        </is>
      </c>
    </row>
    <row r="15">
      <c r="A15">
        <f>IF(ISNA(VLOOKUP(B15,Definitions!B$2:B$1843,1,FALSE)),"Not listed","")</f>
        <v/>
      </c>
      <c r="B15" s="14" t="inlineStr">
        <is>
          <t>fluid_2_pressure</t>
        </is>
      </c>
      <c r="C15" s="3" t="inlineStr">
        <is>
          <t>//diggs:propertyClass</t>
        </is>
      </c>
      <c r="D15" s="3" t="inlineStr">
        <is>
          <t>ancestor::diggs:ContinuousGrouting</t>
        </is>
      </c>
    </row>
    <row r="16">
      <c r="A16">
        <f>IF(ISNA(VLOOKUP(B16,Definitions!B$2:B$1843,1,FALSE)),"Not listed","")</f>
        <v/>
      </c>
      <c r="B16" s="14" t="inlineStr">
        <is>
          <t>fluid_2_temperature</t>
        </is>
      </c>
      <c r="C16" s="3" t="inlineStr">
        <is>
          <t>//diggs:propertyClass</t>
        </is>
      </c>
      <c r="D16" s="3" t="inlineStr">
        <is>
          <t>ancestor::diggs:ContinuousGrouting</t>
        </is>
      </c>
    </row>
    <row r="17">
      <c r="A17">
        <f>IF(ISNA(VLOOKUP(B17,Definitions!B$2:B$1843,1,FALSE)),"Not listed","")</f>
        <v/>
      </c>
      <c r="B17" s="14" t="inlineStr">
        <is>
          <t>gauge_pressure</t>
        </is>
      </c>
      <c r="C17" s="3" t="inlineStr">
        <is>
          <t>//diggs:propertyClass</t>
        </is>
      </c>
      <c r="D17" s="3" t="inlineStr">
        <is>
          <t>ancestor::diggs:ContinuousGrouting</t>
        </is>
      </c>
    </row>
    <row r="18">
      <c r="A18">
        <f>IF(ISNA(VLOOKUP(B18,Definitions!B$2:B$1843,1,FALSE)),"Not listed","")</f>
        <v/>
      </c>
      <c r="B18" s="14" t="inlineStr">
        <is>
          <t>grout_flow</t>
        </is>
      </c>
      <c r="C18" s="3" t="inlineStr">
        <is>
          <t>//diggs:propertyClass</t>
        </is>
      </c>
      <c r="D18" s="3" t="inlineStr">
        <is>
          <t>ancestor::diggs:GroutStage</t>
        </is>
      </c>
    </row>
    <row r="19">
      <c r="A19">
        <f>IF(ISNA(VLOOKUP(B19,Definitions!B$2:B$1843,1,FALSE)),"Not listed","")</f>
        <v/>
      </c>
      <c r="B19" s="14" t="inlineStr">
        <is>
          <t>grout_flow</t>
        </is>
      </c>
      <c r="C19" s="3" t="inlineStr">
        <is>
          <t>//diggs:propertyClass</t>
        </is>
      </c>
      <c r="D19" s="3" t="inlineStr">
        <is>
          <t>ancestor::diggs:ContinuousGrouting</t>
        </is>
      </c>
    </row>
    <row r="20">
      <c r="A20">
        <f>IF(ISNA(VLOOKUP(B20,Definitions!B$2:B$1843,1,FALSE)),"Not listed","")</f>
        <v/>
      </c>
      <c r="B20" s="14" t="inlineStr">
        <is>
          <t>grout_pressure</t>
        </is>
      </c>
      <c r="C20" s="3" t="inlineStr">
        <is>
          <t>//diggs:propertyClass</t>
        </is>
      </c>
      <c r="D20" s="3" t="inlineStr">
        <is>
          <t>ancestor::diggs:GroutStage</t>
        </is>
      </c>
    </row>
    <row r="21">
      <c r="A21">
        <f>IF(ISNA(VLOOKUP(B21,Definitions!B$2:B$1843,1,FALSE)),"Not listed","")</f>
        <v/>
      </c>
      <c r="B21" s="14" t="inlineStr">
        <is>
          <t>grout_pressure</t>
        </is>
      </c>
      <c r="C21" s="3" t="inlineStr">
        <is>
          <t>//diggs:propertyClass</t>
        </is>
      </c>
      <c r="D21" s="3" t="inlineStr">
        <is>
          <t>ancestor::diggs:ContinuousGrouting</t>
        </is>
      </c>
    </row>
    <row r="22">
      <c r="A22">
        <f>IF(ISNA(VLOOKUP(B22,Definitions!B$2:B$1843,1,FALSE)),"Not listed","")</f>
        <v/>
      </c>
      <c r="B22" s="14" t="inlineStr">
        <is>
          <t>grout_specific_gravity</t>
        </is>
      </c>
      <c r="C22" s="3" t="inlineStr">
        <is>
          <t>//diggs:propertyClass</t>
        </is>
      </c>
      <c r="D22" s="3" t="inlineStr">
        <is>
          <t>ancestor::diggs:GroutStage</t>
        </is>
      </c>
    </row>
    <row r="23">
      <c r="A23">
        <f>IF(ISNA(VLOOKUP(B23,Definitions!B$2:B$1843,1,FALSE)),"Not listed","")</f>
        <v/>
      </c>
      <c r="B23" s="14" t="inlineStr">
        <is>
          <t>grout_specific_gravity</t>
        </is>
      </c>
      <c r="C23" s="3" t="inlineStr">
        <is>
          <t>//diggs:propertyClass</t>
        </is>
      </c>
      <c r="D23" s="3" t="inlineStr">
        <is>
          <t>ancestor::diggs:ContinuousGrouting</t>
        </is>
      </c>
    </row>
    <row r="24">
      <c r="A24">
        <f>IF(ISNA(VLOOKUP(B24,Definitions!B$2:B$1843,1,FALSE)),"Not listed","")</f>
        <v/>
      </c>
      <c r="B24" s="14" t="inlineStr">
        <is>
          <t>grout_temperature</t>
        </is>
      </c>
      <c r="C24" s="3" t="inlineStr">
        <is>
          <t>//diggs:propertyClass</t>
        </is>
      </c>
      <c r="D24" s="3" t="inlineStr">
        <is>
          <t>ancestor::diggs:GroutStage</t>
        </is>
      </c>
    </row>
    <row r="25">
      <c r="A25">
        <f>IF(ISNA(VLOOKUP(B25,Definitions!B$2:B$1843,1,FALSE)),"Not listed","")</f>
        <v/>
      </c>
      <c r="B25" s="14" t="inlineStr">
        <is>
          <t>grout_temperature</t>
        </is>
      </c>
      <c r="C25" s="3" t="inlineStr">
        <is>
          <t>//diggs:propertyClass</t>
        </is>
      </c>
      <c r="D25" s="3" t="inlineStr">
        <is>
          <t>ancestor::diggs:ContinuousGrouting</t>
        </is>
      </c>
    </row>
    <row r="26">
      <c r="A26">
        <f>IF(ISNA(VLOOKUP(B26,Definitions!B$2:B$1843,1,FALSE)),"Not listed","")</f>
        <v/>
      </c>
      <c r="B26" s="14" t="inlineStr">
        <is>
          <t>grout_volume</t>
        </is>
      </c>
      <c r="C26" s="3" t="inlineStr">
        <is>
          <t>//diggs:propertyClass</t>
        </is>
      </c>
      <c r="D26" s="3" t="inlineStr">
        <is>
          <t>ancestor::diggs:ContinuousGrouting</t>
        </is>
      </c>
    </row>
    <row r="27">
      <c r="A27">
        <f>IF(ISNA(VLOOKUP(B27,Definitions!B$2:B$1843,1,FALSE)),"Not listed","")</f>
        <v/>
      </c>
      <c r="B27" s="14" t="inlineStr">
        <is>
          <t>header_pressure</t>
        </is>
      </c>
      <c r="C27" s="3" t="inlineStr">
        <is>
          <t>//diggs:propertyClass</t>
        </is>
      </c>
      <c r="D27" s="3" t="inlineStr">
        <is>
          <t>ancestor::diggs:ContinuousGrouting</t>
        </is>
      </c>
    </row>
    <row r="28">
      <c r="A28">
        <f>IF(ISNA(VLOOKUP(B28,Definitions!B$2:B$1843,1,FALSE)),"Not listed","")</f>
        <v/>
      </c>
      <c r="B28" s="14" t="inlineStr">
        <is>
          <t>injection_pressure</t>
        </is>
      </c>
      <c r="C28" s="3" t="inlineStr">
        <is>
          <t>//diggs:propertyClass</t>
        </is>
      </c>
      <c r="D28" s="3" t="inlineStr">
        <is>
          <t>ancestor::diggs:GroutStage</t>
        </is>
      </c>
    </row>
    <row r="29">
      <c r="A29">
        <f>IF(ISNA(VLOOKUP(B29,Definitions!B$2:B$1843,1,FALSE)),"Not listed","")</f>
        <v/>
      </c>
      <c r="B29" s="14" t="inlineStr">
        <is>
          <t>line_loss</t>
        </is>
      </c>
      <c r="C29" s="3" t="inlineStr">
        <is>
          <t>//diggs:propertyClass</t>
        </is>
      </c>
      <c r="D29" t="inlineStr">
        <is>
          <t>ancestor::diggs:GroutStage</t>
        </is>
      </c>
    </row>
    <row r="30">
      <c r="A30">
        <f>IF(ISNA(VLOOKUP(B30,Definitions!B$2:B$1843,1,FALSE)),"Not listed","")</f>
        <v/>
      </c>
      <c r="B30" s="14" t="inlineStr">
        <is>
          <t>micro_motion_flow</t>
        </is>
      </c>
      <c r="C30" s="3" t="inlineStr">
        <is>
          <t>//diggs:propertyClass</t>
        </is>
      </c>
      <c r="D30" s="3" t="inlineStr">
        <is>
          <t>ancestor::diggs:ContinuousGrouting</t>
        </is>
      </c>
    </row>
    <row r="31">
      <c r="A31">
        <f>IF(ISNA(VLOOKUP(B31,Definitions!B$2:B$1843,1,FALSE)),"Not listed","")</f>
        <v/>
      </c>
      <c r="B31" s="14" t="inlineStr">
        <is>
          <t>micro_motion_volume</t>
        </is>
      </c>
      <c r="C31" s="3" t="inlineStr">
        <is>
          <t>//diggs:propertyClass</t>
        </is>
      </c>
      <c r="D31" s="3" t="inlineStr">
        <is>
          <t>ancestor::diggs:ContinuousGrouting</t>
        </is>
      </c>
    </row>
    <row r="32">
      <c r="A32">
        <f>IF(ISNA(VLOOKUP(B32,Definitions!B$2:B$1843,1,FALSE)),"Not listed","")</f>
        <v/>
      </c>
      <c r="B32" s="14" t="inlineStr">
        <is>
          <t>mix</t>
        </is>
      </c>
      <c r="C32" s="3" t="inlineStr">
        <is>
          <t>//diggs:propertyClass</t>
        </is>
      </c>
      <c r="D32" t="inlineStr">
        <is>
          <t>ancestor::diggs:GroutStage</t>
        </is>
      </c>
    </row>
    <row r="33">
      <c r="A33">
        <f>IF(ISNA(VLOOKUP(B33,Definitions!B$2:B$1843,1,FALSE)),"Not listed","")</f>
        <v/>
      </c>
      <c r="B33" s="14" t="inlineStr">
        <is>
          <t>packer_pressure</t>
        </is>
      </c>
      <c r="C33" s="3" t="inlineStr">
        <is>
          <t>//diggs:propertyClass</t>
        </is>
      </c>
      <c r="D33" t="inlineStr">
        <is>
          <t>ancestor::diggs:GroutStage</t>
        </is>
      </c>
    </row>
    <row r="34">
      <c r="A34">
        <f>IF(ISNA(VLOOKUP(B34,Definitions!B$2:B$1843,1,FALSE)),"Not listed","")</f>
        <v/>
      </c>
      <c r="B34" s="14" t="inlineStr">
        <is>
          <t>pull_speed</t>
        </is>
      </c>
      <c r="C34" s="3" t="inlineStr">
        <is>
          <t>//diggs:propertyClass</t>
        </is>
      </c>
      <c r="D34" s="3" t="inlineStr">
        <is>
          <t>ancestor::diggs:ContinuousGrouting</t>
        </is>
      </c>
    </row>
    <row r="35">
      <c r="A35">
        <f>IF(ISNA(VLOOKUP(B35,Definitions!B$2:B$1843,1,FALSE)),"Not listed","")</f>
        <v/>
      </c>
      <c r="B35" s="14" t="inlineStr">
        <is>
          <t>rotary_pressure</t>
        </is>
      </c>
      <c r="C35" s="3" t="inlineStr">
        <is>
          <t>//diggs:propertyClass</t>
        </is>
      </c>
      <c r="D35" s="3" t="inlineStr">
        <is>
          <t>ancestor::diggs:ContinuousGrouting</t>
        </is>
      </c>
    </row>
    <row r="36">
      <c r="A36">
        <f>IF(ISNA(VLOOKUP(B36,Definitions!B$2:B$1843,1,FALSE)),"Not listed","")</f>
        <v/>
      </c>
      <c r="B36" s="14" t="inlineStr">
        <is>
          <t>rotation_speed</t>
        </is>
      </c>
      <c r="C36" s="3" t="inlineStr">
        <is>
          <t>//diggs:propertyClass</t>
        </is>
      </c>
      <c r="D36" s="3" t="inlineStr">
        <is>
          <t>ancestor::diggs:ContinuousGrouting</t>
        </is>
      </c>
    </row>
    <row r="37">
      <c r="A37">
        <f>IF(ISNA(VLOOKUP(B37,Definitions!B$2:B$1843,1,FALSE)),"Not listed","")</f>
        <v/>
      </c>
      <c r="B37" s="14" t="inlineStr">
        <is>
          <t>specific_energy</t>
        </is>
      </c>
      <c r="C37" s="3" t="inlineStr">
        <is>
          <t>//diggs:propertyClass</t>
        </is>
      </c>
      <c r="D37" s="3" t="inlineStr">
        <is>
          <t>ancestor::diggs:ContinuousGrouting</t>
        </is>
      </c>
    </row>
    <row r="38">
      <c r="A38">
        <f>IF(ISNA(VLOOKUP(B38,Definitions!B$2:B$1843,1,FALSE)),"Not listed","")</f>
        <v/>
      </c>
      <c r="B38" s="14" t="inlineStr">
        <is>
          <t>stroke_count</t>
        </is>
      </c>
      <c r="C38" s="3" t="inlineStr">
        <is>
          <t>//diggs:propertyClass</t>
        </is>
      </c>
      <c r="D38" s="3" t="inlineStr">
        <is>
          <t>ancestor::diggs:ContinuousGrouting</t>
        </is>
      </c>
    </row>
    <row r="39">
      <c r="A39">
        <f>IF(ISNA(VLOOKUP(B39,Definitions!B$2:B$1843,1,FALSE)),"Not listed","")</f>
        <v/>
      </c>
      <c r="D39" s="3" t="n"/>
    </row>
    <row r="40">
      <c r="A40">
        <f>IF(ISNA(VLOOKUP(B40,Definitions!B$2:B$1843,1,FALSE)),"Not listed","")</f>
        <v/>
      </c>
      <c r="B40" t="inlineStr">
        <is>
          <t>take</t>
        </is>
      </c>
      <c r="C40" s="3" t="inlineStr">
        <is>
          <t>//diggs:propertyClass</t>
        </is>
      </c>
      <c r="D40" s="20" t="inlineStr">
        <is>
          <t>ancestor::diggs:GroutStage</t>
        </is>
      </c>
    </row>
    <row r="41">
      <c r="A41">
        <f>IF(ISNA(VLOOKUP(B41,Definitions!B$2:B$1843,1,FALSE)),"Not listed","")</f>
        <v/>
      </c>
      <c r="B41" t="inlineStr">
        <is>
          <t>take</t>
        </is>
      </c>
      <c r="C41" s="3" t="inlineStr">
        <is>
          <t>//diggs:propertyClass</t>
        </is>
      </c>
      <c r="D41" s="3" t="inlineStr">
        <is>
          <t>ancestor::diggs:ContinuousGrouting</t>
        </is>
      </c>
    </row>
    <row r="42">
      <c r="A42">
        <f>IF(ISNA(VLOOKUP(B42,Definitions!B$2:B$1843,1,FALSE)),"Not listed","")</f>
        <v/>
      </c>
      <c r="B42" s="14" t="inlineStr">
        <is>
          <t>thrust</t>
        </is>
      </c>
      <c r="C42" s="3" t="inlineStr">
        <is>
          <t>//diggs:propertyClass</t>
        </is>
      </c>
      <c r="D42" s="3" t="inlineStr">
        <is>
          <t>ancestor::diggs:ContinuousGrouting</t>
        </is>
      </c>
    </row>
    <row r="43">
      <c r="A43">
        <f>IF(ISNA(VLOOKUP(B43,Definitions!B$2:B$1843,1,FALSE)),"Not listed","")</f>
        <v/>
      </c>
      <c r="B43" s="14" t="inlineStr">
        <is>
          <t>time</t>
        </is>
      </c>
      <c r="C43" s="3" t="inlineStr">
        <is>
          <t>//diggs:propertyClass</t>
        </is>
      </c>
      <c r="D43" s="3" t="inlineStr">
        <is>
          <t>ancestor::diggs:ContinuousGrouting</t>
        </is>
      </c>
      <c r="E43" s="23" t="n"/>
    </row>
    <row r="44">
      <c r="A44">
        <f>IF(ISNA(VLOOKUP(B44,Definitions!B$2:B$1843,1,FALSE)),"Not listed","")</f>
        <v/>
      </c>
      <c r="B44" s="14" t="inlineStr">
        <is>
          <t>time</t>
        </is>
      </c>
      <c r="C44" s="3" t="inlineStr">
        <is>
          <t>//diggs:propertyClass</t>
        </is>
      </c>
      <c r="D44" s="3" t="inlineStr">
        <is>
          <t>ancestor::diggs:GroutStage</t>
        </is>
      </c>
      <c r="E44" s="24" t="n"/>
    </row>
    <row r="45">
      <c r="A45">
        <f>IF(ISNA(VLOOKUP(B45,Definitions!B$2:B$1843,1,FALSE)),"Not listed","")</f>
        <v/>
      </c>
      <c r="B45" s="14" t="inlineStr">
        <is>
          <t>torque</t>
        </is>
      </c>
      <c r="C45" s="3" t="inlineStr">
        <is>
          <t>//diggs:propertyClass</t>
        </is>
      </c>
      <c r="D45" s="3" t="inlineStr">
        <is>
          <t>ancestor::diggs:ContinuousGrouting</t>
        </is>
      </c>
    </row>
    <row r="46">
      <c r="A46">
        <f>IF(ISNA(VLOOKUP(B46,Definitions!B$2:B$1843,1,FALSE)),"Not listed","")</f>
        <v/>
      </c>
      <c r="B46" s="14" t="inlineStr">
        <is>
          <t>pull_speed</t>
        </is>
      </c>
      <c r="C46" s="3" t="inlineStr">
        <is>
          <t>//diggs:propertyClass</t>
        </is>
      </c>
      <c r="D46" s="25" t="inlineStr">
        <is>
          <t>ancestor::diggs:constructionActivity//diggs:RIInstallationRecord</t>
        </is>
      </c>
    </row>
    <row r="47">
      <c r="A47">
        <f>IF(ISNA(VLOOKUP(B47,Definitions!B$2:B$1843,1,FALSE)),"Not listed","")</f>
        <v/>
      </c>
      <c r="B47" s="14" t="inlineStr">
        <is>
          <t>grout_pressure</t>
        </is>
      </c>
      <c r="C47" s="3" t="inlineStr">
        <is>
          <t>//diggs:propertyClass</t>
        </is>
      </c>
      <c r="D47" s="25" t="inlineStr">
        <is>
          <t>ancestor::diggs:constructionActivity//diggs:RIInstallationRecord</t>
        </is>
      </c>
    </row>
    <row r="48">
      <c r="A48">
        <f>IF(ISNA(VLOOKUP(B48,Definitions!B$2:B$1843,1,FALSE)),"Not listed","")</f>
        <v/>
      </c>
      <c r="B48" s="14" t="inlineStr">
        <is>
          <t>grout_flow</t>
        </is>
      </c>
      <c r="C48" s="3" t="inlineStr">
        <is>
          <t>//diggs:propertyClass</t>
        </is>
      </c>
      <c r="D48" s="25" t="inlineStr">
        <is>
          <t>ancestor::diggs:constructionActivity//diggs:RIInstallationRecord</t>
        </is>
      </c>
    </row>
    <row r="49">
      <c r="A49">
        <f>IF(ISNA(VLOOKUP(B49,Definitions!B$2:B$1843,1,FALSE)),"Not listed","")</f>
        <v/>
      </c>
      <c r="B49" s="14" t="inlineStr">
        <is>
          <t>grout_volume</t>
        </is>
      </c>
      <c r="C49" s="3" t="inlineStr">
        <is>
          <t>//diggs:propertyClass</t>
        </is>
      </c>
      <c r="D49" s="3" t="inlineStr">
        <is>
          <t>ancestor::diggs:constructionActivity//diggs:RIInstallationRecord</t>
        </is>
      </c>
    </row>
    <row r="50">
      <c r="A50">
        <f>IF(ISNA(VLOOKUP(B50,Definitions!B$2:B$1843,1,FALSE)),"Not listed","")</f>
        <v/>
      </c>
      <c r="B50" s="14" t="inlineStr">
        <is>
          <t>stroke_count</t>
        </is>
      </c>
      <c r="C50" s="3" t="inlineStr">
        <is>
          <t>//diggs:propertyClass</t>
        </is>
      </c>
      <c r="D50" s="3" t="inlineStr">
        <is>
          <t>ancestor::diggs:constructionActivity//diggs:RIInstallationRecord</t>
        </is>
      </c>
    </row>
    <row r="51">
      <c r="A51">
        <f>IF(ISNA(VLOOKUP(B51,Definitions!B$2:B$1843,1,FALSE)),"Not listed","")</f>
        <v/>
      </c>
      <c r="B51" s="14" t="inlineStr">
        <is>
          <t>drilling_speed</t>
        </is>
      </c>
      <c r="C51" s="3" t="inlineStr">
        <is>
          <t>//diggs:propertyClass</t>
        </is>
      </c>
      <c r="D51" s="3" t="inlineStr">
        <is>
          <t>ancestor::diggs:constructionActivity//diggs:RIInstallationRecord</t>
        </is>
      </c>
    </row>
    <row r="52">
      <c r="A52">
        <f>IF(ISNA(VLOOKUP(B52,Definitions!B$2:B$1843,1,FALSE)),"Not listed","")</f>
        <v/>
      </c>
      <c r="B52" s="14" t="inlineStr">
        <is>
          <t>rotation_speed</t>
        </is>
      </c>
      <c r="C52" s="3" t="inlineStr">
        <is>
          <t>//diggs:propertyClass</t>
        </is>
      </c>
      <c r="D52" s="3" t="inlineStr">
        <is>
          <t>ancestor::diggs:constructionActivity//diggs:RIInstallationRecord</t>
        </is>
      </c>
    </row>
    <row r="53">
      <c r="A53">
        <f>IF(ISNA(VLOOKUP(B53,Definitions!B$2:B$1843,1,FALSE)),"Not listed","")</f>
        <v/>
      </c>
      <c r="B53" s="14" t="inlineStr">
        <is>
          <t>torque</t>
        </is>
      </c>
      <c r="C53" s="3" t="inlineStr">
        <is>
          <t>//diggs:propertyClass</t>
        </is>
      </c>
      <c r="D53" s="3" t="inlineStr">
        <is>
          <t>ancestor::diggs:constructionActivity//diggs:RIInstallationRecord</t>
        </is>
      </c>
    </row>
    <row r="54">
      <c r="A54">
        <f>IF(ISNA(VLOOKUP(B54,Definitions!B$2:B$1843,1,FALSE)),"Not listed","")</f>
        <v/>
      </c>
      <c r="B54" s="14" t="inlineStr">
        <is>
          <t>thrust</t>
        </is>
      </c>
      <c r="C54" s="3" t="inlineStr">
        <is>
          <t>//diggs:propertyClass</t>
        </is>
      </c>
      <c r="D54" s="3" t="inlineStr">
        <is>
          <t>ancestor::diggs:constructionActivity//diggs:RIInstallationRecord</t>
        </is>
      </c>
    </row>
    <row r="55">
      <c r="A55">
        <f>IF(ISNA(VLOOKUP(B55,Definitions!B$2:B$1843,1,FALSE)),"Not listed","")</f>
        <v/>
      </c>
      <c r="B55" s="14" t="inlineStr">
        <is>
          <t>crowd_pressure</t>
        </is>
      </c>
      <c r="C55" s="3" t="inlineStr">
        <is>
          <t>//diggs:propertyClass</t>
        </is>
      </c>
      <c r="D55" s="3" t="inlineStr">
        <is>
          <t>ancestor::diggs:constructionActivity//diggs:RIInstallationRecord</t>
        </is>
      </c>
    </row>
    <row r="56">
      <c r="A56">
        <f>IF(ISNA(VLOOKUP(B56,Definitions!B$2:B$1843,1,FALSE)),"Not listed","")</f>
        <v/>
      </c>
      <c r="B56" s="14" t="inlineStr">
        <is>
          <t>volume_overconsumption</t>
        </is>
      </c>
      <c r="C56" s="3" t="inlineStr">
        <is>
          <t>//diggs:propertyClass</t>
        </is>
      </c>
      <c r="D56" s="3" t="inlineStr">
        <is>
          <t>ancestor::diggs:constructionActivity//diggs:RIInstallationRecord</t>
        </is>
      </c>
    </row>
    <row r="57">
      <c r="A57">
        <f>IF(ISNA(VLOOKUP(B57,Definitions!B$2:B$1843,1,FALSE)),"Not listed","")</f>
        <v/>
      </c>
      <c r="B57" s="14" t="inlineStr">
        <is>
          <t>grout_level</t>
        </is>
      </c>
      <c r="C57" s="3" t="inlineStr">
        <is>
          <t>//diggs:propertyClass</t>
        </is>
      </c>
      <c r="D57" s="3" t="inlineStr">
        <is>
          <t>ancestor::diggs:constructionActivity//diggs:RIInstallationRecord</t>
        </is>
      </c>
    </row>
    <row r="58">
      <c r="A58">
        <f>IF(ISNA(VLOOKUP(B58,Definitions!B$2:B$1843,1,FALSE)),"Not listed","")</f>
        <v/>
      </c>
      <c r="B58" s="14" t="inlineStr">
        <is>
          <t>grout_return_volume</t>
        </is>
      </c>
      <c r="C58" s="3" t="inlineStr">
        <is>
          <t>//diggs:propertyClass</t>
        </is>
      </c>
      <c r="D58" s="3"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6.83203125" customWidth="1" min="1" max="1"/>
    <col width="31.6640625" customWidth="1" min="2" max="2"/>
    <col width="86.1640625" customWidth="1" min="3" max="3"/>
    <col width="93" customWidth="1" min="4" max="4"/>
  </cols>
  <sheetData>
    <row r="1">
      <c r="A1" s="26" t="inlineStr">
        <is>
          <t>Start</t>
        </is>
      </c>
      <c r="B1" s="26" t="inlineStr">
        <is>
          <t>ID</t>
        </is>
      </c>
      <c r="C1" s="26" t="inlineStr">
        <is>
          <t>Name</t>
        </is>
      </c>
      <c r="D1" t="inlineStr">
        <is>
          <t>codeSpace</t>
        </is>
      </c>
    </row>
    <row r="2">
      <c r="A2">
        <f>IF(ISNA(VLOOKUP(B2,Definitions!B$2:B$1839,1,FALSE)),"Not listed","")</f>
        <v/>
      </c>
      <c r="B2" t="inlineStr">
        <is>
          <t>LFS</t>
        </is>
      </c>
      <c r="C2" t="inlineStr">
        <is>
          <t>An alternate name for the definition code given in ID</t>
        </is>
      </c>
      <c r="D2" t="inlineStr">
        <is>
          <t>A URI to provide context for the name. Typically this might identify an authority, a language. a dictionary, or some other metadata value</t>
        </is>
      </c>
    </row>
    <row r="3">
      <c r="A3">
        <f>IF(ISNA(VLOOKUP(B3,Definitions!B$2:B$1839,1,FALSE)),"Not listed","")</f>
        <v/>
      </c>
      <c r="B3" t="inlineStr">
        <is>
          <t>pull_speed</t>
        </is>
      </c>
      <c r="C3" t="inlineStr">
        <is>
          <t>withdrawal rate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7"/>
  <sheetViews>
    <sheetView topLeftCell="A40" zoomScale="130" zoomScaleNormal="130" workbookViewId="0">
      <selection activeCell="B18" sqref="B18"/>
    </sheetView>
  </sheetViews>
  <sheetFormatPr baseColWidth="10" defaultColWidth="11" defaultRowHeight="16"/>
  <cols>
    <col width="21.1640625" customWidth="1" min="2" max="2"/>
    <col width="54.1640625" customWidth="1"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unitless</t>
        </is>
      </c>
      <c r="D168" s="7" t="n"/>
    </row>
    <row r="169">
      <c r="C169" t="inlineStr">
        <is>
          <t>vertical coordinate</t>
        </is>
      </c>
      <c r="D169" s="7" t="n"/>
    </row>
    <row r="170">
      <c r="C170" t="inlineStr">
        <is>
          <t>volume</t>
        </is>
      </c>
      <c r="D170" s="7" t="n"/>
    </row>
    <row r="171">
      <c r="C171" t="inlineStr">
        <is>
          <t>volume flow rate per volume flow rate</t>
        </is>
      </c>
      <c r="D171" s="7" t="n"/>
    </row>
    <row r="172">
      <c r="C172" t="inlineStr">
        <is>
          <t>volume per area</t>
        </is>
      </c>
      <c r="D172" s="7" t="n"/>
    </row>
    <row r="173">
      <c r="C173" t="inlineStr">
        <is>
          <t>volume per length</t>
        </is>
      </c>
      <c r="D173" s="7" t="n"/>
    </row>
    <row r="174">
      <c r="C174" t="inlineStr">
        <is>
          <t>volume per mass</t>
        </is>
      </c>
      <c r="D174" s="7" t="n"/>
    </row>
    <row r="175">
      <c r="C175" t="inlineStr">
        <is>
          <t>volume per pressure</t>
        </is>
      </c>
      <c r="D175" s="7" t="n"/>
    </row>
    <row r="176">
      <c r="C176" t="inlineStr">
        <is>
          <t>volume per rotation</t>
        </is>
      </c>
      <c r="D176" s="7" t="n"/>
    </row>
    <row r="177">
      <c r="C177" t="inlineStr">
        <is>
          <t>volume per time</t>
        </is>
      </c>
      <c r="D177" s="7" t="n"/>
    </row>
    <row r="178">
      <c r="C178" t="inlineStr">
        <is>
          <t>volume per time length</t>
        </is>
      </c>
      <c r="D178" s="7" t="n"/>
    </row>
    <row r="179">
      <c r="C179" t="inlineStr">
        <is>
          <t>volume per time per area</t>
        </is>
      </c>
      <c r="D179" s="7" t="n"/>
    </row>
    <row r="180">
      <c r="C180" t="inlineStr">
        <is>
          <t>volume per time per length</t>
        </is>
      </c>
      <c r="D180" s="7" t="n"/>
    </row>
    <row r="181">
      <c r="C181" t="inlineStr">
        <is>
          <t>volume per time per pressure</t>
        </is>
      </c>
      <c r="D181" s="7" t="n"/>
    </row>
    <row r="182">
      <c r="C182" t="inlineStr">
        <is>
          <t>volume per time per pressure length</t>
        </is>
      </c>
      <c r="D182" s="7" t="n"/>
    </row>
    <row r="183">
      <c r="C183" t="inlineStr">
        <is>
          <t>volume per time per time</t>
        </is>
      </c>
      <c r="D183" s="7" t="n"/>
    </row>
    <row r="184">
      <c r="C184" t="inlineStr">
        <is>
          <t>volume per time per volume</t>
        </is>
      </c>
      <c r="D184" s="7" t="n"/>
    </row>
    <row r="185">
      <c r="C185" t="inlineStr">
        <is>
          <t>volume per volume</t>
        </is>
      </c>
      <c r="D185" s="7" t="n"/>
    </row>
    <row r="186">
      <c r="C186" t="inlineStr">
        <is>
          <t>volumetric heat transfer coefficient</t>
        </is>
      </c>
      <c r="D186" s="8" t="n"/>
    </row>
    <row r="187">
      <c r="C187" t="inlineStr">
        <is>
          <t>volumetric thermal expansion</t>
        </is>
      </c>
      <c r="D187" s="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2026-09-10T07:42:24Z</dcterms:modified>
  <cp:lastModifiedBy>Dan Ponti</cp:lastModifiedBy>
</cp:coreProperties>
</file>