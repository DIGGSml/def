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xmlns:r="http://schemas.openxmlformats.org/officeDocument/2006/relationships" name="DictionaryName" sheetId="1" state="visible" r:id="rId1"/>
    <sheet xmlns:r="http://schemas.openxmlformats.org/officeDocument/2006/relationships" name="Definitions" sheetId="2" state="visible" r:id="rId2"/>
    <sheet xmlns:r="http://schemas.openxmlformats.org/officeDocument/2006/relationships" name="AssociatedElements" sheetId="3" state="visible" r:id="rId3"/>
    <sheet xmlns:r="http://schemas.openxmlformats.org/officeDocument/2006/relationships" name="AlternateNames" sheetId="4" state="visible" r:id="rId4"/>
    <sheet xmlns:r="http://schemas.openxmlformats.org/officeDocument/2006/relationships"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measurementKind</t>
        </is>
      </c>
      <c r="C3" s="12" t="inlineStr">
        <is>
          <t>measurementKind</t>
        </is>
      </c>
      <c r="D3" s="12" t="inlineStr">
        <is>
          <t>DIGGS Design Measurement Kind Codelist Definitions</t>
        </is>
      </c>
      <c r="E3" s="2" t="inlineStr">
        <is>
          <t>Codes naming the kind of measurement a diggs:DesignMeasurement plans, for use where no measurementMethod is cited or where the cited method admits several kinds of measurement. Seeded here with the load-verification and integrity-testing kinds referenced by rigid inclusion acceptance testing (ASIRI; FHWA-KS-25-02); DesignMeasurement is general DIGGS infrastructure covering every planned Test, Monitor, MaterialTest, MeasurementWhileDrilling and GeophysicalFieldSurvey, so the list is expected to grow well beyond this starting set as other domains populate it. Expect this element to be omitted in the common case, per its own documentation.</t>
        </is>
      </c>
    </row>
    <row r="4" ht="17" customHeight="1">
      <c r="A4" s="2" t="n"/>
      <c r="B4" s="2" t="n"/>
      <c r="D4" s="2" t="n"/>
      <c r="E4" s="2" t="inlineStr">
        <is>
          <t xml:space="preserve">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89"/>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IF(ISNA(VLOOKUP(B2,AssociatedElements!B$2:B$999,1,FALSE)),"Not used","")</f>
        <v/>
      </c>
      <c r="B2" s="13" t="inlineStr">
        <is>
          <t>static_load_test</t>
        </is>
      </c>
      <c r="C2" s="13" t="inlineStr">
        <is>
          <t>Static load test</t>
        </is>
      </c>
      <c r="D2" s="14" t="inlineStr">
        <is>
          <t>A slow-maintained or constant-rate-of-penetration axial load test applying load directly to the element and measuring load-movement response, per ASTM D1143 or equivalent.</t>
        </is>
      </c>
      <c r="E2" s="13" t="inlineStr">
        <is>
          <t>string</t>
        </is>
      </c>
      <c r="F2" s="13" t="n"/>
      <c r="G2" s="9" t="inlineStr">
        <is>
          <t>ASTM D1143</t>
        </is>
      </c>
    </row>
    <row r="3">
      <c r="A3" s="2">
        <f>IF(ISNA(VLOOKUP(B3,AssociatedElements!B$2:B$999,1,FALSE)),"Not used","")</f>
        <v/>
      </c>
      <c r="B3" s="13" t="inlineStr">
        <is>
          <t>rapid_load_test</t>
        </is>
      </c>
      <c r="C3" s="13" t="inlineStr">
        <is>
          <t>Rapid load test</t>
        </is>
      </c>
      <c r="D3" s="14" t="inlineStr">
        <is>
          <t>An axial load test applying load over roughly one to several seconds, faster than a static test and slower than a dynamic impact test, per ASTM D7383 or equivalent.</t>
        </is>
      </c>
      <c r="E3" s="13" t="inlineStr">
        <is>
          <t>string</t>
        </is>
      </c>
      <c r="F3" s="13" t="n"/>
      <c r="G3" s="9" t="inlineStr">
        <is>
          <t>ASTM D7383</t>
        </is>
      </c>
    </row>
    <row r="4">
      <c r="A4" s="2">
        <f>IF(ISNA(VLOOKUP(B4,AssociatedElements!B$2:B$999,1,FALSE)),"Not used","")</f>
        <v/>
      </c>
      <c r="B4" t="inlineStr">
        <is>
          <t>dynamic_load_test</t>
        </is>
      </c>
      <c r="C4" t="inlineStr">
        <is>
          <t>High-strain dynamic load test</t>
        </is>
      </c>
      <c r="D4" t="inlineStr">
        <is>
          <t>An axial load test in which the element is struck by an impact device and force and velocity are measured to estimate capacity by wave-equation analysis, per ASTM D4945 or equivalent.</t>
        </is>
      </c>
      <c r="E4" t="inlineStr">
        <is>
          <t>string</t>
        </is>
      </c>
      <c r="G4" s="9" t="inlineStr">
        <is>
          <t>ASTM D4945</t>
        </is>
      </c>
    </row>
    <row r="5">
      <c r="A5" s="2">
        <f>IF(ISNA(VLOOKUP(B5,AssociatedElements!B$2:B$999,1,FALSE)),"Not used","")</f>
        <v/>
      </c>
      <c r="B5" s="13" t="inlineStr">
        <is>
          <t>pile_integrity_test</t>
        </is>
      </c>
      <c r="C5" s="13" t="inlineStr">
        <is>
          <t>Pile integrity test (PIT)</t>
        </is>
      </c>
      <c r="D5" s="14" t="inlineStr">
        <is>
          <t>A low-strain impact (pulse-echo or transient-response) test used to detect discontinuities, necking or changes in cross-section along the length of a completed pile or column, per ASTM D5882 or equivalent.</t>
        </is>
      </c>
      <c r="E5" s="13" t="inlineStr">
        <is>
          <t>string</t>
        </is>
      </c>
      <c r="F5" s="13" t="n"/>
      <c r="G5" s="9" t="inlineStr">
        <is>
          <t>ASTM D5882</t>
        </is>
      </c>
    </row>
    <row r="6">
      <c r="A6" s="2">
        <f>IF(ISNA(VLOOKUP(B6,AssociatedElements!B$2:B$999,1,FALSE)),"Not used","")</f>
        <v/>
      </c>
      <c r="B6" t="inlineStr">
        <is>
          <t>lateral_load_test</t>
        </is>
      </c>
      <c r="C6" s="16" t="inlineStr">
        <is>
          <t>Lateral load test</t>
        </is>
      </c>
      <c r="D6" s="16" t="inlineStr">
        <is>
          <t>A test applying lateral load to the element and measuring lateral load-deflection response, per ASTM D3966 or equivalent.</t>
        </is>
      </c>
      <c r="E6" s="17" t="inlineStr">
        <is>
          <t>string</t>
        </is>
      </c>
      <c r="G6" s="9" t="inlineStr">
        <is>
          <t>ASTM D3966</t>
        </is>
      </c>
    </row>
    <row r="7">
      <c r="A7" s="2">
        <f>IF(ISNA(VLOOKUP(B7,AssociatedElements!B$2:B$999,1,FALSE)),"Not used","")</f>
        <v/>
      </c>
      <c r="B7" t="inlineStr">
        <is>
          <t>plate_load_test</t>
        </is>
      </c>
      <c r="C7" t="inlineStr">
        <is>
          <t>Plate load test</t>
        </is>
      </c>
      <c r="D7" t="inlineStr">
        <is>
          <t>A plate-bearing load test on a single deep foundation element head, measuring ground or platform stiffness rather than the element's own axial capacity, per ASTM D1194 (withdrawn 2003, still in practical use), ASTM D1195/D1196, or DIN 18134.</t>
        </is>
      </c>
      <c r="E7" t="inlineStr">
        <is>
          <t>string</t>
        </is>
      </c>
      <c r="G7" s="9" t="inlineStr">
        <is>
          <t>ASTM D1196</t>
        </is>
      </c>
    </row>
    <row r="8">
      <c r="A8" s="2">
        <f>IF(ISNA(VLOOKUP(B8,AssociatedElements!B$2:B$999,1,FALSE)),"Not used","")</f>
        <v/>
      </c>
      <c r="B8" t="inlineStr">
        <is>
          <t>zone_load_test</t>
        </is>
      </c>
      <c r="C8" t="inlineStr">
        <is>
          <t>Zone load test</t>
        </is>
      </c>
      <c r="D8" t="inlineStr">
        <is>
          <t>A large-plate load test on a load transfer platform over a group of columns, treating the group and the intervening soil as a composite rather than testing one element - applied to the platform as a sampling feature, not to a pile. Per BS 8006-1 (which requires the test), typically executed to ASTM D1195/D1196 or DIN 18134's methodology.</t>
        </is>
      </c>
      <c r="E8" t="inlineStr">
        <is>
          <t>string</t>
        </is>
      </c>
      <c r="G8" s="9" t="inlineStr">
        <is>
          <t>BS 8006-1</t>
        </is>
      </c>
    </row>
    <row r="9">
      <c r="A9" s="2">
        <f>IF(ISNA(VLOOKUP(B9,AssociatedElements!B$2:B$999,1,FALSE)),"Not used","")</f>
        <v/>
      </c>
      <c r="B9" t="inlineStr">
        <is>
          <t>thermal_integrity_profiling</t>
        </is>
      </c>
      <c r="C9" s="16" t="inlineStr">
        <is>
          <t>Thermal integrity profiling</t>
        </is>
      </c>
      <c r="D9" s="16" t="inlineStr">
        <is>
          <t>A thermal integrity test that relates the heat of hydration generated by curing concrete along a completed element's length to its as-built cross-section and continuity, per ASTM D7949.</t>
        </is>
      </c>
      <c r="E9" s="17" t="inlineStr">
        <is>
          <t>string</t>
        </is>
      </c>
      <c r="G9" s="9" t="inlineStr">
        <is>
          <t>ASTM D7949</t>
        </is>
      </c>
    </row>
    <row r="10">
      <c r="A10" s="2">
        <f>IF(ISNA(VLOOKUP(B10,AssociatedElements!B$2:B$999,1,FALSE)),"Not used","")</f>
        <v/>
      </c>
      <c r="B10" s="13" t="inlineStr">
        <is>
          <t>aggregate_abrasion_value_test</t>
        </is>
      </c>
      <c r="C10" s="13" t="inlineStr">
        <is>
          <t>Aggregate abrasion value test</t>
        </is>
      </c>
      <c r="D10" s="14" t="inlineStr">
        <is>
          <t>Measures the resistance of an aggregate to surface wear, as the percentage mass loss of chippings pressed against a rotating steel disc with sand as abrasive, after 500 revolutions.</t>
        </is>
      </c>
      <c r="E10" s="13" t="inlineStr">
        <is>
          <t>string</t>
        </is>
      </c>
      <c r="F10" s="13" t="n"/>
      <c r="G10" s="9" t="inlineStr">
        <is>
          <t>DIGGS</t>
        </is>
      </c>
    </row>
    <row r="11">
      <c r="A11" s="2">
        <f>IF(ISNA(VLOOKUP(B11,AssociatedElements!B$2:B$999,1,FALSE)),"Not used","")</f>
        <v/>
      </c>
      <c r="B11" s="13" t="inlineStr">
        <is>
          <t>aggregate_crushing_value_test</t>
        </is>
      </c>
      <c r="C11" s="13" t="inlineStr">
        <is>
          <t>Aggregate crushing value test</t>
        </is>
      </c>
      <c r="D11" s="14" t="inlineStr">
        <is>
          <t>Gives a relative measure of an aggregate's resistance to crushing under a gradually applied compressive load, as the percentage of fines passing the specified sieve.</t>
        </is>
      </c>
      <c r="E11" s="13" t="inlineStr">
        <is>
          <t>string</t>
        </is>
      </c>
      <c r="F11" s="13" t="n"/>
      <c r="G11" s="9" t="inlineStr">
        <is>
          <t>DIGGS</t>
        </is>
      </c>
    </row>
    <row r="12">
      <c r="A12" s="2">
        <f>IF(ISNA(VLOOKUP(B12,AssociatedElements!B$2:B$999,1,FALSE)),"Not used","")</f>
        <v/>
      </c>
      <c r="B12" s="13" t="inlineStr">
        <is>
          <t>aggregate_elongation_index_test</t>
        </is>
      </c>
      <c r="C12" s="13" t="inlineStr">
        <is>
          <t>Aggregate elongation index test</t>
        </is>
      </c>
      <c r="D12" s="14" t="inlineStr">
        <is>
          <t>Percentage by weight of aggregate particles whose greatest dimension is 1.8 times their mean dimension, for aggregates larger than 6.3 mm.</t>
        </is>
      </c>
      <c r="E12" s="13" t="inlineStr">
        <is>
          <t>string</t>
        </is>
      </c>
      <c r="F12" s="13" t="n"/>
      <c r="G12" s="9" t="inlineStr">
        <is>
          <t>DIGGS</t>
        </is>
      </c>
    </row>
    <row r="13">
      <c r="A13" s="2">
        <f>IF(ISNA(VLOOKUP(B13,AssociatedElements!B$2:B$999,1,FALSE)),"Not used","")</f>
        <v/>
      </c>
      <c r="B13" s="13" t="inlineStr">
        <is>
          <t>aggregate_flakiness_index_test</t>
        </is>
      </c>
      <c r="C13" s="13" t="inlineStr">
        <is>
          <t>Aggregate flakiness index test</t>
        </is>
      </c>
      <c r="D13" s="14" t="inlineStr">
        <is>
          <t>Percentage by weight of aggregate particles whose least dimension is less than 0.6 times their mean size.</t>
        </is>
      </c>
      <c r="E13" s="13" t="inlineStr">
        <is>
          <t>string</t>
        </is>
      </c>
      <c r="F13" s="13" t="n"/>
      <c r="G13" s="9" t="inlineStr">
        <is>
          <t>DIGGS</t>
        </is>
      </c>
    </row>
    <row r="14">
      <c r="A14" s="2">
        <f>IF(ISNA(VLOOKUP(B14,AssociatedElements!B$2:B$999,1,FALSE)),"Not used","")</f>
        <v/>
      </c>
      <c r="B14" s="13" t="inlineStr">
        <is>
          <t>aggregate_impact_value_test</t>
        </is>
      </c>
      <c r="C14" s="13" t="inlineStr">
        <is>
          <t>Aggregate impact value test</t>
        </is>
      </c>
      <c r="D14" s="14" t="inlineStr">
        <is>
          <t>Measures the resistance of an aggregate to impact loading, as the percentage of crushed material passing a 2.36 mm sieve after a standard hammer impact.</t>
        </is>
      </c>
      <c r="E14" s="13" t="inlineStr">
        <is>
          <t>string</t>
        </is>
      </c>
      <c r="F14" s="13" t="n"/>
      <c r="G14" s="9" t="inlineStr">
        <is>
          <t>DIGGS</t>
        </is>
      </c>
    </row>
    <row r="15">
      <c r="A15" s="2">
        <f>IF(ISNA(VLOOKUP(B15,AssociatedElements!B$2:B$999,1,FALSE)),"Not used","")</f>
        <v/>
      </c>
      <c r="B15" s="13" t="inlineStr">
        <is>
          <t>aggregate_polished_stone_value_test</t>
        </is>
      </c>
      <c r="C15" s="18" t="inlineStr">
        <is>
          <t>Aggregate polished stone value test</t>
        </is>
      </c>
      <c r="D15" s="19" t="inlineStr">
        <is>
          <t>Measures the resistance of an aggregate to polishing, established by a standard polishing process and then a portable skid resistance test.</t>
        </is>
      </c>
      <c r="E15" s="18" t="inlineStr">
        <is>
          <t>string</t>
        </is>
      </c>
      <c r="F15" s="18" t="n"/>
      <c r="G15" s="9" t="inlineStr">
        <is>
          <t>DIGGS</t>
        </is>
      </c>
    </row>
    <row r="16">
      <c r="A16" s="2">
        <f>IF(ISNA(VLOOKUP(B16,AssociatedElements!B$2:B$999,1,FALSE)),"Not used","")</f>
        <v/>
      </c>
      <c r="B16" s="13" t="inlineStr">
        <is>
          <t>aggregate_slake_durability_test</t>
        </is>
      </c>
      <c r="C16" s="18" t="inlineStr">
        <is>
          <t>Aggregate slake durability test</t>
        </is>
      </c>
      <c r="D16" s="19" t="inlineStr">
        <is>
          <t>Slake durability index of rock specimens, predicting long-term durability and weathering behaviour of a rock type and the effect of water on its degradation.</t>
        </is>
      </c>
      <c r="E16" s="18" t="inlineStr">
        <is>
          <t>string</t>
        </is>
      </c>
      <c r="F16" s="18" t="n"/>
      <c r="G16" s="9" t="inlineStr">
        <is>
          <t>DIGGS</t>
        </is>
      </c>
    </row>
    <row r="17">
      <c r="A17" s="2">
        <f>IF(ISNA(VLOOKUP(B17,AssociatedElements!B$2:B$999,1,FALSE)),"Not used","")</f>
        <v/>
      </c>
      <c r="B17" s="13" t="inlineStr">
        <is>
          <t>aggregate_soundness_test</t>
        </is>
      </c>
      <c r="C17" s="18" t="inlineStr">
        <is>
          <t>Aggregate soundness test</t>
        </is>
      </c>
      <c r="D17" s="19" t="inlineStr">
        <is>
          <t>Accelerated weathering test: aggregate is cycled through wetting in a saturated sodium or magnesium sulphate solution and drying, and the loss of undersized material is determined by sieving.</t>
        </is>
      </c>
      <c r="E17" s="18" t="inlineStr">
        <is>
          <t>string</t>
        </is>
      </c>
      <c r="F17" s="18" t="n"/>
      <c r="G17" s="9" t="inlineStr">
        <is>
          <t>DIGGS</t>
        </is>
      </c>
    </row>
    <row r="18">
      <c r="A18" s="2">
        <f>IF(ISNA(VLOOKUP(B18,AssociatedElements!B$2:B$999,1,FALSE)),"Not used","")</f>
        <v/>
      </c>
      <c r="B18" s="13" t="inlineStr">
        <is>
          <t>aggregate_ten_percent_fines_test</t>
        </is>
      </c>
      <c r="C18" s="18" t="inlineStr">
        <is>
          <t>Aggregate ten percent fines test</t>
        </is>
      </c>
      <c r="D18" s="19" t="inlineStr">
        <is>
          <t>Produces the ten percent fines value (TPFV) of an aggregate.</t>
        </is>
      </c>
      <c r="E18" s="18" t="inlineStr">
        <is>
          <t>string</t>
        </is>
      </c>
      <c r="F18" s="18" t="n"/>
      <c r="G18" s="9" t="inlineStr">
        <is>
          <t>DIGGS</t>
        </is>
      </c>
    </row>
    <row r="19">
      <c r="A19" s="2">
        <f>IF(ISNA(VLOOKUP(B19,AssociatedElements!B$2:B$999,1,FALSE)),"Not used","")</f>
        <v/>
      </c>
      <c r="B19" s="13" t="inlineStr">
        <is>
          <t>aggregate_water_absorption_test</t>
        </is>
      </c>
      <c r="C19" s="18" t="inlineStr">
        <is>
          <t>Aggregate water absorption test</t>
        </is>
      </c>
      <c r="D19" s="19" t="inlineStr">
        <is>
          <t>Water absorption of an aggregate, an indication of its porosity and of the strength it can be expected to have.</t>
        </is>
      </c>
      <c r="E19" s="18" t="inlineStr">
        <is>
          <t>string</t>
        </is>
      </c>
      <c r="F19" s="18" t="n"/>
      <c r="G19" s="9" t="inlineStr">
        <is>
          <t>DIGGS</t>
        </is>
      </c>
    </row>
    <row r="20">
      <c r="A20" s="2">
        <f>IF(ISNA(VLOOKUP(B20,AssociatedElements!B$2:B$999,1,FALSE)),"Not used","")</f>
        <v/>
      </c>
      <c r="B20" s="13" t="inlineStr">
        <is>
          <t>atterberg_limits_test</t>
        </is>
      </c>
      <c r="C20" s="18" t="inlineStr">
        <is>
          <t>Atterberg limits test</t>
        </is>
      </c>
      <c r="D20" s="19" t="inlineStr">
        <is>
          <t>Boundary moisture contents between the solid, semi-solid, plastic and liquid states of a fine-grained soil, which distinguish silts from clays and the types of each.</t>
        </is>
      </c>
      <c r="E20" s="18" t="inlineStr">
        <is>
          <t>string</t>
        </is>
      </c>
      <c r="F20" s="18" t="n"/>
      <c r="G20" s="9" t="inlineStr">
        <is>
          <t>DIGGS</t>
        </is>
      </c>
    </row>
    <row r="21">
      <c r="A21" s="2">
        <f>IF(ISNA(VLOOKUP(B21,AssociatedElements!B$2:B$999,1,FALSE)),"Not used","")</f>
        <v/>
      </c>
      <c r="B21" s="13" t="inlineStr">
        <is>
          <t>bleed_test</t>
        </is>
      </c>
      <c r="C21" s="18" t="inlineStr">
        <is>
          <t>Grout bleed test</t>
        </is>
      </c>
      <c r="D21" s="19" t="inlineStr">
        <is>
          <t>Measures the degree to which solid particles of a grout mix separate from the fluid, forming a layer of clear water at the surface.</t>
        </is>
      </c>
      <c r="E21" s="18" t="inlineStr">
        <is>
          <t>string</t>
        </is>
      </c>
      <c r="F21" s="18" t="n"/>
      <c r="G21" s="9" t="inlineStr">
        <is>
          <t>DIGGS</t>
        </is>
      </c>
    </row>
    <row r="22">
      <c r="A22" s="2">
        <f>IF(ISNA(VLOOKUP(B22,AssociatedElements!B$2:B$999,1,FALSE)),"Not used","")</f>
        <v/>
      </c>
      <c r="B22" s="13" t="inlineStr">
        <is>
          <t>chalk_crushing_value_test</t>
        </is>
      </c>
      <c r="C22" s="18" t="inlineStr">
        <is>
          <t>Chalk crushing value test</t>
        </is>
      </c>
      <c r="D22" s="19" t="inlineStr">
        <is>
          <t>Rate at which a sample of chalk lumps crushes under impacts from a freefalling rammer, used with the saturation moisture content to classify chalk as fill material.</t>
        </is>
      </c>
      <c r="E22" s="18" t="inlineStr">
        <is>
          <t>string</t>
        </is>
      </c>
      <c r="F22" s="18" t="n"/>
      <c r="G22" s="9" t="inlineStr">
        <is>
          <t>DIGGS</t>
        </is>
      </c>
    </row>
    <row r="23">
      <c r="A23" s="2">
        <f>IF(ISNA(VLOOKUP(B23,AssociatedElements!B$2:B$999,1,FALSE)),"Not used","")</f>
        <v/>
      </c>
      <c r="B23" s="13" t="inlineStr">
        <is>
          <t>consolidation_test</t>
        </is>
      </c>
      <c r="C23" s="18" t="inlineStr">
        <is>
          <t>Consolidation test</t>
        </is>
      </c>
      <c r="D23" s="19" t="inlineStr">
        <is>
          <t>Magnitude and rate of volume decrease of a laterally confined soil specimen under increasing vertical pressure, giving the compression and recompression indices and the preconsolidation pressure.</t>
        </is>
      </c>
      <c r="E23" s="18" t="inlineStr">
        <is>
          <t>string</t>
        </is>
      </c>
      <c r="F23" s="18" t="n"/>
      <c r="G23" s="9" t="inlineStr">
        <is>
          <t>DIGGS</t>
        </is>
      </c>
    </row>
    <row r="24">
      <c r="A24" s="2">
        <f>IF(ISNA(VLOOKUP(B24,AssociatedElements!B$2:B$999,1,FALSE)),"Not used","")</f>
        <v/>
      </c>
      <c r="B24" t="inlineStr">
        <is>
          <t>direct_shear_test</t>
        </is>
      </c>
      <c r="C24" t="inlineStr">
        <is>
          <t>Direct shear test</t>
        </is>
      </c>
      <c r="D24" s="16" t="inlineStr">
        <is>
          <t>Consolidated drained or undrained shear strength of a soil, from deforming a specimen at a controlled rate on or near a single shear plane.</t>
        </is>
      </c>
      <c r="E24" t="inlineStr">
        <is>
          <t>string</t>
        </is>
      </c>
      <c r="G24" s="9" t="inlineStr">
        <is>
          <t>DIGGS</t>
        </is>
      </c>
    </row>
    <row r="25">
      <c r="A25" s="2">
        <f>IF(ISNA(VLOOKUP(B25,AssociatedElements!B$2:B$999,1,FALSE)),"Not used","")</f>
        <v/>
      </c>
      <c r="B25" s="13" t="inlineStr">
        <is>
          <t>driven_penetration_test</t>
        </is>
      </c>
      <c r="C25" s="13" t="inlineStr">
        <is>
          <t>Driven penetration test</t>
        </is>
      </c>
      <c r="D25" t="inlineStr">
        <is>
          <t>In-situ test in which a rod, with or without a sampler, is driven by impact hammer; includes the Standard Penetration Test and the Becker hammer test.</t>
        </is>
      </c>
      <c r="E25" s="13" t="inlineStr">
        <is>
          <t>string</t>
        </is>
      </c>
      <c r="F25" s="13" t="n"/>
      <c r="G25" s="9" t="inlineStr">
        <is>
          <t>DIGGS</t>
        </is>
      </c>
    </row>
    <row r="26">
      <c r="A26" s="2">
        <f>IF(ISNA(VLOOKUP(B26,AssociatedElements!B$2:B$999,1,FALSE)),"Not used","")</f>
        <v/>
      </c>
      <c r="B26" s="13" t="inlineStr">
        <is>
          <t>dynamic_probe_test</t>
        </is>
      </c>
      <c r="C26" s="13" t="inlineStr">
        <is>
          <t>Dynamic probe test</t>
        </is>
      </c>
      <c r="D26" t="inlineStr">
        <is>
          <t>In-situ test in which a probe is driven into the ground by repeated hammer blows, with the blow count recorded for each increment of penetration.</t>
        </is>
      </c>
      <c r="E26" s="13" t="inlineStr">
        <is>
          <t>string</t>
        </is>
      </c>
      <c r="F26" s="13" t="n"/>
      <c r="G26" s="9" t="inlineStr">
        <is>
          <t>DIGGS</t>
        </is>
      </c>
    </row>
    <row r="27">
      <c r="A27" s="2">
        <f>IF(ISNA(VLOOKUP(B27,AssociatedElements!B$2:B$999,1,FALSE)),"Not used","")</f>
        <v/>
      </c>
      <c r="B27" s="13" t="inlineStr">
        <is>
          <t>environmental_screening_test</t>
        </is>
      </c>
      <c r="C27" s="13" t="inlineStr">
        <is>
          <t>Environmental screening test</t>
        </is>
      </c>
      <c r="D27" s="15" t="inlineStr">
        <is>
          <t>Field screening of a material for environmental contaminants, such as photoionization or flame ionization for gas screening or XRF for metals.</t>
        </is>
      </c>
      <c r="E27" s="13" t="inlineStr">
        <is>
          <t>string</t>
        </is>
      </c>
      <c r="F27" s="13" t="n"/>
      <c r="G27" s="9" t="inlineStr">
        <is>
          <t>DIGGS</t>
        </is>
      </c>
    </row>
    <row r="28">
      <c r="A28" s="2">
        <f>IF(ISNA(VLOOKUP(B28,AssociatedElements!B$2:B$999,1,FALSE)),"Not used","")</f>
        <v/>
      </c>
      <c r="B28" s="13" t="inlineStr">
        <is>
          <t>flat_plate_dilatometer_test</t>
        </is>
      </c>
      <c r="C28" s="13" t="inlineStr">
        <is>
          <t>Flat plate dilatometer test</t>
        </is>
      </c>
      <c r="D28" s="14" t="inlineStr">
        <is>
          <t>In-situ test in which a flat blade is pushed into the soil and the gas pressure needed to expand a membrane against the soil is measured at two set deflections.</t>
        </is>
      </c>
      <c r="E28" s="13" t="inlineStr">
        <is>
          <t>string</t>
        </is>
      </c>
      <c r="F28" s="13" t="n"/>
      <c r="G28" s="9" t="inlineStr">
        <is>
          <t>DIGGS</t>
        </is>
      </c>
    </row>
    <row r="29">
      <c r="A29" s="2">
        <f>IF(ISNA(VLOOKUP(B29,AssociatedElements!B$2:B$999,1,FALSE)),"Not used","")</f>
        <v/>
      </c>
      <c r="B29" s="13" t="inlineStr">
        <is>
          <t>flow_cone_test</t>
        </is>
      </c>
      <c r="C29" s="13" t="inlineStr">
        <is>
          <t>Grout flow cone test</t>
        </is>
      </c>
      <c r="D29" s="14" t="inlineStr">
        <is>
          <t>Consistency of a grout mix, as the time for a fixed volume of grout to flow through a flow cone.</t>
        </is>
      </c>
      <c r="E29" s="13" t="inlineStr">
        <is>
          <t>string</t>
        </is>
      </c>
      <c r="F29" s="13" t="n"/>
      <c r="G29" s="9" t="inlineStr">
        <is>
          <t>DIGGS</t>
        </is>
      </c>
    </row>
    <row r="30">
      <c r="A30" s="2">
        <f>IF(ISNA(VLOOKUP(B30,AssociatedElements!B$2:B$999,1,FALSE)),"Not used","")</f>
        <v/>
      </c>
      <c r="B30" s="13" t="inlineStr">
        <is>
          <t>frost_susceptibility_test</t>
        </is>
      </c>
      <c r="C30" s="13" t="inlineStr">
        <is>
          <t>Frost susceptibility test</t>
        </is>
      </c>
      <c r="D30" s="14" t="inlineStr">
        <is>
          <t>Degree of frost susceptibility of unbound sub-base and base materials for pavements.</t>
        </is>
      </c>
      <c r="E30" s="13" t="inlineStr">
        <is>
          <t>string</t>
        </is>
      </c>
      <c r="F30" s="13" t="n"/>
      <c r="G30" s="9" t="inlineStr">
        <is>
          <t>DIGGS</t>
        </is>
      </c>
    </row>
    <row r="31">
      <c r="A31" s="2">
        <f>IF(ISNA(VLOOKUP(B31,AssociatedElements!B$2:B$999,1,FALSE)),"Not used","")</f>
        <v/>
      </c>
      <c r="B31" s="13" t="inlineStr">
        <is>
          <t>gp_field_procedure</t>
        </is>
      </c>
      <c r="C31" s="18" t="inlineStr">
        <is>
          <t>Geophysical field procedure</t>
        </is>
      </c>
      <c r="D31" s="19" t="inlineStr">
        <is>
          <t>Components of a geophysical field survey: receiver and source equipment, data acquisition system, recording parameters, and source-receiver or platform geometry.</t>
        </is>
      </c>
      <c r="E31" s="18" t="inlineStr">
        <is>
          <t>string</t>
        </is>
      </c>
      <c r="F31" s="18" t="n"/>
      <c r="G31" s="9" t="inlineStr">
        <is>
          <t>DIGGS</t>
        </is>
      </c>
    </row>
    <row r="32">
      <c r="A32" s="2">
        <f>IF(ISNA(VLOOKUP(B32,AssociatedElements!B$2:B$999,1,FALSE)),"Not used","")</f>
        <v/>
      </c>
      <c r="B32" s="13" t="inlineStr">
        <is>
          <t>geophysical_processing</t>
        </is>
      </c>
      <c r="C32" s="18" t="inlineStr">
        <is>
          <t>Geophysical processing</t>
        </is>
      </c>
      <c r="D32" s="19" t="inlineStr">
        <is>
          <t>Method or methods used to process geophysical field data into a processed set of results.</t>
        </is>
      </c>
      <c r="E32" s="18" t="inlineStr">
        <is>
          <t>string</t>
        </is>
      </c>
      <c r="F32" s="18" t="n"/>
      <c r="G32" s="9" t="inlineStr">
        <is>
          <t>DIGGS</t>
        </is>
      </c>
    </row>
    <row r="33">
      <c r="A33" s="2">
        <f>IF(ISNA(VLOOKUP(B33,AssociatedElements!B$2:B$999,1,FALSE)),"Not used","")</f>
        <v/>
      </c>
      <c r="B33" s="13" t="inlineStr">
        <is>
          <t>in_situ_penetrometer_test</t>
        </is>
      </c>
      <c r="C33" s="18" t="inlineStr">
        <is>
          <t>In-situ penetrometer test</t>
        </is>
      </c>
      <c r="D33" s="19" t="inlineStr">
        <is>
          <t>In-situ penetration test that gives an estimate of undrained shear strength.</t>
        </is>
      </c>
      <c r="E33" s="18" t="inlineStr">
        <is>
          <t>string</t>
        </is>
      </c>
      <c r="F33" s="18" t="n"/>
      <c r="G33" s="9" t="inlineStr">
        <is>
          <t>DIGGS</t>
        </is>
      </c>
    </row>
    <row r="34">
      <c r="A34" s="2">
        <f>IF(ISNA(VLOOKUP(B34,AssociatedElements!B$2:B$999,1,FALSE)),"Not used","")</f>
        <v/>
      </c>
      <c r="B34" s="13" t="inlineStr">
        <is>
          <t>insitu_cbr_test</t>
        </is>
      </c>
      <c r="C34" s="18" t="inlineStr">
        <is>
          <t>In-situ California bearing ratio test</t>
        </is>
      </c>
      <c r="D34" s="19" t="inlineStr">
        <is>
          <t>Pressure to penetrate a soil in place with a standard plunger, divided by the pressure for an equal penetration in standard crushed rock, to evaluate the strength of road subgrades and basecourses.</t>
        </is>
      </c>
      <c r="E34" s="18" t="inlineStr">
        <is>
          <t>string</t>
        </is>
      </c>
      <c r="F34" s="18" t="n"/>
      <c r="G34" s="9" t="inlineStr">
        <is>
          <t>DIGGS</t>
        </is>
      </c>
    </row>
    <row r="35">
      <c r="A35" s="2">
        <f>IF(ISNA(VLOOKUP(B35,AssociatedElements!B$2:B$999,1,FALSE)),"Not used","")</f>
        <v/>
      </c>
      <c r="B35" s="13" t="inlineStr">
        <is>
          <t>insitu_density_test</t>
        </is>
      </c>
      <c r="C35" s="18" t="inlineStr">
        <is>
          <t>In-situ density test</t>
        </is>
      </c>
      <c r="D35" s="19" t="inlineStr">
        <is>
          <t>In-place density and unit weight of a soil, for example by the sand cone apparatus.</t>
        </is>
      </c>
      <c r="E35" s="18" t="inlineStr">
        <is>
          <t>string</t>
        </is>
      </c>
      <c r="F35" s="18" t="n"/>
      <c r="G35" s="9" t="inlineStr">
        <is>
          <t>DIGGS</t>
        </is>
      </c>
    </row>
    <row r="36">
      <c r="A36" s="2">
        <f>IF(ISNA(VLOOKUP(B36,AssociatedElements!B$2:B$999,1,FALSE)),"Not used","")</f>
        <v/>
      </c>
      <c r="B36" s="13" t="inlineStr">
        <is>
          <t>insitu_permeability_test</t>
        </is>
      </c>
      <c r="C36" s="18" t="inlineStr">
        <is>
          <t>In-situ permeability test</t>
        </is>
      </c>
      <c r="D36" s="19" t="inlineStr">
        <is>
          <t>In-situ permeability of a soil by constant head, falling head or packer methods.</t>
        </is>
      </c>
      <c r="E36" s="18" t="inlineStr">
        <is>
          <t>string</t>
        </is>
      </c>
      <c r="F36" s="18" t="n"/>
      <c r="G36" s="9" t="inlineStr">
        <is>
          <t>DIGGS</t>
        </is>
      </c>
    </row>
    <row r="37">
      <c r="A37" s="2">
        <f>IF(ISNA(VLOOKUP(B37,AssociatedElements!B$2:B$999,1,FALSE)),"Not used","")</f>
        <v/>
      </c>
      <c r="B37" t="inlineStr">
        <is>
          <t>insitu_resistivity_test</t>
        </is>
      </c>
      <c r="C37" t="inlineStr">
        <is>
          <t>In-situ resistivity test</t>
        </is>
      </c>
      <c r="D37" t="inlineStr">
        <is>
          <t>Multi-electrode electrical resistivity measurement on the ground surface or an in-place material, from which the apparent resistivity is computed for the array used.</t>
        </is>
      </c>
      <c r="E37" t="inlineStr">
        <is>
          <t>string</t>
        </is>
      </c>
      <c r="G37" s="9" t="inlineStr">
        <is>
          <t>DIGGS</t>
        </is>
      </c>
    </row>
    <row r="38">
      <c r="A38">
        <f>IF(ISNA(VLOOKUP(B38,AssociatedElements!B$2:B$999,1,FALSE)),"Not used","")</f>
        <v/>
      </c>
      <c r="B38" t="inlineStr">
        <is>
          <t>insitu_vane_test</t>
        </is>
      </c>
      <c r="C38" t="inlineStr">
        <is>
          <t>In-situ vane shear test</t>
        </is>
      </c>
      <c r="D38" t="inlineStr">
        <is>
          <t>In-place shear resistance of soft, saturated clays, from the torque needed to rotate a vane in the soil.</t>
        </is>
      </c>
      <c r="E38" t="inlineStr">
        <is>
          <t>string</t>
        </is>
      </c>
      <c r="G38" t="inlineStr">
        <is>
          <t>DIGGS</t>
        </is>
      </c>
    </row>
    <row r="39">
      <c r="A39">
        <f>IF(ISNA(VLOOKUP(B39,AssociatedElements!B$2:B$999,1,FALSE)),"Not used","")</f>
        <v/>
      </c>
      <c r="B39" t="inlineStr">
        <is>
          <t>lab_cbr_test</t>
        </is>
      </c>
      <c r="C39" t="inlineStr">
        <is>
          <t>Laboratory California bearing ratio test</t>
        </is>
      </c>
      <c r="D39" t="inlineStr">
        <is>
          <t>Pressure to penetrate a laboratory soil specimen with a standard plunger, divided by the pressure for an equal penetration in standard crushed rock.</t>
        </is>
      </c>
      <c r="E39" t="inlineStr">
        <is>
          <t>string</t>
        </is>
      </c>
      <c r="G39" t="inlineStr">
        <is>
          <t>DIGGS</t>
        </is>
      </c>
    </row>
    <row r="40">
      <c r="A40">
        <f>IF(ISNA(VLOOKUP(B40,AssociatedElements!B$2:B$999,1,FALSE)),"Not used","")</f>
        <v/>
      </c>
      <c r="B40" t="inlineStr">
        <is>
          <t>lab_chemical_test</t>
        </is>
      </c>
      <c r="C40" t="inlineStr">
        <is>
          <t>Laboratory chemical test</t>
        </is>
      </c>
      <c r="D40" t="inlineStr">
        <is>
          <t>Concentration of a chemical component in a laboratory sample.</t>
        </is>
      </c>
      <c r="E40" t="inlineStr">
        <is>
          <t>string</t>
        </is>
      </c>
      <c r="G40" t="inlineStr">
        <is>
          <t>DIGGS</t>
        </is>
      </c>
    </row>
    <row r="41">
      <c r="A41">
        <f>IF(ISNA(VLOOKUP(B41,AssociatedElements!B$2:B$999,1,FALSE)),"Not used","")</f>
        <v/>
      </c>
      <c r="B41" t="inlineStr">
        <is>
          <t>lab_compaction_test</t>
        </is>
      </c>
      <c r="C41" t="inlineStr">
        <is>
          <t>Laboratory compaction test</t>
        </is>
      </c>
      <c r="D41" t="inlineStr">
        <is>
          <t>Optimum moisture content at which a soil becomes most dense and reaches its maximum dry density.</t>
        </is>
      </c>
      <c r="E41" t="inlineStr">
        <is>
          <t>string</t>
        </is>
      </c>
      <c r="G41" t="inlineStr">
        <is>
          <t>DIGGS</t>
        </is>
      </c>
    </row>
    <row r="42">
      <c r="A42">
        <f>IF(ISNA(VLOOKUP(B42,AssociatedElements!B$2:B$999,1,FALSE)),"Not used","")</f>
        <v/>
      </c>
      <c r="B42" t="inlineStr">
        <is>
          <t>lab_density_test</t>
        </is>
      </c>
      <c r="C42" t="inlineStr">
        <is>
          <t>Laboratory density test</t>
        </is>
      </c>
      <c r="D42" t="inlineStr">
        <is>
          <t>Density (mass per volume) of a laboratory specimen.</t>
        </is>
      </c>
      <c r="E42" t="inlineStr">
        <is>
          <t>string</t>
        </is>
      </c>
      <c r="G42" t="inlineStr">
        <is>
          <t>DIGGS</t>
        </is>
      </c>
    </row>
    <row r="43">
      <c r="A43">
        <f>IF(ISNA(VLOOKUP(B43,AssociatedElements!B$2:B$999,1,FALSE)),"Not used","")</f>
        <v/>
      </c>
      <c r="B43" t="inlineStr">
        <is>
          <t>lab_penetrometer_test</t>
        </is>
      </c>
      <c r="C43" t="inlineStr">
        <is>
          <t>Laboratory penetrometer test</t>
        </is>
      </c>
      <c r="D43" t="inlineStr">
        <is>
          <t>Laboratory penetration test that gives an estimate of undrained shear strength.</t>
        </is>
      </c>
      <c r="E43" t="inlineStr">
        <is>
          <t>string</t>
        </is>
      </c>
      <c r="G43" t="inlineStr">
        <is>
          <t>DIGGS</t>
        </is>
      </c>
    </row>
    <row r="44">
      <c r="A44">
        <f>IF(ISNA(VLOOKUP(B44,AssociatedElements!B$2:B$999,1,FALSE)),"Not used","")</f>
        <v/>
      </c>
      <c r="B44" t="inlineStr">
        <is>
          <t>lab_permeability_test</t>
        </is>
      </c>
      <c r="C44" t="inlineStr">
        <is>
          <t>Laboratory permeability test</t>
        </is>
      </c>
      <c r="D44" t="inlineStr">
        <is>
          <t>Coefficient of permeability of a soil, by constant-head or falling-head testing.</t>
        </is>
      </c>
      <c r="E44" t="inlineStr">
        <is>
          <t>string</t>
        </is>
      </c>
      <c r="G44" t="inlineStr">
        <is>
          <t>DIGGS</t>
        </is>
      </c>
    </row>
    <row r="45">
      <c r="A45">
        <f>IF(ISNA(VLOOKUP(B45,AssociatedElements!B$2:B$999,1,FALSE)),"Not used","")</f>
        <v/>
      </c>
      <c r="B45" t="inlineStr">
        <is>
          <t>lab_resistivity_test</t>
        </is>
      </c>
      <c r="C45" t="inlineStr">
        <is>
          <t>Laboratory resistivity test</t>
        </is>
      </c>
      <c r="D45" t="inlineStr">
        <is>
          <t>Electrical resistivity of a soil measured in the laboratory.</t>
        </is>
      </c>
      <c r="E45" t="inlineStr">
        <is>
          <t>string</t>
        </is>
      </c>
      <c r="G45" t="inlineStr">
        <is>
          <t>DIGGS</t>
        </is>
      </c>
    </row>
    <row r="46">
      <c r="A46">
        <f>IF(ISNA(VLOOKUP(B46,AssociatedElements!B$2:B$999,1,FALSE)),"Not used","")</f>
        <v/>
      </c>
      <c r="B46" t="inlineStr">
        <is>
          <t>lab_thermal_conductivity_test</t>
        </is>
      </c>
      <c r="C46" t="inlineStr">
        <is>
          <t>Laboratory thermal conductivity test</t>
        </is>
      </c>
      <c r="D46" t="inlineStr">
        <is>
          <t>Thermal needle probe test on a specimen removed from a sampling feature: thermal conductivity and its reciprocal, thermal resistivity, from the temperature rise under a known heating current.</t>
        </is>
      </c>
      <c r="E46" t="inlineStr">
        <is>
          <t>string</t>
        </is>
      </c>
      <c r="G46" t="inlineStr">
        <is>
          <t>ASTM D5334</t>
        </is>
      </c>
    </row>
    <row r="47">
      <c r="A47">
        <f>IF(ISNA(VLOOKUP(B47,AssociatedElements!B$2:B$999,1,FALSE)),"Not used","")</f>
        <v/>
      </c>
      <c r="B47" t="inlineStr">
        <is>
          <t>lab_vane_test</t>
        </is>
      </c>
      <c r="C47" t="inlineStr">
        <is>
          <t>Laboratory vane test</t>
        </is>
      </c>
      <c r="D47" t="inlineStr">
        <is>
          <t>Undrained shear strength of a clay specimen, from the torque needed to rotate a four-bladed vane inserted in an intact or remoulded sample.</t>
        </is>
      </c>
      <c r="E47" t="inlineStr">
        <is>
          <t>string</t>
        </is>
      </c>
      <c r="G47" t="inlineStr">
        <is>
          <t>DIGGS</t>
        </is>
      </c>
    </row>
    <row r="48">
      <c r="A48">
        <f>IF(ISNA(VLOOKUP(B48,AssociatedElements!B$2:B$999,1,FALSE)),"Not used","")</f>
        <v/>
      </c>
      <c r="B48" t="inlineStr">
        <is>
          <t>lab_velocity_test</t>
        </is>
      </c>
      <c r="C48" t="inlineStr">
        <is>
          <t>Laboratory shear wave velocity test</t>
        </is>
      </c>
      <c r="D48" t="inlineStr">
        <is>
          <t>Shear wave velocity of a laboratory specimen, measured by resonant column, bender elements, ultrasonics, torsional shear or modified triaxial tests.</t>
        </is>
      </c>
      <c r="E48" t="inlineStr">
        <is>
          <t>string</t>
        </is>
      </c>
      <c r="G48" t="inlineStr">
        <is>
          <t>DIGGS</t>
        </is>
      </c>
    </row>
    <row r="49">
      <c r="A49">
        <f>IF(ISNA(VLOOKUP(B49,AssociatedElements!B$2:B$999,1,FALSE)),"Not used","")</f>
        <v/>
      </c>
      <c r="B49" t="inlineStr">
        <is>
          <t>line_loss_test</t>
        </is>
      </c>
      <c r="C49" t="inlineStr">
        <is>
          <t>Grout line loss test</t>
        </is>
      </c>
      <c r="D49" t="inlineStr">
        <is>
          <t>Pressure loss between the grout pump and the injection point due to friction in the grout lines.</t>
        </is>
      </c>
      <c r="E49" t="inlineStr">
        <is>
          <t>string</t>
        </is>
      </c>
      <c r="G49" t="inlineStr">
        <is>
          <t>DIGGS</t>
        </is>
      </c>
    </row>
    <row r="50">
      <c r="A50">
        <f>IF(ISNA(VLOOKUP(B50,AssociatedElements!B$2:B$999,1,FALSE)),"Not used","")</f>
        <v/>
      </c>
      <c r="B50" t="inlineStr">
        <is>
          <t>linear_shrinkage_test</t>
        </is>
      </c>
      <c r="C50" t="inlineStr">
        <is>
          <t>Linear shrinkage test</t>
        </is>
      </c>
      <c r="D50" t="inlineStr">
        <is>
          <t>Decrease in length of a soil sample on oven drying, starting from a moisture content at the liquid limit.</t>
        </is>
      </c>
      <c r="E50" t="inlineStr">
        <is>
          <t>string</t>
        </is>
      </c>
      <c r="G50" t="inlineStr">
        <is>
          <t>DIGGS</t>
        </is>
      </c>
    </row>
    <row r="51">
      <c r="A51">
        <f>IF(ISNA(VLOOKUP(B51,AssociatedElements!B$2:B$999,1,FALSE)),"Not used","")</f>
        <v/>
      </c>
      <c r="B51" t="inlineStr">
        <is>
          <t>los_angeles_abrasion_test</t>
        </is>
      </c>
      <c r="C51" t="inlineStr">
        <is>
          <t>Los Angeles abrasion test</t>
        </is>
      </c>
      <c r="D51" t="inlineStr">
        <is>
          <t>Toughness and abrasion of a coarse aggregate: a sample is rotated in a steel drum with steel spheres, and the loss passing the specified sieve is reported as a percentage of the original mass.</t>
        </is>
      </c>
      <c r="E51" t="inlineStr">
        <is>
          <t>string</t>
        </is>
      </c>
      <c r="G51" t="inlineStr">
        <is>
          <t>DIGGS</t>
        </is>
      </c>
    </row>
    <row r="52">
      <c r="A52">
        <f>IF(ISNA(VLOOKUP(B52,AssociatedElements!B$2:B$999,1,FALSE)),"Not used","")</f>
        <v/>
      </c>
      <c r="B52" t="inlineStr">
        <is>
          <t>loss_on_ignition_test</t>
        </is>
      </c>
      <c r="C52" t="inlineStr">
        <is>
          <t>Loss on ignition test</t>
        </is>
      </c>
      <c r="D52" t="inlineStr">
        <is>
          <t>Carbon content of a material, from the mass lost on ignition.</t>
        </is>
      </c>
      <c r="E52" t="inlineStr">
        <is>
          <t>string</t>
        </is>
      </c>
      <c r="G52" t="inlineStr">
        <is>
          <t>DIGGS</t>
        </is>
      </c>
    </row>
    <row r="53">
      <c r="A53">
        <f>IF(ISNA(VLOOKUP(B53,AssociatedElements!B$2:B$999,1,FALSE)),"Not used","")</f>
        <v/>
      </c>
      <c r="B53" t="inlineStr">
        <is>
          <t>lugeon_test</t>
        </is>
      </c>
      <c r="C53" t="inlineStr">
        <is>
          <t>Lugeon test</t>
        </is>
      </c>
      <c r="D53" t="inlineStr">
        <is>
          <t>In-situ test estimating the average hydraulic conductivity of a rock formation, also called a water pressure test or packer test.</t>
        </is>
      </c>
      <c r="E53" t="inlineStr">
        <is>
          <t>string</t>
        </is>
      </c>
      <c r="G53" t="inlineStr">
        <is>
          <t>DIGGS</t>
        </is>
      </c>
    </row>
    <row r="54">
      <c r="A54">
        <f>IF(ISNA(VLOOKUP(B54,AssociatedElements!B$2:B$999,1,FALSE)),"Not used","")</f>
        <v/>
      </c>
      <c r="B54" t="inlineStr">
        <is>
          <t>mcv_test</t>
        </is>
      </c>
      <c r="C54" t="inlineStr">
        <is>
          <t>Moisture condition value test</t>
        </is>
      </c>
      <c r="D54" t="inlineStr">
        <is>
          <t>Moisture condition value of a soil: the number of blows of a dropped weight needed to compact a sample at a given moisture content.</t>
        </is>
      </c>
      <c r="E54" t="inlineStr">
        <is>
          <t>string</t>
        </is>
      </c>
      <c r="G54" t="inlineStr">
        <is>
          <t>DIGGS</t>
        </is>
      </c>
    </row>
    <row r="55">
      <c r="A55">
        <f>IF(ISNA(VLOOKUP(B55,AssociatedElements!B$2:B$999,1,FALSE)),"Not used","")</f>
        <v/>
      </c>
      <c r="B55" t="inlineStr">
        <is>
          <t>marsh_funnel_test</t>
        </is>
      </c>
      <c r="C55" t="inlineStr">
        <is>
          <t>Marsh funnel test</t>
        </is>
      </c>
      <c r="D55" t="inlineStr">
        <is>
          <t>Viscosity of a grout mix, measured with a Marsh funnel.</t>
        </is>
      </c>
      <c r="E55" t="inlineStr">
        <is>
          <t>string</t>
        </is>
      </c>
      <c r="G55" t="inlineStr">
        <is>
          <t>DIGGS</t>
        </is>
      </c>
    </row>
    <row r="56">
      <c r="A56">
        <f>IF(ISNA(VLOOKUP(B56,AssociatedElements!B$2:B$999,1,FALSE)),"Not used","")</f>
        <v/>
      </c>
      <c r="B56" t="inlineStr">
        <is>
          <t>material_gradation_test</t>
        </is>
      </c>
      <c r="C56" t="inlineStr">
        <is>
          <t>Material gradation test</t>
        </is>
      </c>
      <c r="D56" t="inlineStr">
        <is>
          <t>Particle size distribution of the coarse fraction (larger than silt) of a material sample, mainly the aggregate gradation of a grout mix.</t>
        </is>
      </c>
      <c r="E56" t="inlineStr">
        <is>
          <t>string</t>
        </is>
      </c>
      <c r="G56" t="inlineStr">
        <is>
          <t>DIGGS</t>
        </is>
      </c>
    </row>
    <row r="57">
      <c r="A57">
        <f>IF(ISNA(VLOOKUP(B57,AssociatedElements!B$2:B$999,1,FALSE)),"Not used","")</f>
        <v/>
      </c>
      <c r="B57" t="inlineStr">
        <is>
          <t>micro_deval_test</t>
        </is>
      </c>
      <c r="C57" t="inlineStr">
        <is>
          <t>Micro-Deval test</t>
        </is>
      </c>
      <c r="D57" t="inlineStr">
        <is>
          <t>Abrasion of an aggregate: the sample is rotated at 100 rpm in a Micro-Deval apparatus for a set time.</t>
        </is>
      </c>
      <c r="E57" t="inlineStr">
        <is>
          <t>string</t>
        </is>
      </c>
      <c r="G57" t="inlineStr">
        <is>
          <t>DIGGS</t>
        </is>
      </c>
    </row>
    <row r="58">
      <c r="A58">
        <f>IF(ISNA(VLOOKUP(B58,AssociatedElements!B$2:B$999,1,FALSE)),"Not used","")</f>
        <v/>
      </c>
      <c r="B58" t="inlineStr">
        <is>
          <t>mud_balance_test</t>
        </is>
      </c>
      <c r="C58" t="inlineStr">
        <is>
          <t>Mud balance test</t>
        </is>
      </c>
      <c r="D58" t="inlineStr">
        <is>
          <t>Density of a drilling or grout fluid, measured with a mud balance.</t>
        </is>
      </c>
      <c r="E58" t="inlineStr">
        <is>
          <t>string</t>
        </is>
      </c>
      <c r="G58" t="inlineStr">
        <is>
          <t>DIGGS</t>
        </is>
      </c>
    </row>
    <row r="59">
      <c r="A59">
        <f>IF(ISNA(VLOOKUP(B59,AssociatedElements!B$2:B$999,1,FALSE)),"Not used","")</f>
        <v/>
      </c>
      <c r="B59" t="inlineStr">
        <is>
          <t>mwd_procedure</t>
        </is>
      </c>
      <c r="C59" t="inlineStr">
        <is>
          <t>Measurement while drilling procedure</t>
        </is>
      </c>
      <c r="D59" t="inlineStr">
        <is>
          <t>Procedure of a measurement-while-drilling measurement, recording drilling parameters as the hole is advanced.</t>
        </is>
      </c>
      <c r="E59" t="inlineStr">
        <is>
          <t>string</t>
        </is>
      </c>
      <c r="G59" t="inlineStr">
        <is>
          <t>DIGGS</t>
        </is>
      </c>
    </row>
    <row r="60">
      <c r="A60">
        <f>IF(ISNA(VLOOKUP(B60,AssociatedElements!B$2:B$999,1,FALSE)),"Not used","")</f>
        <v/>
      </c>
      <c r="B60" t="inlineStr">
        <is>
          <t>organic_matter_by_wet_combustion_test</t>
        </is>
      </c>
      <c r="C60" t="inlineStr">
        <is>
          <t>Organic matter by wet combustion test</t>
        </is>
      </c>
      <c r="D60" t="inlineStr">
        <is>
          <t>Organic matter content of a laboratory sample by wet combustion.</t>
        </is>
      </c>
      <c r="E60" t="inlineStr">
        <is>
          <t>string</t>
        </is>
      </c>
      <c r="G60" t="inlineStr">
        <is>
          <t>AASHTO T 194</t>
        </is>
      </c>
    </row>
    <row r="61">
      <c r="A61">
        <f>IF(ISNA(VLOOKUP(B61,AssociatedElements!B$2:B$999,1,FALSE)),"Not used","")</f>
        <v/>
      </c>
      <c r="B61" t="inlineStr">
        <is>
          <t>particle_size_test</t>
        </is>
      </c>
      <c r="C61" t="inlineStr">
        <is>
          <t>Particle size test</t>
        </is>
      </c>
      <c r="D61" t="inlineStr">
        <is>
          <t>Distribution of particle sizes in a soil, by sieve analysis and/or hydrometer analysis.</t>
        </is>
      </c>
      <c r="E61" t="inlineStr">
        <is>
          <t>string</t>
        </is>
      </c>
      <c r="G61" t="inlineStr">
        <is>
          <t>DIGGS</t>
        </is>
      </c>
    </row>
    <row r="62">
      <c r="A62">
        <f>IF(ISNA(VLOOKUP(B62,AssociatedElements!B$2:B$999,1,FALSE)),"Not used","")</f>
        <v/>
      </c>
      <c r="B62" t="inlineStr">
        <is>
          <t>pocket_penetrometer_test</t>
        </is>
      </c>
      <c r="C62" t="inlineStr">
        <is>
          <t>Pocket penetrometer test</t>
        </is>
      </c>
      <c r="D62" t="inlineStr">
        <is>
          <t>Basic measure of soil strength, dependent on water content and on the type and consistency of the soil, from a pocket penetrometer.</t>
        </is>
      </c>
      <c r="E62" t="inlineStr">
        <is>
          <t>string</t>
        </is>
      </c>
      <c r="G62" t="inlineStr">
        <is>
          <t>DIGGS</t>
        </is>
      </c>
    </row>
    <row r="63">
      <c r="A63">
        <f>IF(ISNA(VLOOKUP(B63,AssociatedElements!B$2:B$999,1,FALSE)),"Not used","")</f>
        <v/>
      </c>
      <c r="B63" t="inlineStr">
        <is>
          <t>point_load_test</t>
        </is>
      </c>
      <c r="C63" t="inlineStr">
        <is>
          <t>Point load test</t>
        </is>
      </c>
      <c r="D63" t="inlineStr">
        <is>
          <t>Point load strength index (Is50) of rock, which correlates with uniaxial compressive strength.</t>
        </is>
      </c>
      <c r="E63" t="inlineStr">
        <is>
          <t>string</t>
        </is>
      </c>
      <c r="G63" t="inlineStr">
        <is>
          <t>DIGGS</t>
        </is>
      </c>
    </row>
    <row r="64">
      <c r="A64">
        <f>IF(ISNA(VLOOKUP(B64,AssociatedElements!B$2:B$999,1,FALSE)),"Not used","")</f>
        <v/>
      </c>
      <c r="B64" t="inlineStr">
        <is>
          <t>pore_pressure_dissipation_test</t>
        </is>
      </c>
      <c r="C64" t="inlineStr">
        <is>
          <t>Pore pressure dissipation test</t>
        </is>
      </c>
      <c r="D64" t="inlineStr">
        <is>
          <t>Made during a static cone penetration test with the probe held stationary: excess pore pressure recorded over time gives the equilibrium pore pressure and estimates of the horizontal coefficients of consolidation and permeability.</t>
        </is>
      </c>
      <c r="E64" t="inlineStr">
        <is>
          <t>string</t>
        </is>
      </c>
      <c r="G64" t="inlineStr">
        <is>
          <t>DIGGS</t>
        </is>
      </c>
    </row>
    <row r="65">
      <c r="A65">
        <f>IF(ISNA(VLOOKUP(B65,AssociatedElements!B$2:B$999,1,FALSE)),"Not used","")</f>
        <v/>
      </c>
      <c r="B65" t="inlineStr">
        <is>
          <t>pressure_filtration_test</t>
        </is>
      </c>
      <c r="C65" t="inlineStr">
        <is>
          <t>Grout pressure filtration test</t>
        </is>
      </c>
      <c r="D65" t="inlineStr">
        <is>
          <t>Filtration behaviour of a grout mix under pressure.</t>
        </is>
      </c>
      <c r="E65" t="inlineStr">
        <is>
          <t>string</t>
        </is>
      </c>
      <c r="G65" t="inlineStr">
        <is>
          <t>DIGGS</t>
        </is>
      </c>
    </row>
    <row r="66">
      <c r="A66">
        <f>IF(ISNA(VLOOKUP(B66,AssociatedElements!B$2:B$999,1,FALSE)),"Not used","")</f>
        <v/>
      </c>
      <c r="B66" t="inlineStr">
        <is>
          <t>pressuremeter_test</t>
        </is>
      </c>
      <c r="C66" t="inlineStr">
        <is>
          <t>Pressuremeter test</t>
        </is>
      </c>
      <c r="D66" t="inlineStr">
        <is>
          <t>Strength and stress-strain properties of soil and soft rock, used for bearing capacity and settlement of foundations and for lateral deformation.</t>
        </is>
      </c>
      <c r="E66" t="inlineStr">
        <is>
          <t>string</t>
        </is>
      </c>
      <c r="G66" t="inlineStr">
        <is>
          <t>DIGGS</t>
        </is>
      </c>
    </row>
    <row r="67">
      <c r="A67">
        <f>IF(ISNA(VLOOKUP(B67,AssociatedElements!B$2:B$999,1,FALSE)),"Not used","")</f>
        <v/>
      </c>
      <c r="B67" t="inlineStr">
        <is>
          <t>pumping_test</t>
        </is>
      </c>
      <c r="C67" t="inlineStr">
        <is>
          <t>Aquifer pumping test</t>
        </is>
      </c>
      <c r="D67" t="inlineStr">
        <is>
          <t>Aquifer evaluation by constant pumping, observing drawdown in observation wells.</t>
        </is>
      </c>
      <c r="E67" t="inlineStr">
        <is>
          <t>string</t>
        </is>
      </c>
      <c r="G67" t="inlineStr">
        <is>
          <t>DIGGS</t>
        </is>
      </c>
    </row>
    <row r="68">
      <c r="A68">
        <f>IF(ISNA(VLOOKUP(B68,AssociatedElements!B$2:B$999,1,FALSE)),"Not used","")</f>
        <v/>
      </c>
      <c r="B68" t="inlineStr">
        <is>
          <t>redox_test</t>
        </is>
      </c>
      <c r="C68" t="inlineStr">
        <is>
          <t>Redox test</t>
        </is>
      </c>
      <c r="D68" t="inlineStr">
        <is>
          <t>Overall reducing or oxidizing capacity of a sample, as redox potential in millivolts relative to a standard hydrogen electrode.</t>
        </is>
      </c>
      <c r="E68" t="inlineStr">
        <is>
          <t>string</t>
        </is>
      </c>
      <c r="G68" t="inlineStr">
        <is>
          <t>DIGGS</t>
        </is>
      </c>
    </row>
    <row r="69">
      <c r="A69">
        <f>IF(ISNA(VLOOKUP(B69,AssociatedElements!B$2:B$999,1,FALSE)),"Not used","")</f>
        <v/>
      </c>
      <c r="B69" t="inlineStr">
        <is>
          <t>relative_density_test</t>
        </is>
      </c>
      <c r="C69" t="inlineStr">
        <is>
          <t>Relative density test</t>
        </is>
      </c>
      <c r="D69" t="inlineStr">
        <is>
          <t>Relative density of a cohesionless soil, as a percentage, from its field void ratio and its maximum and minimum index void ratios.</t>
        </is>
      </c>
      <c r="E69" t="inlineStr">
        <is>
          <t>string</t>
        </is>
      </c>
      <c r="G69" t="inlineStr">
        <is>
          <t>DIGGS</t>
        </is>
      </c>
    </row>
    <row r="70">
      <c r="A70">
        <f>IF(ISNA(VLOOKUP(B70,AssociatedElements!B$2:B$999,1,FALSE)),"Not used","")</f>
        <v/>
      </c>
      <c r="B70" t="inlineStr">
        <is>
          <t>rock_porosity_density_test</t>
        </is>
      </c>
      <c r="C70" t="inlineStr">
        <is>
          <t>Rock porosity and density test</t>
        </is>
      </c>
      <c r="D70" t="inlineStr">
        <is>
          <t>Porosity and density of rock.</t>
        </is>
      </c>
      <c r="E70" t="inlineStr">
        <is>
          <t>string</t>
        </is>
      </c>
      <c r="G70" t="inlineStr">
        <is>
          <t>DIGGS</t>
        </is>
      </c>
    </row>
    <row r="71">
      <c r="A71">
        <f>IF(ISNA(VLOOKUP(B71,AssociatedElements!B$2:B$999,1,FALSE)),"Not used","")</f>
        <v/>
      </c>
      <c r="B71" t="inlineStr">
        <is>
          <t>schmidt_rebound_hardness_test</t>
        </is>
      </c>
      <c r="C71" t="inlineStr">
        <is>
          <t>Schmidt rebound hardness test</t>
        </is>
      </c>
      <c r="D71" t="inlineStr">
        <is>
          <t>Hardness of a test piece from the rebound of a hammer mass launched against an impact plunger, read on a scale of 10 to 100.</t>
        </is>
      </c>
      <c r="E71" t="inlineStr">
        <is>
          <t>string</t>
        </is>
      </c>
      <c r="G71" t="inlineStr">
        <is>
          <t>DIGGS</t>
        </is>
      </c>
    </row>
    <row r="72">
      <c r="A72">
        <f>IF(ISNA(VLOOKUP(B72,AssociatedElements!B$2:B$999,1,FALSE)),"Not used","")</f>
        <v/>
      </c>
      <c r="B72" t="inlineStr">
        <is>
          <t>set_time_test</t>
        </is>
      </c>
      <c r="C72" t="inlineStr">
        <is>
          <t>Grout set time test</t>
        </is>
      </c>
      <c r="D72" t="inlineStr">
        <is>
          <t>Set time of a grout mix.</t>
        </is>
      </c>
      <c r="E72" t="inlineStr">
        <is>
          <t>string</t>
        </is>
      </c>
      <c r="G72" t="inlineStr">
        <is>
          <t>DIGGS</t>
        </is>
      </c>
    </row>
    <row r="73">
      <c r="A73">
        <f>IF(ISNA(VLOOKUP(B73,AssociatedElements!B$2:B$999,1,FALSE)),"Not used","")</f>
        <v/>
      </c>
      <c r="B73" t="inlineStr">
        <is>
          <t>shore_scleroscope_hardness_test</t>
        </is>
      </c>
      <c r="C73" t="inlineStr">
        <is>
          <t>Shore scleroscope hardness test</t>
        </is>
      </c>
      <c r="D73" t="inlineStr">
        <is>
          <t>Hardness from the rebound height of a diamond-tipped hammer dropped in a glass tube onto the specimen, on the Shore scale.</t>
        </is>
      </c>
      <c r="E73" t="inlineStr">
        <is>
          <t>string</t>
        </is>
      </c>
      <c r="G73" t="inlineStr">
        <is>
          <t>DIGGS</t>
        </is>
      </c>
    </row>
    <row r="74">
      <c r="A74">
        <f>IF(ISNA(VLOOKUP(B74,AssociatedElements!B$2:B$999,1,FALSE)),"Not used","")</f>
        <v/>
      </c>
      <c r="B74" t="inlineStr">
        <is>
          <t>shrinkage_test</t>
        </is>
      </c>
      <c r="C74" t="inlineStr">
        <is>
          <t>Grout shrinkage test</t>
        </is>
      </c>
      <c r="D74" t="inlineStr">
        <is>
          <t>Shrinkage of a grout mix.</t>
        </is>
      </c>
      <c r="E74" t="inlineStr">
        <is>
          <t>string</t>
        </is>
      </c>
      <c r="G74" t="inlineStr">
        <is>
          <t>DIGGS</t>
        </is>
      </c>
    </row>
    <row r="75">
      <c r="A75">
        <f>IF(ISNA(VLOOKUP(B75,AssociatedElements!B$2:B$999,1,FALSE)),"Not used","")</f>
        <v/>
      </c>
      <c r="B75" t="inlineStr">
        <is>
          <t>slump_test</t>
        </is>
      </c>
      <c r="C75" t="inlineStr">
        <is>
          <t>Grout slump test</t>
        </is>
      </c>
      <c r="D75" t="inlineStr">
        <is>
          <t>Consistency of a grout mix, from the slump of the mix after its mould is removed.</t>
        </is>
      </c>
      <c r="E75" t="inlineStr">
        <is>
          <t>string</t>
        </is>
      </c>
      <c r="G75" t="inlineStr">
        <is>
          <t>DIGGS</t>
        </is>
      </c>
    </row>
    <row r="76">
      <c r="A76">
        <f>IF(ISNA(VLOOKUP(B76,AssociatedElements!B$2:B$999,1,FALSE)),"Not used","")</f>
        <v/>
      </c>
      <c r="B76" t="inlineStr">
        <is>
          <t>specific_gravity_test</t>
        </is>
      </c>
      <c r="C76" t="inlineStr">
        <is>
          <t>Specific gravity test</t>
        </is>
      </c>
      <c r="D76" t="inlineStr">
        <is>
          <t>Ratio of the density of a substance to the density of a reference substance, usually water at 4 deg C.</t>
        </is>
      </c>
      <c r="E76" t="inlineStr">
        <is>
          <t>string</t>
        </is>
      </c>
      <c r="G76" t="inlineStr">
        <is>
          <t>DIGGS</t>
        </is>
      </c>
    </row>
    <row r="77">
      <c r="A77">
        <f>IF(ISNA(VLOOKUP(B77,AssociatedElements!B$2:B$999,1,FALSE)),"Not used","")</f>
        <v/>
      </c>
      <c r="B77" t="inlineStr">
        <is>
          <t>static_cone_penetration_test</t>
        </is>
      </c>
      <c r="C77" t="inlineStr">
        <is>
          <t>Static cone penetration test</t>
        </is>
      </c>
      <c r="D77" t="inlineStr">
        <is>
          <t>In-situ test in which an instrumented cone is pushed into the ground at a controlled rate, to determine the geotechnical properties of soils and the soil stratigraphy.</t>
        </is>
      </c>
      <c r="E77" t="inlineStr">
        <is>
          <t>string</t>
        </is>
      </c>
      <c r="G77" t="inlineStr">
        <is>
          <t>DIGGS</t>
        </is>
      </c>
    </row>
    <row r="78">
      <c r="A78">
        <f>IF(ISNA(VLOOKUP(B78,AssociatedElements!B$2:B$999,1,FALSE)),"Not used","")</f>
        <v/>
      </c>
      <c r="B78" t="inlineStr">
        <is>
          <t>suction_test</t>
        </is>
      </c>
      <c r="C78" t="inlineStr">
        <is>
          <t>Soil suction test</t>
        </is>
      </c>
      <c r="D78" t="inlineStr">
        <is>
          <t>Free energy of the pore water in a soil, which indicates how strongly the soil retains water and governs its volume change and strength.</t>
        </is>
      </c>
      <c r="E78" t="inlineStr">
        <is>
          <t>string</t>
        </is>
      </c>
      <c r="G78" t="inlineStr">
        <is>
          <t>DIGGS</t>
        </is>
      </c>
    </row>
    <row r="79">
      <c r="A79">
        <f>IF(ISNA(VLOOKUP(B79,AssociatedElements!B$2:B$999,1,FALSE)),"Not used","")</f>
        <v/>
      </c>
      <c r="B79" t="inlineStr">
        <is>
          <t>swell_or_collapse_test</t>
        </is>
      </c>
      <c r="C79" t="inlineStr">
        <is>
          <t>Swell or collapse test</t>
        </is>
      </c>
      <c r="D79" t="inlineStr">
        <is>
          <t>Swelling or collapse of a soil specimen on wetting under load.</t>
        </is>
      </c>
      <c r="E79" t="inlineStr">
        <is>
          <t>string</t>
        </is>
      </c>
      <c r="G79" t="inlineStr">
        <is>
          <t>DIGGS</t>
        </is>
      </c>
    </row>
    <row r="80">
      <c r="A80">
        <f>IF(ISNA(VLOOKUP(B80,AssociatedElements!B$2:B$999,1,FALSE)),"Not used","")</f>
        <v/>
      </c>
      <c r="B80" t="inlineStr">
        <is>
          <t>syneresis_test</t>
        </is>
      </c>
      <c r="C80" t="inlineStr">
        <is>
          <t>Grout syneresis test</t>
        </is>
      </c>
      <c r="D80" t="inlineStr">
        <is>
          <t>Syneresis of a gel: shrinkage of the gel and loss of the liquid it holds on standing.</t>
        </is>
      </c>
      <c r="E80" t="inlineStr">
        <is>
          <t>string</t>
        </is>
      </c>
      <c r="G80" t="inlineStr">
        <is>
          <t>DIGGS</t>
        </is>
      </c>
    </row>
    <row r="81">
      <c r="A81">
        <f>IF(ISNA(VLOOKUP(B81,AssociatedElements!B$2:B$999,1,FALSE)),"Not used","")</f>
        <v/>
      </c>
      <c r="B81" t="inlineStr">
        <is>
          <t>tensile_strength_test</t>
        </is>
      </c>
      <c r="C81" t="inlineStr">
        <is>
          <t>Tensile strength test</t>
        </is>
      </c>
      <c r="D81" t="inlineStr">
        <is>
          <t>Tensile strength of a specimen, from applying tensile load to failure.</t>
        </is>
      </c>
      <c r="E81" t="inlineStr">
        <is>
          <t>string</t>
        </is>
      </c>
      <c r="G81" t="inlineStr">
        <is>
          <t>DIGGS</t>
        </is>
      </c>
    </row>
    <row r="82">
      <c r="A82">
        <f>IF(ISNA(VLOOKUP(B82,AssociatedElements!B$2:B$999,1,FALSE)),"Not used","")</f>
        <v/>
      </c>
      <c r="B82" t="inlineStr">
        <is>
          <t>tilt_cup_test</t>
        </is>
      </c>
      <c r="C82" t="inlineStr">
        <is>
          <t>Grout tilt cup test</t>
        </is>
      </c>
      <c r="D82" t="inlineStr">
        <is>
          <t>Grout test performed in a tilt cup. Wording to be confirmed by SME.</t>
        </is>
      </c>
      <c r="E82" t="inlineStr">
        <is>
          <t>string</t>
        </is>
      </c>
      <c r="G82" t="inlineStr">
        <is>
          <t>DIGGS</t>
        </is>
      </c>
    </row>
    <row r="83">
      <c r="A83">
        <f>IF(ISNA(VLOOKUP(B83,AssociatedElements!B$2:B$999,1,FALSE)),"Not used","")</f>
        <v/>
      </c>
      <c r="B83" t="inlineStr">
        <is>
          <t>triaxial_test</t>
        </is>
      </c>
      <c r="C83" t="inlineStr">
        <is>
          <t>Triaxial shear test</t>
        </is>
      </c>
      <c r="D83" t="inlineStr">
        <is>
          <t>Shear behaviour of a cylindrical soil specimen under confining pressure and axial loading, drained or undrained (consolidated drained, consolidated undrained, unconsolidated undrained).</t>
        </is>
      </c>
      <c r="E83" t="inlineStr">
        <is>
          <t>string</t>
        </is>
      </c>
      <c r="G83" t="inlineStr">
        <is>
          <t>DIGGS</t>
        </is>
      </c>
    </row>
    <row r="84">
      <c r="A84">
        <f>IF(ISNA(VLOOKUP(B84,AssociatedElements!B$2:B$999,1,FALSE)),"Not used","")</f>
        <v/>
      </c>
      <c r="B84" t="inlineStr">
        <is>
          <t>unconfined_compressive_strength_test</t>
        </is>
      </c>
      <c r="C84" t="inlineStr">
        <is>
          <t>Unconfined compressive strength test</t>
        </is>
      </c>
      <c r="D84" t="inlineStr">
        <is>
          <t>Maximum axial compressive stress a specimen sustains, loaded to failure without lateral confinement. Applies to soil, rock and cementitious materials including concrete, grout, mortar and soil-cement.</t>
        </is>
      </c>
      <c r="E84" t="inlineStr">
        <is>
          <t>string</t>
        </is>
      </c>
      <c r="G84" t="inlineStr">
        <is>
          <t>DIGGS</t>
        </is>
      </c>
    </row>
    <row r="85">
      <c r="A85">
        <f>IF(ISNA(VLOOKUP(B85,AssociatedElements!B$2:B$999,1,FALSE)),"Not used","")</f>
        <v/>
      </c>
      <c r="B85" t="inlineStr">
        <is>
          <t>viscometer_test</t>
        </is>
      </c>
      <c r="C85" t="inlineStr">
        <is>
          <t>Grout viscometer test</t>
        </is>
      </c>
      <c r="D85" t="inlineStr">
        <is>
          <t>Viscosity of a grout mix, measured with a viscometer.</t>
        </is>
      </c>
      <c r="E85" t="inlineStr">
        <is>
          <t>string</t>
        </is>
      </c>
      <c r="G85" t="inlineStr">
        <is>
          <t>DIGGS</t>
        </is>
      </c>
    </row>
    <row r="86">
      <c r="A86">
        <f>IF(ISNA(VLOOKUP(B86,AssociatedElements!B$2:B$999,1,FALSE)),"Not used","")</f>
        <v/>
      </c>
      <c r="B86" t="inlineStr">
        <is>
          <t>washout_test</t>
        </is>
      </c>
      <c r="C86" t="inlineStr">
        <is>
          <t>Grout washout test</t>
        </is>
      </c>
      <c r="D86" t="inlineStr">
        <is>
          <t>Resistance of a grout mix to washout. Wording to be confirmed by SME.</t>
        </is>
      </c>
      <c r="E86" t="inlineStr">
        <is>
          <t>string</t>
        </is>
      </c>
      <c r="G86" t="inlineStr">
        <is>
          <t>DIGGS</t>
        </is>
      </c>
    </row>
    <row r="87">
      <c r="A87">
        <f>IF(ISNA(VLOOKUP(B87,AssociatedElements!B$2:B$999,1,FALSE)),"Not used","")</f>
        <v/>
      </c>
      <c r="B87" t="inlineStr">
        <is>
          <t>water_content_test</t>
        </is>
      </c>
      <c r="C87" t="inlineStr">
        <is>
          <t>Water content test</t>
        </is>
      </c>
      <c r="D87" t="inlineStr">
        <is>
          <t>Mass of water divided by mass of solids in a material, expressed as a percentage.</t>
        </is>
      </c>
      <c r="E87" t="inlineStr">
        <is>
          <t>string</t>
        </is>
      </c>
      <c r="G87" t="inlineStr">
        <is>
          <t>DIGGS</t>
        </is>
      </c>
    </row>
    <row r="88">
      <c r="A88">
        <f>IF(ISNA(VLOOKUP(B88,AssociatedElements!B$2:B$999,1,FALSE)),"Not used","")</f>
        <v/>
      </c>
      <c r="B88" t="inlineStr">
        <is>
          <t>water_level_monitoring</t>
        </is>
      </c>
      <c r="C88" t="inlineStr">
        <is>
          <t>Water level monitoring</t>
        </is>
      </c>
      <c r="D88" t="inlineStr">
        <is>
          <t>Water levels in a piezometer or well, monitored automatically with a pressure transducer or other sensor, or manually with a tape or sensor lowered in the casing.</t>
        </is>
      </c>
      <c r="E88" t="inlineStr">
        <is>
          <t>string</t>
        </is>
      </c>
      <c r="G88" t="inlineStr">
        <is>
          <t>DIGGS</t>
        </is>
      </c>
    </row>
    <row r="89">
      <c r="A89">
        <f>IF(ISNA(VLOOKUP(B89,AssociatedElements!B$2:B$999,1,FALSE)),"Not used","")</f>
        <v/>
      </c>
      <c r="B89" t="inlineStr">
        <is>
          <t>wireline_log</t>
        </is>
      </c>
      <c r="C89" t="inlineStr">
        <is>
          <t>Wireline log</t>
        </is>
      </c>
      <c r="D89" t="inlineStr">
        <is>
          <t>Geophysical test data collected by wireline (borehole logging) methods.</t>
        </is>
      </c>
      <c r="E89" t="inlineStr">
        <is>
          <t>string</t>
        </is>
      </c>
      <c r="G89" t="inlineStr">
        <is>
          <t>DIGGS</t>
        </is>
      </c>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89"/>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IF(ISNA(VLOOKUP(B2,Definitions!B$2:B$999,1,FALSE)),"Not listed","")</f>
        <v/>
      </c>
      <c r="B2" s="2" t="inlineStr">
        <is>
          <t>static_load_test</t>
        </is>
      </c>
      <c r="C2" t="inlineStr">
        <is>
          <t>//diggs:DesignMeasurement/diggs:measurementKind</t>
        </is>
      </c>
    </row>
    <row r="3">
      <c r="A3">
        <f>IF(ISNA(VLOOKUP(B3,Definitions!B$2:B$999,1,FALSE)),"Not listed","")</f>
        <v/>
      </c>
      <c r="B3" s="20" t="inlineStr">
        <is>
          <t>rapid_load_test</t>
        </is>
      </c>
      <c r="C3" t="inlineStr">
        <is>
          <t>//diggs:DesignMeasurement/diggs:measurementKind</t>
        </is>
      </c>
    </row>
    <row r="4">
      <c r="A4">
        <f>IF(ISNA(VLOOKUP(B4,Definitions!B$2:B$999,1,FALSE)),"Not listed","")</f>
        <v/>
      </c>
      <c r="B4" s="2" t="inlineStr">
        <is>
          <t>dynamic_load_test</t>
        </is>
      </c>
      <c r="C4" t="inlineStr">
        <is>
          <t>//diggs:DesignMeasurement/diggs:measurementKind</t>
        </is>
      </c>
    </row>
    <row r="5">
      <c r="A5">
        <f>IF(ISNA(VLOOKUP(B5,Definitions!B$2:B$999,1,FALSE)),"Not listed","")</f>
        <v/>
      </c>
      <c r="B5" s="2" t="inlineStr">
        <is>
          <t>pile_integrity_test</t>
        </is>
      </c>
      <c r="C5" t="inlineStr">
        <is>
          <t>//diggs:DesignMeasurement/diggs:measurementKind</t>
        </is>
      </c>
    </row>
    <row r="6">
      <c r="A6">
        <f>IF(ISNA(VLOOKUP(B6,Definitions!B$2:B$999,1,FALSE)),"Not listed","")</f>
        <v/>
      </c>
      <c r="B6" s="2" t="inlineStr">
        <is>
          <t>lateral_load_test</t>
        </is>
      </c>
      <c r="C6" t="inlineStr">
        <is>
          <t>//diggs:DesignMeasurement/diggs:measurementKind</t>
        </is>
      </c>
    </row>
    <row r="7">
      <c r="A7">
        <f>IF(ISNA(VLOOKUP(B7,Definitions!B$2:B$999,1,FALSE)),"Not listed","")</f>
        <v/>
      </c>
      <c r="B7" s="2" t="inlineStr">
        <is>
          <t>plate_load_test</t>
        </is>
      </c>
      <c r="C7" t="inlineStr">
        <is>
          <t>//diggs:DesignMeasurement/diggs:measurementKind</t>
        </is>
      </c>
    </row>
    <row r="8">
      <c r="A8">
        <f>IF(ISNA(VLOOKUP(B8,Definitions!B$2:B$999,1,FALSE)),"Not listed","")</f>
        <v/>
      </c>
      <c r="B8" s="2" t="inlineStr">
        <is>
          <t>zone_load_test</t>
        </is>
      </c>
      <c r="C8" t="inlineStr">
        <is>
          <t>//diggs:DesignMeasurement/diggs:measurementKind</t>
        </is>
      </c>
    </row>
    <row r="9">
      <c r="A9">
        <f>IF(ISNA(VLOOKUP(B9,Definitions!B$2:B$999,1,FALSE)),"Not listed","")</f>
        <v/>
      </c>
      <c r="B9" s="2" t="inlineStr">
        <is>
          <t>thermal_integrity_profiling</t>
        </is>
      </c>
      <c r="C9" t="inlineStr">
        <is>
          <t>//diggs:DesignMeasurement/diggs:measurementKind</t>
        </is>
      </c>
    </row>
    <row r="10">
      <c r="A10">
        <f>IF(ISNA(VLOOKUP(B10,Definitions!B$2:B$999,1,FALSE)),"Not listed","")</f>
        <v/>
      </c>
      <c r="B10" s="20" t="inlineStr">
        <is>
          <t>aggregate_abrasion_value_test</t>
        </is>
      </c>
      <c r="C10" t="inlineStr">
        <is>
          <t>//diggs:DesignMeasurement/diggs:measurementKind</t>
        </is>
      </c>
    </row>
    <row r="11">
      <c r="A11">
        <f>IF(ISNA(VLOOKUP(B11,Definitions!B$2:B$999,1,FALSE)),"Not listed","")</f>
        <v/>
      </c>
      <c r="B11" s="20" t="inlineStr">
        <is>
          <t>aggregate_crushing_value_test</t>
        </is>
      </c>
      <c r="C11" t="inlineStr">
        <is>
          <t>//diggs:DesignMeasurement/diggs:measurementKind</t>
        </is>
      </c>
    </row>
    <row r="12">
      <c r="A12">
        <f>IF(ISNA(VLOOKUP(B12,Definitions!B$2:B$999,1,FALSE)),"Not listed","")</f>
        <v/>
      </c>
      <c r="B12" s="20" t="inlineStr">
        <is>
          <t>aggregate_elongation_index_test</t>
        </is>
      </c>
      <c r="C12" t="inlineStr">
        <is>
          <t>//diggs:DesignMeasurement/diggs:measurementKind</t>
        </is>
      </c>
    </row>
    <row r="13">
      <c r="A13">
        <f>IF(ISNA(VLOOKUP(B13,Definitions!B$2:B$999,1,FALSE)),"Not listed","")</f>
        <v/>
      </c>
      <c r="B13" s="20" t="inlineStr">
        <is>
          <t>aggregate_flakiness_index_test</t>
        </is>
      </c>
      <c r="C13" t="inlineStr">
        <is>
          <t>//diggs:DesignMeasurement/diggs:measurementKind</t>
        </is>
      </c>
    </row>
    <row r="14">
      <c r="A14">
        <f>IF(ISNA(VLOOKUP(B14,Definitions!B$2:B$999,1,FALSE)),"Not listed","")</f>
        <v/>
      </c>
      <c r="B14" s="20" t="inlineStr">
        <is>
          <t>aggregate_impact_value_test</t>
        </is>
      </c>
      <c r="C14" t="inlineStr">
        <is>
          <t>//diggs:DesignMeasurement/diggs:measurementKind</t>
        </is>
      </c>
    </row>
    <row r="15">
      <c r="A15">
        <f>IF(ISNA(VLOOKUP(B15,Definitions!B$2:B$999,1,FALSE)),"Not listed","")</f>
        <v/>
      </c>
      <c r="B15" s="2" t="inlineStr">
        <is>
          <t>aggregate_polished_stone_value_test</t>
        </is>
      </c>
      <c r="C15" t="inlineStr">
        <is>
          <t>//diggs:DesignMeasurement/diggs:measurementKind</t>
        </is>
      </c>
    </row>
    <row r="16">
      <c r="A16">
        <f>IF(ISNA(VLOOKUP(B16,Definitions!B$2:B$999,1,FALSE)),"Not listed","")</f>
        <v/>
      </c>
      <c r="B16" s="2" t="inlineStr">
        <is>
          <t>aggregate_slake_durability_test</t>
        </is>
      </c>
      <c r="C16" t="inlineStr">
        <is>
          <t>//diggs:DesignMeasurement/diggs:measurementKind</t>
        </is>
      </c>
    </row>
    <row r="17">
      <c r="A17">
        <f>IF(ISNA(VLOOKUP(B17,Definitions!B$2:B$999,1,FALSE)),"Not listed","")</f>
        <v/>
      </c>
      <c r="B17" s="2" t="inlineStr">
        <is>
          <t>aggregate_soundness_test</t>
        </is>
      </c>
      <c r="C17" t="inlineStr">
        <is>
          <t>//diggs:DesignMeasurement/diggs:measurementKind</t>
        </is>
      </c>
    </row>
    <row r="18">
      <c r="A18">
        <f>IF(ISNA(VLOOKUP(B18,Definitions!B$2:B$999,1,FALSE)),"Not listed","")</f>
        <v/>
      </c>
      <c r="B18" s="2" t="inlineStr">
        <is>
          <t>aggregate_ten_percent_fines_test</t>
        </is>
      </c>
      <c r="C18" t="inlineStr">
        <is>
          <t>//diggs:DesignMeasurement/diggs:measurementKind</t>
        </is>
      </c>
    </row>
    <row r="19">
      <c r="A19">
        <f>IF(ISNA(VLOOKUP(B19,Definitions!B$2:B$999,1,FALSE)),"Not listed","")</f>
        <v/>
      </c>
      <c r="B19" s="20" t="inlineStr">
        <is>
          <t>aggregate_water_absorption_test</t>
        </is>
      </c>
      <c r="C19" t="inlineStr">
        <is>
          <t>//diggs:DesignMeasurement/diggs:measurementKind</t>
        </is>
      </c>
    </row>
    <row r="20">
      <c r="A20">
        <f>IF(ISNA(VLOOKUP(B20,Definitions!B$2:B$999,1,FALSE)),"Not listed","")</f>
        <v/>
      </c>
      <c r="B20" s="20" t="inlineStr">
        <is>
          <t>atterberg_limits_test</t>
        </is>
      </c>
      <c r="C20" t="inlineStr">
        <is>
          <t>//diggs:DesignMeasurement/diggs:measurementKind</t>
        </is>
      </c>
    </row>
    <row r="21">
      <c r="A21">
        <f>IF(ISNA(VLOOKUP(B21,Definitions!B$2:B$999,1,FALSE)),"Not listed","")</f>
        <v/>
      </c>
      <c r="B21" s="20" t="inlineStr">
        <is>
          <t>bleed_test</t>
        </is>
      </c>
      <c r="C21" t="inlineStr">
        <is>
          <t>//diggs:DesignMeasurement/diggs:measurementKind</t>
        </is>
      </c>
    </row>
    <row r="22">
      <c r="A22">
        <f>IF(ISNA(VLOOKUP(B22,Definitions!B$2:B$999,1,FALSE)),"Not listed","")</f>
        <v/>
      </c>
      <c r="B22" s="20" t="inlineStr">
        <is>
          <t>chalk_crushing_value_test</t>
        </is>
      </c>
      <c r="C22" t="inlineStr">
        <is>
          <t>//diggs:DesignMeasurement/diggs:measurementKind</t>
        </is>
      </c>
    </row>
    <row r="23">
      <c r="A23">
        <f>IF(ISNA(VLOOKUP(B23,Definitions!B$2:B$999,1,FALSE)),"Not listed","")</f>
        <v/>
      </c>
      <c r="B23" s="20" t="inlineStr">
        <is>
          <t>consolidation_test</t>
        </is>
      </c>
      <c r="C23" t="inlineStr">
        <is>
          <t>//diggs:DesignMeasurement/diggs:measurementKind</t>
        </is>
      </c>
    </row>
    <row r="24">
      <c r="A24">
        <f>IF(ISNA(VLOOKUP(B24,Definitions!B$2:B$999,1,FALSE)),"Not listed","")</f>
        <v/>
      </c>
      <c r="B24" s="2" t="inlineStr">
        <is>
          <t>direct_shear_test</t>
        </is>
      </c>
      <c r="C24" t="inlineStr">
        <is>
          <t>//diggs:DesignMeasurement/diggs:measurementKind</t>
        </is>
      </c>
    </row>
    <row r="25">
      <c r="A25">
        <f>IF(ISNA(VLOOKUP(B25,Definitions!B$2:B$999,1,FALSE)),"Not listed","")</f>
        <v/>
      </c>
      <c r="B25" s="2" t="inlineStr">
        <is>
          <t>driven_penetration_test</t>
        </is>
      </c>
      <c r="C25" t="inlineStr">
        <is>
          <t>//diggs:DesignMeasurement/diggs:measurementKind</t>
        </is>
      </c>
    </row>
    <row r="26">
      <c r="A26">
        <f>IF(ISNA(VLOOKUP(B26,Definitions!B$2:B$999,1,FALSE)),"Not listed","")</f>
        <v/>
      </c>
      <c r="B26" s="2" t="inlineStr">
        <is>
          <t>dynamic_probe_test</t>
        </is>
      </c>
      <c r="C26" t="inlineStr">
        <is>
          <t>//diggs:DesignMeasurement/diggs:measurementKind</t>
        </is>
      </c>
    </row>
    <row r="27">
      <c r="A27">
        <f>IF(ISNA(VLOOKUP(B27,Definitions!B$2:B$999,1,FALSE)),"Not listed","")</f>
        <v/>
      </c>
      <c r="B27" s="13" t="inlineStr">
        <is>
          <t>environmental_screening_test</t>
        </is>
      </c>
      <c r="C27" t="inlineStr">
        <is>
          <t>//diggs:DesignMeasurement/diggs:measurementKind</t>
        </is>
      </c>
    </row>
    <row r="28">
      <c r="A28">
        <f>IF(ISNA(VLOOKUP(B28,Definitions!B$2:B$999,1,FALSE)),"Not listed","")</f>
        <v/>
      </c>
      <c r="B28" s="13" t="inlineStr">
        <is>
          <t>flat_plate_dilatometer_test</t>
        </is>
      </c>
      <c r="C28" t="inlineStr">
        <is>
          <t>//diggs:DesignMeasurement/diggs:measurementKind</t>
        </is>
      </c>
    </row>
    <row r="29">
      <c r="A29">
        <f>IF(ISNA(VLOOKUP(B29,Definitions!B$2:B$999,1,FALSE)),"Not listed","")</f>
        <v/>
      </c>
      <c r="B29" s="13" t="inlineStr">
        <is>
          <t>flow_cone_test</t>
        </is>
      </c>
      <c r="C29" t="inlineStr">
        <is>
          <t>//diggs:DesignMeasurement/diggs:measurementKind</t>
        </is>
      </c>
    </row>
    <row r="30">
      <c r="A30">
        <f>IF(ISNA(VLOOKUP(B30,Definitions!B$2:B$999,1,FALSE)),"Not listed","")</f>
        <v/>
      </c>
      <c r="B30" s="13" t="inlineStr">
        <is>
          <t>frost_susceptibility_test</t>
        </is>
      </c>
      <c r="C30" t="inlineStr">
        <is>
          <t>//diggs:DesignMeasurement/diggs:measurementKind</t>
        </is>
      </c>
    </row>
    <row r="31">
      <c r="A31">
        <f>IF(ISNA(VLOOKUP(B31,Definitions!B$2:B$999,1,FALSE)),"Not listed","")</f>
        <v/>
      </c>
      <c r="B31" s="13" t="inlineStr">
        <is>
          <t>gp_field_procedure</t>
        </is>
      </c>
      <c r="C31" t="inlineStr">
        <is>
          <t>//diggs:DesignMeasurement/diggs:measurementKind</t>
        </is>
      </c>
    </row>
    <row r="32">
      <c r="A32">
        <f>IF(ISNA(VLOOKUP(B32,Definitions!B$2:B$999,1,FALSE)),"Not listed","")</f>
        <v/>
      </c>
      <c r="B32" s="13" t="inlineStr">
        <is>
          <t>geophysical_processing</t>
        </is>
      </c>
      <c r="C32" t="inlineStr">
        <is>
          <t>//diggs:DesignMeasurement/diggs:measurementKind</t>
        </is>
      </c>
    </row>
    <row r="33">
      <c r="A33">
        <f>IF(ISNA(VLOOKUP(B33,Definitions!B$2:B$999,1,FALSE)),"Not listed","")</f>
        <v/>
      </c>
      <c r="B33" s="13" t="inlineStr">
        <is>
          <t>in_situ_penetrometer_test</t>
        </is>
      </c>
      <c r="C33" t="inlineStr">
        <is>
          <t>//diggs:DesignMeasurement/diggs:measurementKind</t>
        </is>
      </c>
    </row>
    <row r="34">
      <c r="A34">
        <f>IF(ISNA(VLOOKUP(B34,Definitions!B$2:B$999,1,FALSE)),"Not listed","")</f>
        <v/>
      </c>
      <c r="B34" s="13" t="inlineStr">
        <is>
          <t>insitu_cbr_test</t>
        </is>
      </c>
      <c r="C34" t="inlineStr">
        <is>
          <t>//diggs:DesignMeasurement/diggs:measurementKind</t>
        </is>
      </c>
    </row>
    <row r="35">
      <c r="A35">
        <f>IF(ISNA(VLOOKUP(B35,Definitions!B$2:B$999,1,FALSE)),"Not listed","")</f>
        <v/>
      </c>
      <c r="B35" s="13" t="inlineStr">
        <is>
          <t>insitu_density_test</t>
        </is>
      </c>
      <c r="C35" t="inlineStr">
        <is>
          <t>//diggs:DesignMeasurement/diggs:measurementKind</t>
        </is>
      </c>
    </row>
    <row r="36">
      <c r="A36">
        <f>IF(ISNA(VLOOKUP(B36,Definitions!B$2:B$999,1,FALSE)),"Not listed","")</f>
        <v/>
      </c>
      <c r="B36" s="13" t="inlineStr">
        <is>
          <t>insitu_permeability_test</t>
        </is>
      </c>
      <c r="C36" t="inlineStr">
        <is>
          <t>//diggs:DesignMeasurement/diggs:measurementKind</t>
        </is>
      </c>
    </row>
    <row r="37">
      <c r="A37">
        <f>IF(ISNA(VLOOKUP(B37,Definitions!B$2:B$999,1,FALSE)),"Not listed","")</f>
        <v/>
      </c>
      <c r="B37" s="2" t="inlineStr">
        <is>
          <t>insitu_resistivity_test</t>
        </is>
      </c>
      <c r="C37" t="inlineStr">
        <is>
          <t>//diggs:DesignMeasurement/diggs:measurementKind</t>
        </is>
      </c>
    </row>
    <row r="38">
      <c r="A38">
        <f>IF(ISNA(VLOOKUP(B38,Definitions!B$2:B$999,1,FALSE)),"Not listed","")</f>
        <v/>
      </c>
      <c r="B38" t="inlineStr">
        <is>
          <t>insitu_vane_test</t>
        </is>
      </c>
      <c r="C38" t="inlineStr">
        <is>
          <t>//diggs:DesignMeasurement/diggs:measurementKind</t>
        </is>
      </c>
    </row>
    <row r="39">
      <c r="A39">
        <f>IF(ISNA(VLOOKUP(B39,Definitions!B$2:B$999,1,FALSE)),"Not listed","")</f>
        <v/>
      </c>
      <c r="B39" t="inlineStr">
        <is>
          <t>lab_cbr_test</t>
        </is>
      </c>
      <c r="C39" t="inlineStr">
        <is>
          <t>//diggs:DesignMeasurement/diggs:measurementKind</t>
        </is>
      </c>
    </row>
    <row r="40">
      <c r="A40">
        <f>IF(ISNA(VLOOKUP(B40,Definitions!B$2:B$999,1,FALSE)),"Not listed","")</f>
        <v/>
      </c>
      <c r="B40" t="inlineStr">
        <is>
          <t>lab_chemical_test</t>
        </is>
      </c>
      <c r="C40" t="inlineStr">
        <is>
          <t>//diggs:DesignMeasurement/diggs:measurementKind</t>
        </is>
      </c>
    </row>
    <row r="41">
      <c r="A41">
        <f>IF(ISNA(VLOOKUP(B41,Definitions!B$2:B$999,1,FALSE)),"Not listed","")</f>
        <v/>
      </c>
      <c r="B41" t="inlineStr">
        <is>
          <t>lab_compaction_test</t>
        </is>
      </c>
      <c r="C41" t="inlineStr">
        <is>
          <t>//diggs:DesignMeasurement/diggs:measurementKind</t>
        </is>
      </c>
    </row>
    <row r="42">
      <c r="A42">
        <f>IF(ISNA(VLOOKUP(B42,Definitions!B$2:B$999,1,FALSE)),"Not listed","")</f>
        <v/>
      </c>
      <c r="B42" t="inlineStr">
        <is>
          <t>lab_density_test</t>
        </is>
      </c>
      <c r="C42" t="inlineStr">
        <is>
          <t>//diggs:DesignMeasurement/diggs:measurementKind</t>
        </is>
      </c>
    </row>
    <row r="43">
      <c r="A43">
        <f>IF(ISNA(VLOOKUP(B43,Definitions!B$2:B$999,1,FALSE)),"Not listed","")</f>
        <v/>
      </c>
      <c r="B43" t="inlineStr">
        <is>
          <t>lab_penetrometer_test</t>
        </is>
      </c>
      <c r="C43" t="inlineStr">
        <is>
          <t>//diggs:DesignMeasurement/diggs:measurementKind</t>
        </is>
      </c>
    </row>
    <row r="44">
      <c r="A44">
        <f>IF(ISNA(VLOOKUP(B44,Definitions!B$2:B$999,1,FALSE)),"Not listed","")</f>
        <v/>
      </c>
      <c r="B44" t="inlineStr">
        <is>
          <t>lab_permeability_test</t>
        </is>
      </c>
      <c r="C44" t="inlineStr">
        <is>
          <t>//diggs:DesignMeasurement/diggs:measurementKind</t>
        </is>
      </c>
    </row>
    <row r="45">
      <c r="A45">
        <f>IF(ISNA(VLOOKUP(B45,Definitions!B$2:B$999,1,FALSE)),"Not listed","")</f>
        <v/>
      </c>
      <c r="B45" t="inlineStr">
        <is>
          <t>lab_resistivity_test</t>
        </is>
      </c>
      <c r="C45" t="inlineStr">
        <is>
          <t>//diggs:DesignMeasurement/diggs:measurementKind</t>
        </is>
      </c>
    </row>
    <row r="46">
      <c r="A46">
        <f>IF(ISNA(VLOOKUP(B46,Definitions!B$2:B$999,1,FALSE)),"Not listed","")</f>
        <v/>
      </c>
      <c r="B46" t="inlineStr">
        <is>
          <t>lab_thermal_conductivity_test</t>
        </is>
      </c>
      <c r="C46" t="inlineStr">
        <is>
          <t>//diggs:DesignMeasurement/diggs:measurementKind</t>
        </is>
      </c>
    </row>
    <row r="47">
      <c r="A47">
        <f>IF(ISNA(VLOOKUP(B47,Definitions!B$2:B$999,1,FALSE)),"Not listed","")</f>
        <v/>
      </c>
      <c r="B47" t="inlineStr">
        <is>
          <t>lab_vane_test</t>
        </is>
      </c>
      <c r="C47" t="inlineStr">
        <is>
          <t>//diggs:DesignMeasurement/diggs:measurementKind</t>
        </is>
      </c>
    </row>
    <row r="48">
      <c r="A48">
        <f>IF(ISNA(VLOOKUP(B48,Definitions!B$2:B$999,1,FALSE)),"Not listed","")</f>
        <v/>
      </c>
      <c r="B48" t="inlineStr">
        <is>
          <t>lab_velocity_test</t>
        </is>
      </c>
      <c r="C48" t="inlineStr">
        <is>
          <t>//diggs:DesignMeasurement/diggs:measurementKind</t>
        </is>
      </c>
    </row>
    <row r="49">
      <c r="A49">
        <f>IF(ISNA(VLOOKUP(B49,Definitions!B$2:B$999,1,FALSE)),"Not listed","")</f>
        <v/>
      </c>
      <c r="B49" t="inlineStr">
        <is>
          <t>line_loss_test</t>
        </is>
      </c>
      <c r="C49" t="inlineStr">
        <is>
          <t>//diggs:DesignMeasurement/diggs:measurementKind</t>
        </is>
      </c>
    </row>
    <row r="50">
      <c r="A50">
        <f>IF(ISNA(VLOOKUP(B50,Definitions!B$2:B$999,1,FALSE)),"Not listed","")</f>
        <v/>
      </c>
      <c r="B50" t="inlineStr">
        <is>
          <t>linear_shrinkage_test</t>
        </is>
      </c>
      <c r="C50" t="inlineStr">
        <is>
          <t>//diggs:DesignMeasurement/diggs:measurementKind</t>
        </is>
      </c>
    </row>
    <row r="51">
      <c r="A51">
        <f>IF(ISNA(VLOOKUP(B51,Definitions!B$2:B$999,1,FALSE)),"Not listed","")</f>
        <v/>
      </c>
      <c r="B51" t="inlineStr">
        <is>
          <t>los_angeles_abrasion_test</t>
        </is>
      </c>
      <c r="C51" t="inlineStr">
        <is>
          <t>//diggs:DesignMeasurement/diggs:measurementKind</t>
        </is>
      </c>
    </row>
    <row r="52">
      <c r="A52">
        <f>IF(ISNA(VLOOKUP(B52,Definitions!B$2:B$999,1,FALSE)),"Not listed","")</f>
        <v/>
      </c>
      <c r="B52" t="inlineStr">
        <is>
          <t>loss_on_ignition_test</t>
        </is>
      </c>
      <c r="C52" t="inlineStr">
        <is>
          <t>//diggs:DesignMeasurement/diggs:measurementKind</t>
        </is>
      </c>
    </row>
    <row r="53">
      <c r="A53">
        <f>IF(ISNA(VLOOKUP(B53,Definitions!B$2:B$999,1,FALSE)),"Not listed","")</f>
        <v/>
      </c>
      <c r="B53" t="inlineStr">
        <is>
          <t>lugeon_test</t>
        </is>
      </c>
      <c r="C53" t="inlineStr">
        <is>
          <t>//diggs:DesignMeasurement/diggs:measurementKind</t>
        </is>
      </c>
    </row>
    <row r="54">
      <c r="A54">
        <f>IF(ISNA(VLOOKUP(B54,Definitions!B$2:B$999,1,FALSE)),"Not listed","")</f>
        <v/>
      </c>
      <c r="B54" t="inlineStr">
        <is>
          <t>mcv_test</t>
        </is>
      </c>
      <c r="C54" t="inlineStr">
        <is>
          <t>//diggs:DesignMeasurement/diggs:measurementKind</t>
        </is>
      </c>
    </row>
    <row r="55">
      <c r="A55">
        <f>IF(ISNA(VLOOKUP(B55,Definitions!B$2:B$999,1,FALSE)),"Not listed","")</f>
        <v/>
      </c>
      <c r="B55" t="inlineStr">
        <is>
          <t>marsh_funnel_test</t>
        </is>
      </c>
      <c r="C55" t="inlineStr">
        <is>
          <t>//diggs:DesignMeasurement/diggs:measurementKind</t>
        </is>
      </c>
    </row>
    <row r="56">
      <c r="A56">
        <f>IF(ISNA(VLOOKUP(B56,Definitions!B$2:B$999,1,FALSE)),"Not listed","")</f>
        <v/>
      </c>
      <c r="B56" t="inlineStr">
        <is>
          <t>material_gradation_test</t>
        </is>
      </c>
      <c r="C56" t="inlineStr">
        <is>
          <t>//diggs:DesignMeasurement/diggs:measurementKind</t>
        </is>
      </c>
    </row>
    <row r="57">
      <c r="A57">
        <f>IF(ISNA(VLOOKUP(B57,Definitions!B$2:B$999,1,FALSE)),"Not listed","")</f>
        <v/>
      </c>
      <c r="B57" t="inlineStr">
        <is>
          <t>micro_deval_test</t>
        </is>
      </c>
      <c r="C57" t="inlineStr">
        <is>
          <t>//diggs:DesignMeasurement/diggs:measurementKind</t>
        </is>
      </c>
    </row>
    <row r="58">
      <c r="A58">
        <f>IF(ISNA(VLOOKUP(B58,Definitions!B$2:B$999,1,FALSE)),"Not listed","")</f>
        <v/>
      </c>
      <c r="B58" t="inlineStr">
        <is>
          <t>mud_balance_test</t>
        </is>
      </c>
      <c r="C58" t="inlineStr">
        <is>
          <t>//diggs:DesignMeasurement/diggs:measurementKind</t>
        </is>
      </c>
    </row>
    <row r="59">
      <c r="A59">
        <f>IF(ISNA(VLOOKUP(B59,Definitions!B$2:B$999,1,FALSE)),"Not listed","")</f>
        <v/>
      </c>
      <c r="B59" t="inlineStr">
        <is>
          <t>mwd_procedure</t>
        </is>
      </c>
      <c r="C59" t="inlineStr">
        <is>
          <t>//diggs:DesignMeasurement/diggs:measurementKind</t>
        </is>
      </c>
    </row>
    <row r="60">
      <c r="A60">
        <f>IF(ISNA(VLOOKUP(B60,Definitions!B$2:B$999,1,FALSE)),"Not listed","")</f>
        <v/>
      </c>
      <c r="B60" t="inlineStr">
        <is>
          <t>organic_matter_by_wet_combustion_test</t>
        </is>
      </c>
      <c r="C60" t="inlineStr">
        <is>
          <t>//diggs:DesignMeasurement/diggs:measurementKind</t>
        </is>
      </c>
    </row>
    <row r="61">
      <c r="A61">
        <f>IF(ISNA(VLOOKUP(B61,Definitions!B$2:B$999,1,FALSE)),"Not listed","")</f>
        <v/>
      </c>
      <c r="B61" t="inlineStr">
        <is>
          <t>particle_size_test</t>
        </is>
      </c>
      <c r="C61" t="inlineStr">
        <is>
          <t>//diggs:DesignMeasurement/diggs:measurementKind</t>
        </is>
      </c>
    </row>
    <row r="62">
      <c r="A62">
        <f>IF(ISNA(VLOOKUP(B62,Definitions!B$2:B$999,1,FALSE)),"Not listed","")</f>
        <v/>
      </c>
      <c r="B62" t="inlineStr">
        <is>
          <t>pocket_penetrometer_test</t>
        </is>
      </c>
      <c r="C62" t="inlineStr">
        <is>
          <t>//diggs:DesignMeasurement/diggs:measurementKind</t>
        </is>
      </c>
    </row>
    <row r="63">
      <c r="A63">
        <f>IF(ISNA(VLOOKUP(B63,Definitions!B$2:B$999,1,FALSE)),"Not listed","")</f>
        <v/>
      </c>
      <c r="B63" t="inlineStr">
        <is>
          <t>point_load_test</t>
        </is>
      </c>
      <c r="C63" t="inlineStr">
        <is>
          <t>//diggs:DesignMeasurement/diggs:measurementKind</t>
        </is>
      </c>
    </row>
    <row r="64">
      <c r="A64">
        <f>IF(ISNA(VLOOKUP(B64,Definitions!B$2:B$999,1,FALSE)),"Not listed","")</f>
        <v/>
      </c>
      <c r="B64" t="inlineStr">
        <is>
          <t>pore_pressure_dissipation_test</t>
        </is>
      </c>
      <c r="C64" t="inlineStr">
        <is>
          <t>//diggs:DesignMeasurement/diggs:measurementKind</t>
        </is>
      </c>
    </row>
    <row r="65">
      <c r="A65">
        <f>IF(ISNA(VLOOKUP(B65,Definitions!B$2:B$999,1,FALSE)),"Not listed","")</f>
        <v/>
      </c>
      <c r="B65" t="inlineStr">
        <is>
          <t>pressure_filtration_test</t>
        </is>
      </c>
      <c r="C65" t="inlineStr">
        <is>
          <t>//diggs:DesignMeasurement/diggs:measurementKind</t>
        </is>
      </c>
    </row>
    <row r="66">
      <c r="A66">
        <f>IF(ISNA(VLOOKUP(B66,Definitions!B$2:B$999,1,FALSE)),"Not listed","")</f>
        <v/>
      </c>
      <c r="B66" t="inlineStr">
        <is>
          <t>pressuremeter_test</t>
        </is>
      </c>
      <c r="C66" t="inlineStr">
        <is>
          <t>//diggs:DesignMeasurement/diggs:measurementKind</t>
        </is>
      </c>
    </row>
    <row r="67">
      <c r="A67">
        <f>IF(ISNA(VLOOKUP(B67,Definitions!B$2:B$999,1,FALSE)),"Not listed","")</f>
        <v/>
      </c>
      <c r="B67" t="inlineStr">
        <is>
          <t>pumping_test</t>
        </is>
      </c>
      <c r="C67" t="inlineStr">
        <is>
          <t>//diggs:DesignMeasurement/diggs:measurementKind</t>
        </is>
      </c>
    </row>
    <row r="68">
      <c r="A68">
        <f>IF(ISNA(VLOOKUP(B68,Definitions!B$2:B$999,1,FALSE)),"Not listed","")</f>
        <v/>
      </c>
      <c r="B68" t="inlineStr">
        <is>
          <t>redox_test</t>
        </is>
      </c>
      <c r="C68" t="inlineStr">
        <is>
          <t>//diggs:DesignMeasurement/diggs:measurementKind</t>
        </is>
      </c>
    </row>
    <row r="69">
      <c r="A69">
        <f>IF(ISNA(VLOOKUP(B69,Definitions!B$2:B$999,1,FALSE)),"Not listed","")</f>
        <v/>
      </c>
      <c r="B69" t="inlineStr">
        <is>
          <t>relative_density_test</t>
        </is>
      </c>
      <c r="C69" t="inlineStr">
        <is>
          <t>//diggs:DesignMeasurement/diggs:measurementKind</t>
        </is>
      </c>
    </row>
    <row r="70">
      <c r="A70">
        <f>IF(ISNA(VLOOKUP(B70,Definitions!B$2:B$999,1,FALSE)),"Not listed","")</f>
        <v/>
      </c>
      <c r="B70" t="inlineStr">
        <is>
          <t>rock_porosity_density_test</t>
        </is>
      </c>
      <c r="C70" t="inlineStr">
        <is>
          <t>//diggs:DesignMeasurement/diggs:measurementKind</t>
        </is>
      </c>
    </row>
    <row r="71">
      <c r="A71">
        <f>IF(ISNA(VLOOKUP(B71,Definitions!B$2:B$999,1,FALSE)),"Not listed","")</f>
        <v/>
      </c>
      <c r="B71" t="inlineStr">
        <is>
          <t>schmidt_rebound_hardness_test</t>
        </is>
      </c>
      <c r="C71" t="inlineStr">
        <is>
          <t>//diggs:DesignMeasurement/diggs:measurementKind</t>
        </is>
      </c>
    </row>
    <row r="72">
      <c r="A72">
        <f>IF(ISNA(VLOOKUP(B72,Definitions!B$2:B$999,1,FALSE)),"Not listed","")</f>
        <v/>
      </c>
      <c r="B72" t="inlineStr">
        <is>
          <t>set_time_test</t>
        </is>
      </c>
      <c r="C72" t="inlineStr">
        <is>
          <t>//diggs:DesignMeasurement/diggs:measurementKind</t>
        </is>
      </c>
    </row>
    <row r="73">
      <c r="A73">
        <f>IF(ISNA(VLOOKUP(B73,Definitions!B$2:B$999,1,FALSE)),"Not listed","")</f>
        <v/>
      </c>
      <c r="B73" t="inlineStr">
        <is>
          <t>shore_scleroscope_hardness_test</t>
        </is>
      </c>
      <c r="C73" t="inlineStr">
        <is>
          <t>//diggs:DesignMeasurement/diggs:measurementKind</t>
        </is>
      </c>
    </row>
    <row r="74">
      <c r="A74">
        <f>IF(ISNA(VLOOKUP(B74,Definitions!B$2:B$999,1,FALSE)),"Not listed","")</f>
        <v/>
      </c>
      <c r="B74" t="inlineStr">
        <is>
          <t>shrinkage_test</t>
        </is>
      </c>
      <c r="C74" t="inlineStr">
        <is>
          <t>//diggs:DesignMeasurement/diggs:measurementKind</t>
        </is>
      </c>
    </row>
    <row r="75">
      <c r="A75">
        <f>IF(ISNA(VLOOKUP(B75,Definitions!B$2:B$999,1,FALSE)),"Not listed","")</f>
        <v/>
      </c>
      <c r="B75" t="inlineStr">
        <is>
          <t>slump_test</t>
        </is>
      </c>
      <c r="C75" t="inlineStr">
        <is>
          <t>//diggs:DesignMeasurement/diggs:measurementKind</t>
        </is>
      </c>
    </row>
    <row r="76">
      <c r="A76">
        <f>IF(ISNA(VLOOKUP(B76,Definitions!B$2:B$999,1,FALSE)),"Not listed","")</f>
        <v/>
      </c>
      <c r="B76" t="inlineStr">
        <is>
          <t>specific_gravity_test</t>
        </is>
      </c>
      <c r="C76" t="inlineStr">
        <is>
          <t>//diggs:DesignMeasurement/diggs:measurementKind</t>
        </is>
      </c>
    </row>
    <row r="77">
      <c r="A77">
        <f>IF(ISNA(VLOOKUP(B77,Definitions!B$2:B$999,1,FALSE)),"Not listed","")</f>
        <v/>
      </c>
      <c r="B77" t="inlineStr">
        <is>
          <t>static_cone_penetration_test</t>
        </is>
      </c>
      <c r="C77" t="inlineStr">
        <is>
          <t>//diggs:DesignMeasurement/diggs:measurementKind</t>
        </is>
      </c>
    </row>
    <row r="78">
      <c r="A78">
        <f>IF(ISNA(VLOOKUP(B78,Definitions!B$2:B$999,1,FALSE)),"Not listed","")</f>
        <v/>
      </c>
      <c r="B78" t="inlineStr">
        <is>
          <t>suction_test</t>
        </is>
      </c>
      <c r="C78" t="inlineStr">
        <is>
          <t>//diggs:DesignMeasurement/diggs:measurementKind</t>
        </is>
      </c>
    </row>
    <row r="79">
      <c r="A79">
        <f>IF(ISNA(VLOOKUP(B79,Definitions!B$2:B$999,1,FALSE)),"Not listed","")</f>
        <v/>
      </c>
      <c r="B79" t="inlineStr">
        <is>
          <t>swell_or_collapse_test</t>
        </is>
      </c>
      <c r="C79" t="inlineStr">
        <is>
          <t>//diggs:DesignMeasurement/diggs:measurementKind</t>
        </is>
      </c>
    </row>
    <row r="80">
      <c r="A80">
        <f>IF(ISNA(VLOOKUP(B80,Definitions!B$2:B$999,1,FALSE)),"Not listed","")</f>
        <v/>
      </c>
      <c r="B80" t="inlineStr">
        <is>
          <t>syneresis_test</t>
        </is>
      </c>
      <c r="C80" t="inlineStr">
        <is>
          <t>//diggs:DesignMeasurement/diggs:measurementKind</t>
        </is>
      </c>
    </row>
    <row r="81">
      <c r="A81">
        <f>IF(ISNA(VLOOKUP(B81,Definitions!B$2:B$999,1,FALSE)),"Not listed","")</f>
        <v/>
      </c>
      <c r="B81" t="inlineStr">
        <is>
          <t>tensile_strength_test</t>
        </is>
      </c>
      <c r="C81" t="inlineStr">
        <is>
          <t>//diggs:DesignMeasurement/diggs:measurementKind</t>
        </is>
      </c>
    </row>
    <row r="82">
      <c r="A82">
        <f>IF(ISNA(VLOOKUP(B82,Definitions!B$2:B$999,1,FALSE)),"Not listed","")</f>
        <v/>
      </c>
      <c r="B82" t="inlineStr">
        <is>
          <t>tilt_cup_test</t>
        </is>
      </c>
      <c r="C82" t="inlineStr">
        <is>
          <t>//diggs:DesignMeasurement/diggs:measurementKind</t>
        </is>
      </c>
    </row>
    <row r="83">
      <c r="A83">
        <f>IF(ISNA(VLOOKUP(B83,Definitions!B$2:B$999,1,FALSE)),"Not listed","")</f>
        <v/>
      </c>
      <c r="B83" t="inlineStr">
        <is>
          <t>triaxial_test</t>
        </is>
      </c>
      <c r="C83" t="inlineStr">
        <is>
          <t>//diggs:DesignMeasurement/diggs:measurementKind</t>
        </is>
      </c>
    </row>
    <row r="84">
      <c r="A84">
        <f>IF(ISNA(VLOOKUP(B84,Definitions!B$2:B$999,1,FALSE)),"Not listed","")</f>
        <v/>
      </c>
      <c r="B84" t="inlineStr">
        <is>
          <t>unconfined_compressive_strength_test</t>
        </is>
      </c>
      <c r="C84" t="inlineStr">
        <is>
          <t>//diggs:DesignMeasurement/diggs:measurementKind</t>
        </is>
      </c>
    </row>
    <row r="85">
      <c r="A85">
        <f>IF(ISNA(VLOOKUP(B85,Definitions!B$2:B$999,1,FALSE)),"Not listed","")</f>
        <v/>
      </c>
      <c r="B85" t="inlineStr">
        <is>
          <t>viscometer_test</t>
        </is>
      </c>
      <c r="C85" t="inlineStr">
        <is>
          <t>//diggs:DesignMeasurement/diggs:measurementKind</t>
        </is>
      </c>
    </row>
    <row r="86">
      <c r="A86">
        <f>IF(ISNA(VLOOKUP(B86,Definitions!B$2:B$999,1,FALSE)),"Not listed","")</f>
        <v/>
      </c>
      <c r="B86" t="inlineStr">
        <is>
          <t>washout_test</t>
        </is>
      </c>
      <c r="C86" t="inlineStr">
        <is>
          <t>//diggs:DesignMeasurement/diggs:measurementKind</t>
        </is>
      </c>
    </row>
    <row r="87">
      <c r="A87">
        <f>IF(ISNA(VLOOKUP(B87,Definitions!B$2:B$999,1,FALSE)),"Not listed","")</f>
        <v/>
      </c>
      <c r="B87" t="inlineStr">
        <is>
          <t>water_content_test</t>
        </is>
      </c>
      <c r="C87" t="inlineStr">
        <is>
          <t>//diggs:DesignMeasurement/diggs:measurementKind</t>
        </is>
      </c>
    </row>
    <row r="88">
      <c r="A88">
        <f>IF(ISNA(VLOOKUP(B88,Definitions!B$2:B$999,1,FALSE)),"Not listed","")</f>
        <v/>
      </c>
      <c r="B88" t="inlineStr">
        <is>
          <t>water_level_monitoring</t>
        </is>
      </c>
      <c r="C88" t="inlineStr">
        <is>
          <t>//diggs:DesignMeasurement/diggs:measurementKind</t>
        </is>
      </c>
    </row>
    <row r="89">
      <c r="A89">
        <f>IF(ISNA(VLOOKUP(B89,Definitions!B$2:B$999,1,FALSE)),"Not listed","")</f>
        <v/>
      </c>
      <c r="B89" t="inlineStr">
        <is>
          <t>wireline_log</t>
        </is>
      </c>
      <c r="C89" t="inlineStr">
        <is>
          <t>//diggs:DesignMeasurement/diggs:measurementKind</t>
        </is>
      </c>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B2" t="inlineStr">
        <is>
          <t>LFS</t>
        </is>
      </c>
      <c r="C2" s="3" t="inlineStr">
        <is>
          <t>An alternate name for the definition code given in ID</t>
        </is>
      </c>
      <c r="D2" t="inlineStr">
        <is>
          <t>A URI to provide context for the name. Typically this might identify an authority, a language. a dictionary, or some other metadata value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2018-10-28T20:07:54Z</dcterms:created>
  <dcterms:modified xmlns:dcterms="http://purl.org/dc/terms/" xmlns:xsi="http://www.w3.org/2001/XMLSchema-instance" xsi:type="dcterms:W3CDTF">2026-10-04T20:20:13Z</dcterms:modified>
  <cp:lastModifiedBy>Ponti, Daniel J</cp:lastModifiedBy>
</cp:coreProperties>
</file>