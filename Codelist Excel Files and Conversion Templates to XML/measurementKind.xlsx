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9200" yWindow="3280" windowWidth="39400" windowHeight="24940" tabRatio="500" firstSheet="0" activeTab="4" autoFilterDateGrouping="1"/>
  </bookViews>
  <sheets>
    <sheet xmlns:r="http://schemas.openxmlformats.org/officeDocument/2006/relationships" name="DictionaryName" sheetId="1" state="visible" r:id="rId1"/>
    <sheet xmlns:r="http://schemas.openxmlformats.org/officeDocument/2006/relationships" name="Definitions" sheetId="2" state="visible" r:id="rId2"/>
    <sheet xmlns:r="http://schemas.openxmlformats.org/officeDocument/2006/relationships" name="AssociatedElements" sheetId="3" state="visible" r:id="rId3"/>
    <sheet xmlns:r="http://schemas.openxmlformats.org/officeDocument/2006/relationships" name="AlternateNames" sheetId="4" state="visible" r:id="rId4"/>
    <sheet xmlns:r="http://schemas.openxmlformats.org/officeDocument/2006/relationships" name="Lists" sheetId="5" state="visible" r:id="rId5"/>
  </sheets>
  <definedNames/>
  <calcPr calcId="191029" fullCalcOnLoad="1"/>
</workbook>
</file>

<file path=xl/styles.xml><?xml version="1.0" encoding="utf-8"?>
<styleSheet xmlns="http://schemas.openxmlformats.org/spreadsheetml/2006/main">
  <numFmts count="0"/>
  <fonts count="15">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Calibri"/>
      <family val="2"/>
      <color theme="1"/>
      <sz val="12"/>
      <scheme val="minor"/>
    </font>
    <font>
      <name val="Calibri"/>
      <family val="2"/>
      <color rgb="FF000000"/>
      <sz val="12"/>
      <scheme val="minor"/>
    </font>
    <font>
      <name val="Aptos Narrow"/>
      <family val="2"/>
      <color rgb="FF000000"/>
      <sz val="12"/>
    </font>
    <font>
      <name val="Calibri"/>
      <family val="2"/>
      <color theme="3"/>
      <sz val="12"/>
      <scheme val="minor"/>
    </font>
    <font>
      <name val="Calibri"/>
      <family val="2"/>
      <sz val="8"/>
      <scheme val="minor"/>
    </font>
  </fonts>
  <fills count="4">
    <fill>
      <patternFill/>
    </fill>
    <fill>
      <patternFill patternType="gray125"/>
    </fill>
    <fill>
      <patternFill patternType="solid">
        <fgColor rgb="FF4472C4"/>
        <bgColor rgb="FF4472C4"/>
      </patternFill>
    </fill>
    <fill>
      <patternFill patternType="solid">
        <fgColor rgb="FFDBE5F1"/>
        <bgColor indexed="64"/>
      </patternFill>
    </fill>
  </fills>
  <borders count="3">
    <border>
      <left/>
      <right/>
      <top/>
      <bottom/>
      <diagonal/>
    </border>
    <border>
      <left style="thin">
        <color rgb="FFFFFFFF"/>
      </left>
      <right style="thin">
        <color rgb="FFFFFFFF"/>
      </right>
      <top/>
      <bottom style="thick">
        <color rgb="FFFFFFFF"/>
      </bottom>
      <diagonal/>
    </border>
    <border>
      <left style="thin">
        <color rgb="FFFFFFFF"/>
      </left>
      <right style="thin">
        <color rgb="FFFFFFFF"/>
      </right>
      <top style="thin">
        <color rgb="FFFFFFFF"/>
      </top>
      <bottom style="thin">
        <color rgb="FFFFFFFF"/>
      </bottom>
      <diagonal/>
    </border>
  </borders>
  <cellStyleXfs count="3">
    <xf numFmtId="0" fontId="10" fillId="0" borderId="0"/>
    <xf numFmtId="0" fontId="2" fillId="0" borderId="0"/>
    <xf numFmtId="0" fontId="3" fillId="0" borderId="0"/>
  </cellStyleXfs>
  <cellXfs count="21">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9" fillId="0" borderId="0" pivotButton="0" quotePrefix="0" xfId="0"/>
    <xf numFmtId="0" fontId="0" fillId="0" borderId="0" applyAlignment="1" pivotButton="0" quotePrefix="0" xfId="0">
      <alignment wrapText="1"/>
    </xf>
    <xf numFmtId="0" fontId="4" fillId="0" borderId="0" applyAlignment="1" pivotButton="0" quotePrefix="0" xfId="0">
      <alignment horizontal="left" vertical="center"/>
    </xf>
    <xf numFmtId="0" fontId="1" fillId="0" borderId="0" applyAlignment="1" pivotButton="0" quotePrefix="0" xfId="0">
      <alignment wrapText="1"/>
    </xf>
    <xf numFmtId="0" fontId="8" fillId="2" borderId="1" applyAlignment="1" pivotButton="0" quotePrefix="0" xfId="0">
      <alignment wrapText="1"/>
    </xf>
    <xf numFmtId="0" fontId="0" fillId="0" borderId="0" applyAlignment="1" pivotButton="0" quotePrefix="0" xfId="0">
      <alignment vertical="center"/>
    </xf>
    <xf numFmtId="0" fontId="12" fillId="0" borderId="0" applyAlignment="1" pivotButton="0" quotePrefix="0" xfId="0">
      <alignment vertical="center" wrapText="1"/>
    </xf>
    <xf numFmtId="0" fontId="11" fillId="0" borderId="0" applyAlignment="1" pivotButton="0" quotePrefix="0" xfId="0">
      <alignment vertical="center" wrapText="1"/>
    </xf>
    <xf numFmtId="0" fontId="11" fillId="0" borderId="2" applyAlignment="1" pivotButton="0" quotePrefix="0" xfId="0">
      <alignment vertical="center" wrapText="1"/>
    </xf>
    <xf numFmtId="0" fontId="4" fillId="3" borderId="0" applyAlignment="1" pivotButton="0" quotePrefix="0" xfId="0">
      <alignment vertical="center" wrapText="1"/>
    </xf>
    <xf numFmtId="0" fontId="4" fillId="0" borderId="0" applyAlignment="1" pivotButton="0" quotePrefix="0" xfId="0">
      <alignment vertical="center" wrapText="1"/>
    </xf>
    <xf numFmtId="0" fontId="12" fillId="0" borderId="0" applyAlignment="1" pivotButton="0" quotePrefix="0" xfId="0">
      <alignment vertical="center"/>
    </xf>
    <xf numFmtId="0" fontId="10" fillId="0" borderId="0" applyAlignment="1" pivotButton="0" quotePrefix="0" xfId="0">
      <alignment vertical="center" wrapText="1"/>
    </xf>
    <xf numFmtId="0" fontId="13" fillId="0" borderId="0" applyAlignment="1" pivotButton="0" quotePrefix="0" xfId="0">
      <alignment vertical="center" wrapText="1"/>
    </xf>
  </cellXfs>
  <cellStyles count="3">
    <cellStyle name="Normal" xfId="0" builtinId="0"/>
    <cellStyle name="Hyperlink" xfId="1" builtinId="8" hidden="1"/>
    <cellStyle name="Followed Hyperlink" xfId="2" builtinId="9" hidden="1"/>
  </cellStyles>
  <dxfs count="25">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bottom" wrapText="1"/>
    </dxf>
    <dxf>
      <numFmt numFmtId="0" formatCode="General"/>
      <fill>
        <patternFill>
          <fgColor indexed="64"/>
          <bgColor indexed="65"/>
        </patternFill>
      </fill>
      <alignment horizontal="general" vertical="bottom"/>
    </dxf>
    <dxf>
      <font>
        <strike val="0"/>
        <outline val="0"/>
        <shadow val="0"/>
        <color theme="0"/>
        <vertAlign val="baseline"/>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font>
        <color auto="1"/>
      </font>
      <alignment horizontal="left" vertical="center"/>
    </dxf>
    <dxf>
      <font>
        <name val="Aptos Narrow"/>
        <family val="2"/>
        <color rgb="FF000000"/>
      </font>
      <alignment horizontal="general" vertical="center"/>
    </dxf>
    <dxf>
      <font>
        <name val="Aptos Narrow"/>
        <family val="2"/>
        <color rgb="FF000000"/>
      </font>
      <alignment horizontal="general" vertical="center"/>
    </dxf>
    <dxf>
      <font>
        <name val="Calibri"/>
        <strike val="0"/>
        <outline val="0"/>
        <shadow val="0"/>
        <color auto="1"/>
        <sz val="12"/>
        <vertAlign val="baseline"/>
        <scheme val="minor"/>
      </font>
      <fill>
        <patternFill patternType="solid">
          <fgColor indexed="64"/>
          <bgColor rgb="FFDBE5F1"/>
        </patternFill>
      </fill>
      <alignment horizontal="general" vertical="bottom" wrapText="1"/>
      <border outline="0">
        <left/>
        <right style="thin">
          <color rgb="FFFFFFFF"/>
        </right>
        <top/>
        <bottom style="thin">
          <color rgb="FFFFFFFF"/>
        </bottom>
      </border>
    </dxf>
    <dxf>
      <font>
        <color auto="1"/>
      </font>
      <fill>
        <patternFill patternType="solid">
          <fgColor indexed="64"/>
          <bgColor rgb="FFDBE5F1"/>
        </patternFill>
      </fill>
      <alignment horizontal="general" vertical="center"/>
      <border outline="0">
        <left/>
        <right style="thin">
          <color rgb="FFFFFFFF"/>
        </right>
        <top/>
        <bottom style="thin">
          <color rgb="FFFFFFFF"/>
        </bottom>
      </border>
    </dxf>
    <dxf>
      <font>
        <name val="Aptos Narrow"/>
        <family val="2"/>
        <color rgb="FF000000"/>
      </font>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
      <alignment horizontal="general" vertical="center" wrapText="1"/>
    </dxf>
    <dxf>
      <alignment horizontal="general" vertical="center" wrapText="1"/>
    </dxf>
    <dxf>
      <alignment horizontal="general"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DictionaryName" displayName="DictionaryName" ref="A1:E4" headerRowCount="1" totalsRowShown="0" headerRowDxfId="24" dataDxfId="23">
  <autoFilter ref="A1:E4"/>
  <tableColumns count="5">
    <tableColumn id="1" name="Start" dataDxfId="22"/>
    <tableColumn id="4" name="Dictionary ID" dataDxfId="21"/>
    <tableColumn id="5" name="DictionaryFile" dataDxfId="20"/>
    <tableColumn id="2" name="DictionaryName" dataDxfId="19"/>
    <tableColumn id="3" name="Description" dataDxfId="18"/>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H37" headerRowCount="1" totalsRowShown="0" headerRowDxfId="17" dataDxfId="16">
  <autoFilter ref="A1:H37"/>
  <sortState ref="A2:H37">
    <sortCondition ref="A1:A37"/>
  </sortState>
  <tableColumns count="8">
    <tableColumn id="1" name="Start" dataDxfId="15">
      <calculatedColumnFormula>IF(ISNA(VLOOKUP(B2,AssociatedElements!B$2:B2940,1,FALSE)),"Not used","")</calculatedColumnFormula>
    </tableColumn>
    <tableColumn id="10" name="ID" dataDxfId="14"/>
    <tableColumn id="7" name="Name" dataDxfId="13"/>
    <tableColumn id="3" name="Description" dataDxfId="12"/>
    <tableColumn id="4" name="DataType" dataDxfId="11"/>
    <tableColumn id="5" name="QuantityClass" dataDxfId="10"/>
    <tableColumn id="6" name="Authority" dataDxfId="9"/>
    <tableColumn id="9" name="Reference" dataDxfId="8"/>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7" headerRowCount="1" totalsRowShown="0" headerRowDxfId="7">
  <autoFilter ref="A1:D37"/>
  <sortState ref="A2:C2">
    <sortCondition ref="C1:C2"/>
  </sortState>
  <tableColumns count="4">
    <tableColumn id="1" name="Start" dataDxfId="6">
      <calculatedColumnFormula>IF(ISNA(VLOOKUP(B2,Definitions!B$2:B$1839,1,FALSE)),"Not listed","")</calculatedColumnFormula>
    </tableColumn>
    <tableColumn id="4" name="ID" dataDxfId="5"/>
    <tableColumn id="2" name="SourceElement" dataDxfId="4"/>
    <tableColumn id="3" name="ConditionalElement"/>
  </tableColumns>
  <tableStyleInfo name="TableStyleMedium9" showFirstColumn="0" showLastColumn="0" showRowStripes="1" showColumnStripes="0"/>
</table>
</file>

<file path=xl/tables/table4.xml><?xml version="1.0" encoding="utf-8"?>
<table xmlns="http://schemas.openxmlformats.org/spreadsheetml/2006/main" id="4" name="AssociatedElements5" displayName="AssociatedElements5" ref="A1:D2" headerRowCount="1" totalsRowShown="0" headerRowDxfId="3">
  <autoFilter ref="A1:D2"/>
  <sortState ref="A2:C2">
    <sortCondition ref="C1:C2"/>
  </sortState>
  <tableColumns count="4">
    <tableColumn id="1" name="Start" dataDxfId="2">
      <calculatedColumnFormula>IF(ISNA(VLOOKUP(B2,Definitions!B$2:B$1839,1,FALSE)),"Not listed","")</calculatedColumnFormula>
    </tableColumn>
    <tableColumn id="4" name="ID" dataDxfId="1"/>
    <tableColumn id="2" name="Name" dataDxfId="0"/>
    <tableColumn id="3" name="codeSpace"/>
  </tableColumns>
  <tableStyleInfo name="TableStyleMedium9" showFirstColumn="0" showLastColumn="0" showRowStripes="1" showColumnStripes="0"/>
</table>
</file>

<file path=xl/tables/table5.xml><?xml version="1.0" encoding="utf-8"?>
<table xmlns="http://schemas.openxmlformats.org/spreadsheetml/2006/main" id="5" name="Table6" displayName="Table6" ref="A1:E188" headerRowCount="1" totalsRowShown="0">
  <autoFilter ref="A1:E188"/>
  <sortState ref="A2:C187">
    <sortCondition ref="C1:C187"/>
  </sortState>
  <tableColumns count="5">
    <tableColumn id="1" name="DataType"/>
    <tableColumn id="2" name="DataType2"/>
    <tableColumn id="3" name="QuantityClass"/>
    <tableColumn id="5" name="Column2"/>
    <tableColumn id="4" name="Column3"/>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5.xml.rels><Relationships xmlns="http://schemas.openxmlformats.org/package/2006/relationships"><Relationship Type="http://schemas.openxmlformats.org/officeDocument/2006/relationships/table" Target="/xl/tables/table5.xml" Id="rId1"/></Relationships>
</file>

<file path=xl/worksheets/sheet1.xml><?xml version="1.0" encoding="utf-8"?>
<worksheet xmlns="http://schemas.openxmlformats.org/spreadsheetml/2006/main">
  <sheetPr codeName="Sheet1">
    <outlinePr summaryBelow="1" summaryRight="1"/>
    <pageSetUpPr/>
  </sheetPr>
  <dimension ref="A1:E4"/>
  <sheetViews>
    <sheetView workbookViewId="0">
      <selection activeCell="E3" sqref="E3"/>
    </sheetView>
  </sheetViews>
  <sheetFormatPr baseColWidth="10" defaultColWidth="11" defaultRowHeight="16"/>
  <cols>
    <col width="7.5" customWidth="1" style="8" min="1" max="1"/>
    <col width="41.33203125" customWidth="1" style="8" min="2" max="2"/>
    <col width="26.33203125" customWidth="1" style="8" min="3" max="3"/>
    <col width="35.6640625" customWidth="1" style="8" min="4" max="4"/>
    <col width="76" customWidth="1" style="8" min="5" max="5"/>
    <col width="11" customWidth="1" style="8" min="6" max="16384"/>
  </cols>
  <sheetData>
    <row r="1" ht="18" customFormat="1" customHeight="1" s="10" thickBot="1">
      <c r="A1" s="10" t="inlineStr">
        <is>
          <t>Start</t>
        </is>
      </c>
      <c r="B1" s="10" t="inlineStr">
        <is>
          <t>Dictionary ID</t>
        </is>
      </c>
      <c r="C1" s="11" t="inlineStr">
        <is>
          <t>DictionaryFile</t>
        </is>
      </c>
      <c r="D1" s="10" t="inlineStr">
        <is>
          <t>DictionaryName</t>
        </is>
      </c>
      <c r="E1" s="10" t="inlineStr">
        <is>
          <t>Description</t>
        </is>
      </c>
    </row>
    <row r="2" ht="18" customFormat="1" customHeight="1" s="10" thickTop="1">
      <c r="A2" s="1" t="n"/>
      <c r="B2" s="1" t="n"/>
      <c r="C2" s="1" t="n"/>
      <c r="D2" s="1" t="n"/>
      <c r="E2" s="1" t="inlineStr">
        <is>
          <t>Leave this line blank</t>
        </is>
      </c>
    </row>
    <row r="3" ht="154" customFormat="1" customHeight="1" s="2">
      <c r="B3" s="2" t="inlineStr">
        <is>
          <t>measurementKind</t>
        </is>
      </c>
      <c r="C3" s="12" t="inlineStr">
        <is>
          <t>measurementKind</t>
        </is>
      </c>
      <c r="D3" s="12" t="inlineStr">
        <is>
          <t>DIGGS Design Measurement Kind Codelist Definitions</t>
        </is>
      </c>
      <c r="E3" s="2" t="inlineStr">
        <is>
          <t>Codes naming the kind of measurement a diggs:DesignMeasurement plans, for use where no measurementMethod is cited or where the cited method admits several kinds of measurement. Seeded here with the load-verification and integrity-testing kinds referenced by rigid inclusion acceptance testing (ASIRI; FHWA-KS-25-02); DesignMeasurement is general DIGGS infrastructure covering every planned Test, Monitor, MaterialTest, MeasurementWhileDrilling and GeophysicalFieldSurvey, so the list is expected to grow well beyond this starting set as other domains populate it. Expect this element to be omitted in the common case, per its own documentation.</t>
        </is>
      </c>
    </row>
    <row r="4" ht="17" customHeight="1">
      <c r="A4" s="2" t="n"/>
      <c r="B4" s="2" t="n"/>
      <c r="D4" s="2" t="n"/>
      <c r="E4" s="2" t="inlineStr">
        <is>
          <t xml:space="preserve">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H37"/>
  <sheetViews>
    <sheetView zoomScale="150" zoomScaleNormal="150" workbookViewId="0">
      <selection activeCell="B7" sqref="B7"/>
    </sheetView>
  </sheetViews>
  <sheetFormatPr baseColWidth="10" defaultColWidth="10.83203125" defaultRowHeight="16"/>
  <cols>
    <col width="7" customWidth="1" style="2" min="1" max="1"/>
    <col width="25.83203125" customWidth="1" style="2" min="2" max="2"/>
    <col width="31.6640625" customWidth="1" style="2" min="3" max="3"/>
    <col width="84.6640625" customWidth="1" style="2" min="4" max="4"/>
    <col width="11.1640625" customWidth="1" style="2" min="5" max="5"/>
    <col width="25.6640625" bestFit="1" customWidth="1" style="2" min="6" max="6"/>
    <col width="17.83203125" customWidth="1" style="2" min="7" max="7"/>
    <col width="20.83203125" customWidth="1" style="2" min="8" max="8"/>
    <col width="10.83203125" customWidth="1" style="2" min="9" max="16384"/>
  </cols>
  <sheetData>
    <row r="1" ht="17" customFormat="1" customHeight="1" s="1">
      <c r="A1" s="1" t="inlineStr">
        <is>
          <t>Start</t>
        </is>
      </c>
      <c r="B1" s="1" t="inlineStr">
        <is>
          <t>ID</t>
        </is>
      </c>
      <c r="C1" s="1" t="inlineStr">
        <is>
          <t>Name</t>
        </is>
      </c>
      <c r="D1" s="1" t="inlineStr">
        <is>
          <t>Description</t>
        </is>
      </c>
      <c r="E1" s="1" t="inlineStr">
        <is>
          <t>DataType</t>
        </is>
      </c>
      <c r="F1" s="1" t="inlineStr">
        <is>
          <t>QuantityClass</t>
        </is>
      </c>
      <c r="G1" s="1" t="inlineStr">
        <is>
          <t>Authority</t>
        </is>
      </c>
      <c r="H1" s="1" t="inlineStr">
        <is>
          <t>Reference</t>
        </is>
      </c>
    </row>
    <row r="2">
      <c r="A2" s="2">
        <f>IF(ISNA(VLOOKUP(B2,AssociatedElements!B$2:B2940,1,FALSE)),"Not used","")</f>
        <v/>
      </c>
      <c r="B2" s="13" t="inlineStr">
        <is>
          <t>static_load_test</t>
        </is>
      </c>
      <c r="C2" s="13" t="inlineStr">
        <is>
          <t>Static load test</t>
        </is>
      </c>
      <c r="D2" s="14" t="inlineStr">
        <is>
          <t>A slow-maintained or constant-rate-of-penetration axial load test applying load directly to the element and measuring load-movement response, per ASTM D1143 or equivalent.</t>
        </is>
      </c>
      <c r="E2" s="13" t="inlineStr">
        <is>
          <t>string</t>
        </is>
      </c>
      <c r="F2" s="13" t="n"/>
      <c r="G2" s="9" t="inlineStr">
        <is>
          <t>ASTM D1143</t>
        </is>
      </c>
    </row>
    <row r="3">
      <c r="A3" s="2">
        <f>IF(ISNA(VLOOKUP(B3,AssociatedElements!B$2:B2941,1,FALSE)),"Not used","")</f>
        <v/>
      </c>
      <c r="B3" s="13" t="inlineStr">
        <is>
          <t>rapid_load_test</t>
        </is>
      </c>
      <c r="C3" s="13" t="inlineStr">
        <is>
          <t>Rapid load test</t>
        </is>
      </c>
      <c r="D3" s="14" t="inlineStr">
        <is>
          <t>An axial load test applying load over roughly one to several seconds, faster than a static test and slower than a dynamic impact test, per ASTM D7383 or equivalent.</t>
        </is>
      </c>
      <c r="E3" s="13" t="inlineStr">
        <is>
          <t>string</t>
        </is>
      </c>
      <c r="F3" s="13" t="n"/>
      <c r="G3" s="9" t="inlineStr">
        <is>
          <t>ASTM D7383</t>
        </is>
      </c>
    </row>
    <row r="4">
      <c r="A4" s="2">
        <f>IF(ISNA(VLOOKUP(B4,AssociatedElements!B$2:B2942,1,FALSE)),"Not used","")</f>
        <v/>
      </c>
      <c r="B4" t="inlineStr">
        <is>
          <t>dynamic_load_test</t>
        </is>
      </c>
      <c r="C4" t="inlineStr">
        <is>
          <t>High-strain dynamic load test</t>
        </is>
      </c>
      <c r="D4" t="inlineStr">
        <is>
          <t>An axial load test in which the element is struck by an impact device and force and velocity are measured to estimate capacity by wave-equation analysis, per ASTM D4945 or equivalent.</t>
        </is>
      </c>
      <c r="E4" t="inlineStr">
        <is>
          <t>string</t>
        </is>
      </c>
      <c r="G4" s="9" t="inlineStr">
        <is>
          <t>ASTM D4945</t>
        </is>
      </c>
    </row>
    <row r="5">
      <c r="A5" s="2">
        <f>IF(ISNA(VLOOKUP(B5,AssociatedElements!B$2:B2943,1,FALSE)),"Not used","")</f>
        <v/>
      </c>
      <c r="B5" s="13" t="inlineStr">
        <is>
          <t>low_strain_integrity_test</t>
        </is>
      </c>
      <c r="C5" s="13" t="inlineStr">
        <is>
          <t>Low-strain integrity test</t>
        </is>
      </c>
      <c r="D5" s="14" t="inlineStr">
        <is>
          <t>A low-strain impact (pulse-echo or transient-response) test used to detect discontinuities, necking or changes in cross-section along the length of a completed element, per ASTM D5882 or equivalent.</t>
        </is>
      </c>
      <c r="E5" s="13" t="inlineStr">
        <is>
          <t>string</t>
        </is>
      </c>
      <c r="F5" s="13" t="n"/>
      <c r="G5" s="9" t="inlineStr">
        <is>
          <t>ASTM D5882</t>
        </is>
      </c>
    </row>
    <row r="6">
      <c r="A6" s="2">
        <f>IF(ISNA(VLOOKUP(B6,AssociatedElements!B$2:B2944,1,FALSE)),"Not used","")</f>
        <v/>
      </c>
      <c r="B6" t="inlineStr">
        <is>
          <t>lateral_load_test</t>
        </is>
      </c>
      <c r="C6" s="16" t="inlineStr">
        <is>
          <t>Lateral load test</t>
        </is>
      </c>
      <c r="D6" s="16" t="inlineStr">
        <is>
          <t>A test applying lateral load to the element and measuring lateral load-deflection response, per ASTM D3966 or equivalent.</t>
        </is>
      </c>
      <c r="E6" s="17" t="inlineStr">
        <is>
          <t>string</t>
        </is>
      </c>
      <c r="G6" s="9" t="inlineStr">
        <is>
          <t>ASTM D3966</t>
        </is>
      </c>
    </row>
    <row r="7">
      <c r="A7" s="2">
        <f>IF(ISNA(VLOOKUP(B7,AssociatedElements!B$2:B2945,1,FALSE)),"Not used","")</f>
        <v/>
      </c>
      <c r="B7" t="inlineStr">
        <is>
          <t>composite_load_test</t>
        </is>
      </c>
      <c r="C7" t="inlineStr">
        <is>
          <t>Composite / group load test</t>
        </is>
      </c>
      <c r="D7" t="inlineStr">
        <is>
          <t>A load test applied to a group of inclusions together with the soil between them, measuring the response of the treated ground as a composite rather than the response of one element.</t>
        </is>
      </c>
      <c r="E7" t="inlineStr">
        <is>
          <t>string</t>
        </is>
      </c>
      <c r="G7" s="9" t="inlineStr">
        <is>
          <t>DIGGS</t>
        </is>
      </c>
    </row>
    <row r="8">
      <c r="A8" s="2">
        <f>IF(ISNA(VLOOKUP(B8,AssociatedElements!B$2:B2946,1,FALSE)),"Not used","")</f>
        <v/>
      </c>
      <c r="B8" t="inlineStr">
        <is>
          <t>soil_load_test</t>
        </is>
      </c>
      <c r="C8" t="inlineStr">
        <is>
          <t>Test on surrounding soil</t>
        </is>
      </c>
      <c r="D8" t="inlineStr">
        <is>
          <t>A load test applied to the soil between inclusions rather than to an inclusion, used to verify the stress and settlement assumed for the untreated soil in a composite-ground design.</t>
        </is>
      </c>
      <c r="E8" t="inlineStr">
        <is>
          <t>string</t>
        </is>
      </c>
      <c r="G8" s="9" t="inlineStr">
        <is>
          <t>DIGGS</t>
        </is>
      </c>
    </row>
    <row r="9">
      <c r="A9" s="2">
        <f>IF(ISNA(VLOOKUP(B9,AssociatedElements!B$2:B$999,1,FALSE)),"Not used","")</f>
        <v/>
      </c>
      <c r="B9" t="inlineStr">
        <is>
          <t>plate_load_test</t>
        </is>
      </c>
      <c r="C9" s="16" t="inlineStr">
        <is>
          <t>Plate load test</t>
        </is>
      </c>
      <c r="D9" s="16" t="inlineStr">
        <is>
          <t>A plate-bearing load test on a single deep foundation element head, measuring ground or platform stiffness rather than the element's own axial capacity, per ASTM D1194 (withdrawn 2003, still in practical use), ASTM D1195/D1196, or DIN 18134.</t>
        </is>
      </c>
      <c r="E9" s="17" t="inlineStr">
        <is>
          <t>string</t>
        </is>
      </c>
      <c r="G9" s="9" t="inlineStr">
        <is>
          <t>ASTM D1196</t>
        </is>
      </c>
    </row>
    <row r="10">
      <c r="A10" s="2">
        <f>IF(ISNA(VLOOKUP(B10,AssociatedElements!B$2:B$999,1,FALSE)),"Not used","")</f>
        <v/>
      </c>
      <c r="B10" s="13" t="inlineStr">
        <is>
          <t>zone_load_test</t>
        </is>
      </c>
      <c r="C10" s="13" t="inlineStr">
        <is>
          <t>Zone load test</t>
        </is>
      </c>
      <c r="D10" s="14" t="inlineStr">
        <is>
          <t>A large-plate load test on a load transfer platform over a group of columns, per BS 8006-1 (which requires the test), typically executed to ASTM D1195/D1196 or DIN 18134's methodology.</t>
        </is>
      </c>
      <c r="E10" s="13" t="inlineStr">
        <is>
          <t>string</t>
        </is>
      </c>
      <c r="F10" s="13" t="n"/>
      <c r="G10" s="9" t="inlineStr">
        <is>
          <t>BS 8006-1</t>
        </is>
      </c>
    </row>
    <row r="11">
      <c r="A11" s="2">
        <f>IF(ISNA(VLOOKUP(B11,AssociatedElements!B$2:B2949,1,FALSE)),"Not used","")</f>
        <v/>
      </c>
      <c r="B11" s="13" t="inlineStr">
        <is>
          <t>thermal_integrity_profiling</t>
        </is>
      </c>
      <c r="C11" s="13" t="inlineStr">
        <is>
          <t>Thermal integrity profiling</t>
        </is>
      </c>
      <c r="D11" s="14" t="inlineStr">
        <is>
          <t>A thermal integrity test that relates the heat of hydration generated by curing concrete along a completed element's length to its as-built cross-section and continuity, per ASTM D7949.</t>
        </is>
      </c>
      <c r="E11" s="13" t="inlineStr">
        <is>
          <t>string</t>
        </is>
      </c>
      <c r="F11" s="13" t="n"/>
      <c r="G11" s="9" t="inlineStr">
        <is>
          <t>ASTM D7949</t>
        </is>
      </c>
    </row>
    <row r="12">
      <c r="A12" s="2">
        <f>IF(ISNA(VLOOKUP(B12,AssociatedElements!B$2:B2950,1,FALSE)),"Not used","")</f>
        <v/>
      </c>
      <c r="B12" s="13" t="n"/>
      <c r="C12" s="13" t="n"/>
      <c r="D12" s="14" t="n"/>
      <c r="E12" s="13" t="n"/>
      <c r="F12" s="13" t="n"/>
      <c r="G12" s="9" t="n"/>
    </row>
    <row r="13">
      <c r="A13" s="2">
        <f>IF(ISNA(VLOOKUP(B13,AssociatedElements!B$2:B2951,1,FALSE)),"Not used","")</f>
        <v/>
      </c>
      <c r="B13" s="13" t="n"/>
      <c r="C13" s="13" t="n"/>
      <c r="D13" s="14" t="n"/>
      <c r="E13" s="13" t="n"/>
      <c r="F13" s="13" t="n"/>
      <c r="G13" s="9" t="n"/>
    </row>
    <row r="14">
      <c r="A14" s="2">
        <f>IF(ISNA(VLOOKUP(B14,AssociatedElements!B$2:B2952,1,FALSE)),"Not used","")</f>
        <v/>
      </c>
      <c r="B14" s="13" t="n"/>
      <c r="C14" s="13" t="n"/>
      <c r="D14" s="14" t="n"/>
      <c r="E14" s="13" t="n"/>
      <c r="F14" s="13" t="n"/>
      <c r="G14" s="9" t="n"/>
    </row>
    <row r="15">
      <c r="A15" s="2">
        <f>IF(ISNA(VLOOKUP(B15,AssociatedElements!B$2:B2953,1,FALSE)),"Not used","")</f>
        <v/>
      </c>
      <c r="B15" s="13" t="n"/>
      <c r="C15" s="18" t="n"/>
      <c r="D15" s="19" t="n"/>
      <c r="E15" s="18" t="n"/>
      <c r="F15" s="18" t="n"/>
      <c r="G15" s="9" t="n"/>
    </row>
    <row r="16">
      <c r="A16" s="2">
        <f>IF(ISNA(VLOOKUP(B16,AssociatedElements!B$2:B2954,1,FALSE)),"Not used","")</f>
        <v/>
      </c>
      <c r="B16" s="13" t="n"/>
      <c r="C16" s="18" t="n"/>
      <c r="D16" s="19" t="n"/>
      <c r="E16" s="18" t="n"/>
      <c r="F16" s="18" t="n"/>
      <c r="G16" s="9" t="n"/>
    </row>
    <row r="17">
      <c r="A17" s="2">
        <f>IF(ISNA(VLOOKUP(B17,AssociatedElements!B$2:B2955,1,FALSE)),"Not used","")</f>
        <v/>
      </c>
      <c r="B17" s="13" t="n"/>
      <c r="C17" s="18" t="n"/>
      <c r="D17" s="19" t="n"/>
      <c r="E17" s="18" t="n"/>
      <c r="F17" s="18" t="n"/>
      <c r="G17" s="9" t="n"/>
    </row>
    <row r="18">
      <c r="A18" s="2">
        <f>IF(ISNA(VLOOKUP(B18,AssociatedElements!B$2:B2956,1,FALSE)),"Not used","")</f>
        <v/>
      </c>
      <c r="B18" s="13" t="n"/>
      <c r="C18" s="18" t="n"/>
      <c r="D18" s="19" t="n"/>
      <c r="E18" s="18" t="n"/>
      <c r="F18" s="18" t="n"/>
      <c r="G18" s="9" t="n"/>
    </row>
    <row r="19">
      <c r="A19" s="2">
        <f>IF(ISNA(VLOOKUP(B19,AssociatedElements!B$2:B2957,1,FALSE)),"Not used","")</f>
        <v/>
      </c>
      <c r="B19" s="13" t="n"/>
      <c r="C19" s="18" t="n"/>
      <c r="D19" s="19" t="n"/>
      <c r="E19" s="18" t="n"/>
      <c r="F19" s="18" t="n"/>
      <c r="G19" s="9" t="n"/>
    </row>
    <row r="20">
      <c r="A20" s="2">
        <f>IF(ISNA(VLOOKUP(B20,AssociatedElements!B$2:B2958,1,FALSE)),"Not used","")</f>
        <v/>
      </c>
      <c r="B20" s="13" t="n"/>
      <c r="C20" s="18" t="n"/>
      <c r="D20" s="19" t="n"/>
      <c r="E20" s="18" t="n"/>
      <c r="F20" s="18" t="n"/>
      <c r="G20" s="9" t="n"/>
    </row>
    <row r="21">
      <c r="A21" s="2">
        <f>IF(ISNA(VLOOKUP(B21,AssociatedElements!B$2:B2959,1,FALSE)),"Not used","")</f>
        <v/>
      </c>
      <c r="B21" s="13" t="n"/>
      <c r="C21" s="18" t="n"/>
      <c r="D21" s="19" t="n"/>
      <c r="E21" s="18" t="n"/>
      <c r="F21" s="18" t="n"/>
      <c r="G21" s="9" t="n"/>
    </row>
    <row r="22">
      <c r="A22" s="2">
        <f>IF(ISNA(VLOOKUP(B22,AssociatedElements!B$2:B2960,1,FALSE)),"Not used","")</f>
        <v/>
      </c>
      <c r="B22" s="13" t="n"/>
      <c r="C22" s="18" t="n"/>
      <c r="D22" s="19" t="n"/>
      <c r="E22" s="18" t="n"/>
      <c r="F22" s="18" t="n"/>
      <c r="G22" s="9" t="n"/>
    </row>
    <row r="23">
      <c r="A23" s="2">
        <f>IF(ISNA(VLOOKUP(B23,AssociatedElements!B$2:B2961,1,FALSE)),"Not used","")</f>
        <v/>
      </c>
      <c r="B23" s="13" t="n"/>
      <c r="C23" s="18" t="n"/>
      <c r="D23" s="19" t="n"/>
      <c r="E23" s="18" t="n"/>
      <c r="F23" s="18" t="n"/>
      <c r="G23" s="9" t="n"/>
    </row>
    <row r="24">
      <c r="A24" s="2">
        <f>IF(ISNA(VLOOKUP(B24,AssociatedElements!B$2:B2962,1,FALSE)),"Not used","")</f>
        <v/>
      </c>
      <c r="D24" s="16" t="n"/>
      <c r="G24" s="9" t="n"/>
    </row>
    <row r="25">
      <c r="A25" s="2">
        <f>IF(ISNA(VLOOKUP(B25,AssociatedElements!B$2:B2963,1,FALSE)),"Not used","")</f>
        <v/>
      </c>
      <c r="B25" s="13" t="n"/>
      <c r="C25" s="13" t="n"/>
      <c r="E25" s="13" t="n"/>
      <c r="F25" s="13" t="n"/>
      <c r="G25" s="9" t="n"/>
    </row>
    <row r="26">
      <c r="A26" s="2">
        <f>IF(ISNA(VLOOKUP(B26,AssociatedElements!B$2:B2964,1,FALSE)),"Not used","")</f>
        <v/>
      </c>
      <c r="B26" s="13" t="n"/>
      <c r="C26" s="13" t="n"/>
      <c r="E26" s="13" t="n"/>
      <c r="F26" s="13" t="n"/>
      <c r="G26" s="9" t="n"/>
    </row>
    <row r="27">
      <c r="A27" s="2">
        <f>IF(ISNA(VLOOKUP(B27,AssociatedElements!B$2:B2965,1,FALSE)),"Not used","")</f>
        <v/>
      </c>
      <c r="B27" s="13" t="n"/>
      <c r="C27" s="13" t="n"/>
      <c r="D27" s="15" t="n"/>
      <c r="E27" s="13" t="n"/>
      <c r="F27" s="13" t="n"/>
      <c r="G27" s="9" t="n"/>
    </row>
    <row r="28">
      <c r="A28" s="2">
        <f>IF(ISNA(VLOOKUP(B28,AssociatedElements!B$2:B2966,1,FALSE)),"Not used","")</f>
        <v/>
      </c>
      <c r="B28" s="13" t="n"/>
      <c r="C28" s="13" t="n"/>
      <c r="D28" s="14" t="n"/>
      <c r="E28" s="13" t="n"/>
      <c r="F28" s="13" t="n"/>
      <c r="G28" s="9" t="n"/>
    </row>
    <row r="29">
      <c r="A29" s="2">
        <f>IF(ISNA(VLOOKUP(B29,AssociatedElements!B$2:B2967,1,FALSE)),"Not used","")</f>
        <v/>
      </c>
      <c r="B29" s="13" t="n"/>
      <c r="C29" s="13" t="n"/>
      <c r="D29" s="14" t="n"/>
      <c r="E29" s="13" t="n"/>
      <c r="F29" s="13" t="n"/>
      <c r="G29" s="9" t="n"/>
    </row>
    <row r="30">
      <c r="A30" s="2">
        <f>IF(ISNA(VLOOKUP(B30,AssociatedElements!B$2:B2968,1,FALSE)),"Not used","")</f>
        <v/>
      </c>
      <c r="B30" s="13" t="n"/>
      <c r="C30" s="13" t="n"/>
      <c r="D30" s="14" t="n"/>
      <c r="E30" s="13" t="n"/>
      <c r="F30" s="13" t="n"/>
      <c r="G30" s="9" t="n"/>
    </row>
    <row r="31">
      <c r="A31" s="2">
        <f>IF(ISNA(VLOOKUP(B31,AssociatedElements!B$2:B2969,1,FALSE)),"Not used","")</f>
        <v/>
      </c>
      <c r="B31" s="13" t="n"/>
      <c r="C31" s="18" t="n"/>
      <c r="D31" s="19" t="n"/>
      <c r="E31" s="18" t="n"/>
      <c r="F31" s="18" t="n"/>
      <c r="G31" s="9" t="n"/>
    </row>
    <row r="32">
      <c r="A32" s="2">
        <f>IF(ISNA(VLOOKUP(B32,AssociatedElements!B$2:B2970,1,FALSE)),"Not used","")</f>
        <v/>
      </c>
      <c r="B32" s="13" t="n"/>
      <c r="C32" s="18" t="n"/>
      <c r="D32" s="19" t="n"/>
      <c r="E32" s="18" t="n"/>
      <c r="F32" s="18" t="n"/>
      <c r="G32" s="9" t="n"/>
    </row>
    <row r="33">
      <c r="A33" s="2">
        <f>IF(ISNA(VLOOKUP(B33,AssociatedElements!B$2:B2971,1,FALSE)),"Not used","")</f>
        <v/>
      </c>
      <c r="B33" s="13" t="n"/>
      <c r="C33" s="18" t="n"/>
      <c r="D33" s="19" t="n"/>
      <c r="E33" s="18" t="n"/>
      <c r="F33" s="18" t="n"/>
      <c r="G33" s="9" t="n"/>
    </row>
    <row r="34">
      <c r="A34" s="2">
        <f>IF(ISNA(VLOOKUP(B34,AssociatedElements!B$2:B2972,1,FALSE)),"Not used","")</f>
        <v/>
      </c>
      <c r="B34" s="13" t="n"/>
      <c r="C34" s="18" t="n"/>
      <c r="D34" s="19" t="n"/>
      <c r="E34" s="18" t="n"/>
      <c r="F34" s="18" t="n"/>
      <c r="G34" s="9" t="n"/>
    </row>
    <row r="35">
      <c r="A35" s="2">
        <f>IF(ISNA(VLOOKUP(B35,AssociatedElements!B$2:B2973,1,FALSE)),"Not used","")</f>
        <v/>
      </c>
      <c r="B35" s="13" t="n"/>
      <c r="C35" s="18" t="n"/>
      <c r="D35" s="19" t="n"/>
      <c r="E35" s="18" t="n"/>
      <c r="F35" s="18" t="n"/>
      <c r="G35" s="9" t="n"/>
    </row>
    <row r="36">
      <c r="A36" s="2">
        <f>IF(ISNA(VLOOKUP(B36,AssociatedElements!B$2:B2974,1,FALSE)),"Not used","")</f>
        <v/>
      </c>
      <c r="B36" s="13" t="n"/>
      <c r="C36" s="18" t="n"/>
      <c r="D36" s="19" t="n"/>
      <c r="E36" s="18" t="n"/>
      <c r="F36" s="18" t="n"/>
      <c r="G36" s="9" t="n"/>
    </row>
    <row r="37">
      <c r="A37" s="2">
        <f>IF(ISNA(VLOOKUP(B37,AssociatedElements!B$2:B2975,1,FALSE)),"Not used","")</f>
        <v/>
      </c>
      <c r="G37" s="9" t="n"/>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37"/>
  <sheetViews>
    <sheetView zoomScale="120" zoomScaleNormal="120" workbookViewId="0">
      <pane ySplit="1" topLeftCell="A2" activePane="bottomLeft" state="frozen"/>
      <selection pane="bottomLeft" activeCell="C19" sqref="C19"/>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SourceElement</t>
        </is>
      </c>
      <c r="D1" s="6" t="inlineStr">
        <is>
          <t>ConditionalElement</t>
        </is>
      </c>
    </row>
    <row r="2">
      <c r="A2">
        <f>IF(ISNA(VLOOKUP(#REF!,Definitions!B$2:B$1839,1,FALSE)),"Not listed","")</f>
        <v/>
      </c>
      <c r="B2" s="2" t="inlineStr">
        <is>
          <t>static_load_test</t>
        </is>
      </c>
      <c r="C2" t="inlineStr">
        <is>
          <t>//diggs:DesignMeasurement/diggs:measurementKind</t>
        </is>
      </c>
    </row>
    <row r="3">
      <c r="A3">
        <f>IF(ISNA(VLOOKUP(B3,Definitions!B$2:B$1839,1,FALSE)),"Not listed","")</f>
        <v/>
      </c>
      <c r="B3" s="20" t="inlineStr">
        <is>
          <t>rapid_load_test</t>
        </is>
      </c>
      <c r="C3" t="inlineStr">
        <is>
          <t>//diggs:DesignMeasurement/diggs:measurementKind</t>
        </is>
      </c>
    </row>
    <row r="4">
      <c r="A4">
        <f>IF(ISNA(VLOOKUP(B4,Definitions!B$2:B$1839,1,FALSE)),"Not listed","")</f>
        <v/>
      </c>
      <c r="B4" s="2" t="inlineStr">
        <is>
          <t>dynamic_load_test</t>
        </is>
      </c>
      <c r="C4" t="inlineStr">
        <is>
          <t>//diggs:DesignMeasurement/diggs:measurementKind</t>
        </is>
      </c>
    </row>
    <row r="5">
      <c r="A5">
        <f>IF(ISNA(VLOOKUP(B5,Definitions!B$2:B$1839,1,FALSE)),"Not listed","")</f>
        <v/>
      </c>
      <c r="B5" s="2" t="inlineStr">
        <is>
          <t>low_strain_integrity_test</t>
        </is>
      </c>
      <c r="C5" t="inlineStr">
        <is>
          <t>//diggs:DesignMeasurement/diggs:measurementKind</t>
        </is>
      </c>
    </row>
    <row r="6">
      <c r="A6">
        <f>IF(ISNA(VLOOKUP(B6,Definitions!B$2:B$1839,1,FALSE)),"Not listed","")</f>
        <v/>
      </c>
      <c r="B6" s="2" t="inlineStr">
        <is>
          <t>lateral_load_test</t>
        </is>
      </c>
      <c r="C6" t="inlineStr">
        <is>
          <t>//diggs:DesignMeasurement/diggs:measurementKind</t>
        </is>
      </c>
    </row>
    <row r="7">
      <c r="A7">
        <f>IF(ISNA(VLOOKUP(B7,Definitions!B$2:B$1839,1,FALSE)),"Not listed","")</f>
        <v/>
      </c>
      <c r="B7" s="2" t="inlineStr">
        <is>
          <t>composite_load_test</t>
        </is>
      </c>
      <c r="C7" t="inlineStr">
        <is>
          <t>//diggs:DesignMeasurement/diggs:measurementKind</t>
        </is>
      </c>
    </row>
    <row r="8">
      <c r="A8">
        <f>IF(ISNA(VLOOKUP(B8,Definitions!B$2:B$1839,1,FALSE)),"Not listed","")</f>
        <v/>
      </c>
      <c r="B8" s="2" t="inlineStr">
        <is>
          <t>soil_load_test</t>
        </is>
      </c>
      <c r="C8" t="inlineStr">
        <is>
          <t>//diggs:DesignMeasurement/diggs:measurementKind</t>
        </is>
      </c>
    </row>
    <row r="9">
      <c r="A9">
        <f>IF(ISNA(VLOOKUP(B9,Definitions!B$2:B$999,1,FALSE)),"Not listed","")</f>
        <v/>
      </c>
      <c r="B9" s="2" t="inlineStr">
        <is>
          <t>plate_load_test</t>
        </is>
      </c>
      <c r="C9" t="inlineStr">
        <is>
          <t>//diggs:DesignMeasurement/diggs:measurementKind</t>
        </is>
      </c>
    </row>
    <row r="10">
      <c r="A10">
        <f>IF(ISNA(VLOOKUP(B10,Definitions!B$2:B$999,1,FALSE)),"Not listed","")</f>
        <v/>
      </c>
      <c r="B10" s="20" t="inlineStr">
        <is>
          <t>zone_load_test</t>
        </is>
      </c>
      <c r="C10" t="inlineStr">
        <is>
          <t>//diggs:DesignMeasurement/diggs:measurementKind</t>
        </is>
      </c>
    </row>
    <row r="11">
      <c r="A11">
        <f>IF(ISNA(VLOOKUP(B11,Definitions!B$2:B$1839,1,FALSE)),"Not listed","")</f>
        <v/>
      </c>
      <c r="B11" s="20" t="inlineStr">
        <is>
          <t>thermal_integrity_profiling</t>
        </is>
      </c>
      <c r="C11" t="inlineStr">
        <is>
          <t>//diggs:DesignMeasurement/diggs:measurementKind</t>
        </is>
      </c>
    </row>
    <row r="12">
      <c r="A12">
        <f>IF(ISNA(VLOOKUP(B12,Definitions!B$2:B$1839,1,FALSE)),"Not listed","")</f>
        <v/>
      </c>
      <c r="B12" s="20" t="n"/>
    </row>
    <row r="13">
      <c r="A13">
        <f>IF(ISNA(VLOOKUP(B13,Definitions!B$2:B$1839,1,FALSE)),"Not listed","")</f>
        <v/>
      </c>
      <c r="B13" s="20" t="n"/>
    </row>
    <row r="14">
      <c r="A14">
        <f>IF(ISNA(VLOOKUP(B14,Definitions!B$2:B$1839,1,FALSE)),"Not listed","")</f>
        <v/>
      </c>
      <c r="B14" s="20" t="n"/>
    </row>
    <row r="15">
      <c r="A15">
        <f>IF(ISNA(VLOOKUP(B15,Definitions!B$2:B$1839,1,FALSE)),"Not listed","")</f>
        <v/>
      </c>
      <c r="B15" s="2" t="n"/>
    </row>
    <row r="16">
      <c r="A16">
        <f>IF(ISNA(VLOOKUP(B16,Definitions!B$2:B$1839,1,FALSE)),"Not listed","")</f>
        <v/>
      </c>
      <c r="B16" s="2" t="n"/>
    </row>
    <row r="17">
      <c r="A17">
        <f>IF(ISNA(VLOOKUP(B17,Definitions!B$2:B$1839,1,FALSE)),"Not listed","")</f>
        <v/>
      </c>
      <c r="B17" s="2" t="n"/>
    </row>
    <row r="18">
      <c r="A18">
        <f>IF(ISNA(VLOOKUP(B18,Definitions!B$2:B$1839,1,FALSE)),"Not listed","")</f>
        <v/>
      </c>
      <c r="B18" s="2" t="n"/>
    </row>
    <row r="19">
      <c r="A19">
        <f>IF(ISNA(VLOOKUP(B19,Definitions!B$2:B$1839,1,FALSE)),"Not listed","")</f>
        <v/>
      </c>
      <c r="B19" s="20" t="n"/>
    </row>
    <row r="20">
      <c r="A20">
        <f>IF(ISNA(VLOOKUP(B20,Definitions!B$2:B$1839,1,FALSE)),"Not listed","")</f>
        <v/>
      </c>
      <c r="B20" s="20" t="n"/>
    </row>
    <row r="21">
      <c r="A21">
        <f>IF(ISNA(VLOOKUP(B21,Definitions!B$2:B$1839,1,FALSE)),"Not listed","")</f>
        <v/>
      </c>
      <c r="B21" s="20" t="n"/>
    </row>
    <row r="22">
      <c r="A22">
        <f>IF(ISNA(VLOOKUP(B22,Definitions!B$2:B$1839,1,FALSE)),"Not listed","")</f>
        <v/>
      </c>
      <c r="B22" s="20" t="n"/>
    </row>
    <row r="23">
      <c r="A23">
        <f>IF(ISNA(VLOOKUP(B23,Definitions!B$2:B$1839,1,FALSE)),"Not listed","")</f>
        <v/>
      </c>
      <c r="B23" s="20" t="n"/>
    </row>
    <row r="24">
      <c r="A24">
        <f>IF(ISNA(VLOOKUP(B24,Definitions!B$2:B$1839,1,FALSE)),"Not listed","")</f>
        <v/>
      </c>
      <c r="B24" s="2" t="n"/>
    </row>
    <row r="25">
      <c r="A25">
        <f>IF(ISNA(VLOOKUP(B25,Definitions!B$2:B$1839,1,FALSE)),"Not listed","")</f>
        <v/>
      </c>
      <c r="B25" s="2" t="n"/>
    </row>
    <row r="26">
      <c r="A26">
        <f>IF(ISNA(VLOOKUP(B26,Definitions!B$2:B$1839,1,FALSE)),"Not listed","")</f>
        <v/>
      </c>
      <c r="B26" s="2" t="n"/>
    </row>
    <row r="27">
      <c r="A27">
        <f>IF(ISNA(VLOOKUP(B27,Definitions!B$2:B$1839,1,FALSE)),"Not listed","")</f>
        <v/>
      </c>
      <c r="B27" s="13" t="n"/>
    </row>
    <row r="28">
      <c r="A28">
        <f>IF(ISNA(VLOOKUP(B28,Definitions!B$2:B$1839,1,FALSE)),"Not listed","")</f>
        <v/>
      </c>
      <c r="B28" s="13" t="n"/>
    </row>
    <row r="29">
      <c r="A29">
        <f>IF(ISNA(VLOOKUP(B29,Definitions!B$2:B$1839,1,FALSE)),"Not listed","")</f>
        <v/>
      </c>
      <c r="B29" s="13" t="n"/>
    </row>
    <row r="30">
      <c r="A30">
        <f>IF(ISNA(VLOOKUP(B30,Definitions!B$2:B$1839,1,FALSE)),"Not listed","")</f>
        <v/>
      </c>
      <c r="B30" s="13" t="n"/>
    </row>
    <row r="31">
      <c r="A31">
        <f>IF(ISNA(VLOOKUP(B31,Definitions!B$2:B$1839,1,FALSE)),"Not listed","")</f>
        <v/>
      </c>
      <c r="B31" s="13" t="n"/>
    </row>
    <row r="32">
      <c r="A32">
        <f>IF(ISNA(VLOOKUP(B32,Definitions!B$2:B$1839,1,FALSE)),"Not listed","")</f>
        <v/>
      </c>
      <c r="B32" s="13" t="n"/>
    </row>
    <row r="33">
      <c r="A33">
        <f>IF(ISNA(VLOOKUP(B33,Definitions!B$2:B$1839,1,FALSE)),"Not listed","")</f>
        <v/>
      </c>
      <c r="B33" s="13" t="n"/>
    </row>
    <row r="34">
      <c r="A34">
        <f>IF(ISNA(VLOOKUP(B34,Definitions!B$2:B$1839,1,FALSE)),"Not listed","")</f>
        <v/>
      </c>
      <c r="B34" s="13" t="n"/>
    </row>
    <row r="35">
      <c r="A35">
        <f>IF(ISNA(VLOOKUP(B35,Definitions!B$2:B$1839,1,FALSE)),"Not listed","")</f>
        <v/>
      </c>
      <c r="B35" s="13" t="n"/>
    </row>
    <row r="36">
      <c r="A36">
        <f>IF(ISNA(VLOOKUP(B36,Definitions!B$2:B$1839,1,FALSE)),"Not listed","")</f>
        <v/>
      </c>
      <c r="B36" s="13" t="n"/>
    </row>
    <row r="37">
      <c r="A37">
        <f>IF(ISNA(VLOOKUP(B37,Definitions!B$2:B$1839,1,FALSE)),"Not listed","")</f>
        <v/>
      </c>
      <c r="B37" s="2" t="n"/>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2"/>
  <sheetViews>
    <sheetView zoomScale="120" zoomScaleNormal="120" workbookViewId="0">
      <pane ySplit="1" topLeftCell="A2" activePane="bottomLeft" state="frozen"/>
      <selection pane="bottomLeft" activeCell="B8" sqref="B8"/>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Name</t>
        </is>
      </c>
      <c r="D1" s="6" t="inlineStr">
        <is>
          <t>codeSpace</t>
        </is>
      </c>
    </row>
    <row r="2">
      <c r="A2">
        <f>IF(ISNA(VLOOKUP(B2,Definitions!B$2:B$1839,1,FALSE)),"Not listed","")</f>
        <v/>
      </c>
      <c r="B2" t="inlineStr">
        <is>
          <t>LFS</t>
        </is>
      </c>
      <c r="C2" s="3" t="inlineStr">
        <is>
          <t>An alternate name for the definition code given in ID</t>
        </is>
      </c>
      <c r="D2" t="inlineStr">
        <is>
          <t>A URI to provide context for the name. Typically this might identify an authority, a language. a dictionary, or some other metadata value</t>
        </is>
      </c>
    </row>
  </sheetData>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E188"/>
  <sheetViews>
    <sheetView tabSelected="1" topLeftCell="A9" zoomScale="130" zoomScaleNormal="130" workbookViewId="0">
      <selection activeCell="E60" sqref="E60"/>
    </sheetView>
  </sheetViews>
  <sheetFormatPr baseColWidth="10" defaultColWidth="11" defaultRowHeight="16"/>
  <cols>
    <col width="21.1640625" customWidth="1" min="2" max="2"/>
    <col width="54.1640625" customWidth="1" min="3" max="3"/>
    <col width="39" customWidth="1" min="4" max="4"/>
    <col width="21.33203125" customWidth="1" min="5" max="5"/>
  </cols>
  <sheetData>
    <row r="1">
      <c r="A1" t="inlineStr">
        <is>
          <t>DataType</t>
        </is>
      </c>
      <c r="B1" t="inlineStr">
        <is>
          <t>DataType2</t>
        </is>
      </c>
      <c r="C1" t="inlineStr">
        <is>
          <t>QuantityClass</t>
        </is>
      </c>
      <c r="D1" t="inlineStr">
        <is>
          <t>Column2</t>
        </is>
      </c>
      <c r="E1" t="inlineStr">
        <is>
          <t>Column3</t>
        </is>
      </c>
    </row>
    <row r="2">
      <c r="B2" t="inlineStr">
        <is>
          <t>anyURI</t>
        </is>
      </c>
      <c r="C2" t="inlineStr">
        <is>
          <t>absorbed dose</t>
        </is>
      </c>
    </row>
    <row r="3">
      <c r="B3" t="inlineStr">
        <is>
          <t>base64binary</t>
        </is>
      </c>
      <c r="C3" t="inlineStr">
        <is>
          <t>activity [of radioactivity]</t>
        </is>
      </c>
    </row>
    <row r="4">
      <c r="B4" s="7" t="inlineStr">
        <is>
          <t>boolean</t>
        </is>
      </c>
      <c r="C4" t="inlineStr">
        <is>
          <t>amount of substance</t>
        </is>
      </c>
    </row>
    <row r="5">
      <c r="B5" s="7" t="inlineStr">
        <is>
          <t>byte</t>
        </is>
      </c>
      <c r="C5" t="inlineStr">
        <is>
          <t>amount of substance per amount of substance</t>
        </is>
      </c>
    </row>
    <row r="6">
      <c r="B6" t="inlineStr">
        <is>
          <t>date</t>
        </is>
      </c>
      <c r="C6" t="inlineStr">
        <is>
          <t>amount of substance per area</t>
        </is>
      </c>
    </row>
    <row r="7">
      <c r="B7" t="inlineStr">
        <is>
          <t>dateTime</t>
        </is>
      </c>
      <c r="C7" t="inlineStr">
        <is>
          <t>amount of substance per mass</t>
        </is>
      </c>
      <c r="D7" t="inlineStr">
        <is>
          <t>use for cation exchange capacity</t>
        </is>
      </c>
      <c r="E7" t="inlineStr">
        <is>
          <t>not yet used nor in EML Dictionary</t>
        </is>
      </c>
    </row>
    <row r="8">
      <c r="B8" t="inlineStr">
        <is>
          <t>decimal</t>
        </is>
      </c>
      <c r="C8" t="inlineStr">
        <is>
          <t>amount of substance per time</t>
        </is>
      </c>
    </row>
    <row r="9">
      <c r="B9" s="7" t="inlineStr">
        <is>
          <t>double</t>
        </is>
      </c>
      <c r="C9" t="inlineStr">
        <is>
          <t>(amount of substance per time) per area</t>
        </is>
      </c>
    </row>
    <row r="10">
      <c r="B10" t="inlineStr">
        <is>
          <t>duration</t>
        </is>
      </c>
      <c r="C10" t="inlineStr">
        <is>
          <t>amount of substance per volume</t>
        </is>
      </c>
    </row>
    <row r="11">
      <c r="B11" s="7" t="inlineStr">
        <is>
          <t>float</t>
        </is>
      </c>
      <c r="C11" t="inlineStr">
        <is>
          <t>angle per length</t>
        </is>
      </c>
    </row>
    <row r="12">
      <c r="B12" t="inlineStr">
        <is>
          <t>gDay</t>
        </is>
      </c>
      <c r="C12" t="inlineStr">
        <is>
          <t>angle per volume</t>
        </is>
      </c>
    </row>
    <row r="13">
      <c r="B13" t="inlineStr">
        <is>
          <t>gMonth</t>
        </is>
      </c>
      <c r="C13" t="inlineStr">
        <is>
          <t>angular acceleration</t>
        </is>
      </c>
    </row>
    <row r="14">
      <c r="B14" t="inlineStr">
        <is>
          <t>gMonthDay</t>
        </is>
      </c>
      <c r="C14" t="inlineStr">
        <is>
          <t>angular velocity</t>
        </is>
      </c>
    </row>
    <row r="15">
      <c r="B15" t="inlineStr">
        <is>
          <t>gYear</t>
        </is>
      </c>
      <c r="C15" t="inlineStr">
        <is>
          <t>api gamma ray</t>
        </is>
      </c>
    </row>
    <row r="16">
      <c r="B16" t="inlineStr">
        <is>
          <t>gYearMonth</t>
        </is>
      </c>
      <c r="C16" t="inlineStr">
        <is>
          <t>api gravity</t>
        </is>
      </c>
    </row>
    <row r="17">
      <c r="B17" t="inlineStr">
        <is>
          <t>hexBinary</t>
        </is>
      </c>
      <c r="C17" t="inlineStr">
        <is>
          <t>api neutron</t>
        </is>
      </c>
    </row>
    <row r="18">
      <c r="B18" t="inlineStr">
        <is>
          <t>integer</t>
        </is>
      </c>
      <c r="C18" t="inlineStr">
        <is>
          <t>area</t>
        </is>
      </c>
    </row>
    <row r="19">
      <c r="B19" t="inlineStr">
        <is>
          <t>language</t>
        </is>
      </c>
      <c r="C19" t="inlineStr">
        <is>
          <t>area per amount of substance</t>
        </is>
      </c>
    </row>
    <row r="20">
      <c r="B20" s="7" t="inlineStr">
        <is>
          <t>long</t>
        </is>
      </c>
      <c r="C20" t="inlineStr">
        <is>
          <t>area per area</t>
        </is>
      </c>
    </row>
    <row r="21">
      <c r="B21" t="inlineStr">
        <is>
          <t>negativeInteger</t>
        </is>
      </c>
      <c r="C21" t="inlineStr">
        <is>
          <t>area per count</t>
        </is>
      </c>
      <c r="D21" t="inlineStr">
        <is>
          <t>In EML schema but not in EML dictionary</t>
        </is>
      </c>
    </row>
    <row r="22">
      <c r="B22" t="inlineStr">
        <is>
          <t>nonNegativeInteger</t>
        </is>
      </c>
      <c r="C22" t="inlineStr">
        <is>
          <t>area per mass</t>
        </is>
      </c>
    </row>
    <row r="23">
      <c r="B23" t="inlineStr">
        <is>
          <t>nonPositiveInteger</t>
        </is>
      </c>
      <c r="C23" t="inlineStr">
        <is>
          <t>area per time</t>
        </is>
      </c>
    </row>
    <row r="24">
      <c r="B24" t="inlineStr">
        <is>
          <t>normalizedString</t>
        </is>
      </c>
      <c r="C24" t="inlineStr">
        <is>
          <t>area per volume</t>
        </is>
      </c>
    </row>
    <row r="25">
      <c r="B25" t="inlineStr">
        <is>
          <t>positiveInteger</t>
        </is>
      </c>
      <c r="C25" t="inlineStr">
        <is>
          <t>attenuation per frequency interval</t>
        </is>
      </c>
    </row>
    <row r="26">
      <c r="B26" t="inlineStr">
        <is>
          <t>short</t>
        </is>
      </c>
      <c r="C26" t="inlineStr">
        <is>
          <t>capacitance</t>
        </is>
      </c>
    </row>
    <row r="27">
      <c r="B27" s="7" t="inlineStr">
        <is>
          <t>string</t>
        </is>
      </c>
      <c r="C27" t="inlineStr">
        <is>
          <t>data transfer speed</t>
        </is>
      </c>
    </row>
    <row r="28">
      <c r="B28" s="7" t="inlineStr">
        <is>
          <t>string</t>
        </is>
      </c>
      <c r="C28" t="inlineStr">
        <is>
          <t>diffusion coefficient</t>
        </is>
      </c>
    </row>
    <row r="29">
      <c r="B29" t="inlineStr">
        <is>
          <t>time</t>
        </is>
      </c>
      <c r="C29" t="inlineStr">
        <is>
          <t>diffusive time of flight</t>
        </is>
      </c>
      <c r="D29" t="inlineStr">
        <is>
          <t>In EML schema but not in EML dictionary</t>
        </is>
      </c>
    </row>
    <row r="30">
      <c r="B30" t="inlineStr">
        <is>
          <t>token</t>
        </is>
      </c>
      <c r="C30" t="inlineStr">
        <is>
          <t>digital storage</t>
        </is>
      </c>
    </row>
    <row r="31">
      <c r="B31" t="inlineStr">
        <is>
          <t>unsignedByte</t>
        </is>
      </c>
      <c r="C31" t="inlineStr">
        <is>
          <t>dimensionless</t>
        </is>
      </c>
    </row>
    <row r="32">
      <c r="B32" t="inlineStr">
        <is>
          <t>unsignedInt</t>
        </is>
      </c>
      <c r="C32" t="inlineStr">
        <is>
          <t>dipole moment</t>
        </is>
      </c>
    </row>
    <row r="33">
      <c r="B33" t="inlineStr">
        <is>
          <t>unsignedLong</t>
        </is>
      </c>
      <c r="C33" t="inlineStr">
        <is>
          <t>dose equivalent</t>
        </is>
      </c>
    </row>
    <row r="34">
      <c r="B34" t="inlineStr">
        <is>
          <t>unsignedShort</t>
        </is>
      </c>
      <c r="C34" t="inlineStr">
        <is>
          <t>dynamic viscosity</t>
        </is>
      </c>
    </row>
    <row r="35">
      <c r="B35" s="7" t="inlineStr">
        <is>
          <t>vector</t>
        </is>
      </c>
      <c r="C35" t="inlineStr">
        <is>
          <t>electric charge</t>
        </is>
      </c>
    </row>
    <row r="36">
      <c r="C36" t="inlineStr">
        <is>
          <t>electric charge per area</t>
        </is>
      </c>
    </row>
    <row r="37">
      <c r="C37" t="inlineStr">
        <is>
          <t>electric charge per mass</t>
        </is>
      </c>
    </row>
    <row r="38">
      <c r="C38" t="inlineStr">
        <is>
          <t>electric charge per volume</t>
        </is>
      </c>
    </row>
    <row r="39">
      <c r="C39" t="inlineStr">
        <is>
          <t>electric conductance</t>
        </is>
      </c>
    </row>
    <row r="40">
      <c r="C40" t="inlineStr">
        <is>
          <t>electric conductivity</t>
        </is>
      </c>
    </row>
    <row r="41">
      <c r="C41" t="inlineStr">
        <is>
          <t>electric current</t>
        </is>
      </c>
    </row>
    <row r="42">
      <c r="C42" t="inlineStr">
        <is>
          <t>electric current density</t>
        </is>
      </c>
    </row>
    <row r="43">
      <c r="C43" t="inlineStr">
        <is>
          <t>electric field strength</t>
        </is>
      </c>
    </row>
    <row r="44">
      <c r="C44" t="inlineStr">
        <is>
          <t>electric potential difference</t>
        </is>
      </c>
    </row>
    <row r="45">
      <c r="C45" t="inlineStr">
        <is>
          <t>electric resistance</t>
        </is>
      </c>
    </row>
    <row r="46">
      <c r="C46" t="inlineStr">
        <is>
          <t>electric resistance per length</t>
        </is>
      </c>
    </row>
    <row r="47">
      <c r="C47" t="inlineStr">
        <is>
          <t>electrical resistivity</t>
        </is>
      </c>
    </row>
    <row r="48">
      <c r="C48" t="inlineStr">
        <is>
          <t>electromagnetic moment</t>
        </is>
      </c>
    </row>
    <row r="49">
      <c r="C49" t="inlineStr">
        <is>
          <t>energy</t>
        </is>
      </c>
    </row>
    <row r="50">
      <c r="C50" t="inlineStr">
        <is>
          <t>energy length per area</t>
        </is>
      </c>
    </row>
    <row r="51">
      <c r="C51" t="inlineStr">
        <is>
          <t>energy length per time area temperature</t>
        </is>
      </c>
    </row>
    <row r="52">
      <c r="C52" t="inlineStr">
        <is>
          <t>energy per area</t>
        </is>
      </c>
    </row>
    <row r="53">
      <c r="C53" t="inlineStr">
        <is>
          <t>energy per length</t>
        </is>
      </c>
    </row>
    <row r="54">
      <c r="C54" t="inlineStr">
        <is>
          <t>energy per mass</t>
        </is>
      </c>
    </row>
    <row r="55">
      <c r="C55" t="inlineStr">
        <is>
          <t>(energy per mass) per time</t>
        </is>
      </c>
    </row>
    <row r="56">
      <c r="C56" t="inlineStr">
        <is>
          <t>energy per volume</t>
        </is>
      </c>
    </row>
    <row r="57">
      <c r="C57" t="inlineStr">
        <is>
          <t>force</t>
        </is>
      </c>
    </row>
    <row r="58">
      <c r="C58" t="inlineStr">
        <is>
          <t>force area</t>
        </is>
      </c>
    </row>
    <row r="59">
      <c r="C59" t="inlineStr">
        <is>
          <t>force length per length</t>
        </is>
      </c>
    </row>
    <row r="60">
      <c r="C60" t="inlineStr">
        <is>
          <t>force or mass per volume</t>
        </is>
      </c>
      <c r="D60" t="inlineStr">
        <is>
          <t>use for geotechnical densities</t>
        </is>
      </c>
    </row>
    <row r="61">
      <c r="C61" t="inlineStr">
        <is>
          <t>force per force</t>
        </is>
      </c>
    </row>
    <row r="62">
      <c r="C62" t="inlineStr">
        <is>
          <t>force per length</t>
        </is>
      </c>
    </row>
    <row r="63">
      <c r="C63" t="inlineStr">
        <is>
          <t>force per volume</t>
        </is>
      </c>
    </row>
    <row r="64">
      <c r="C64" t="inlineStr">
        <is>
          <t>frequency</t>
        </is>
      </c>
    </row>
    <row r="65">
      <c r="C65" t="inlineStr">
        <is>
          <t>frequency interval</t>
        </is>
      </c>
    </row>
    <row r="66">
      <c r="C66" t="inlineStr">
        <is>
          <t>gravitational gradient</t>
        </is>
      </c>
      <c r="D66" t="inlineStr">
        <is>
          <t>use for gravity gradients</t>
        </is>
      </c>
      <c r="E66" t="inlineStr">
        <is>
          <t>Inow in EML dictionary</t>
        </is>
      </c>
    </row>
    <row r="67">
      <c r="C67" t="inlineStr">
        <is>
          <t>heat capacity</t>
        </is>
      </c>
    </row>
    <row r="68">
      <c r="C68" t="inlineStr">
        <is>
          <t>heat flow rate</t>
        </is>
      </c>
    </row>
    <row r="69">
      <c r="C69" t="inlineStr">
        <is>
          <t>heat transfer coefficient</t>
        </is>
      </c>
    </row>
    <row r="70">
      <c r="C70" t="inlineStr">
        <is>
          <t>illuminance</t>
        </is>
      </c>
    </row>
    <row r="71">
      <c r="C71" t="inlineStr">
        <is>
          <t>inductance</t>
        </is>
      </c>
    </row>
    <row r="72">
      <c r="C72" t="inlineStr">
        <is>
          <t>isothermal compressibility</t>
        </is>
      </c>
    </row>
    <row r="73">
      <c r="C73" t="inlineStr">
        <is>
          <t>kinematic viscosity</t>
        </is>
      </c>
    </row>
    <row r="74">
      <c r="C74" t="inlineStr">
        <is>
          <t>length</t>
        </is>
      </c>
    </row>
    <row r="75">
      <c r="C75" t="inlineStr">
        <is>
          <t>length per length</t>
        </is>
      </c>
    </row>
    <row r="76">
      <c r="C76" t="inlineStr">
        <is>
          <t>length per mass</t>
        </is>
      </c>
    </row>
    <row r="77">
      <c r="C77" t="inlineStr">
        <is>
          <t>length per pressure</t>
        </is>
      </c>
    </row>
    <row r="78">
      <c r="C78" t="inlineStr">
        <is>
          <t>length per temperature</t>
        </is>
      </c>
    </row>
    <row r="79">
      <c r="C79" t="inlineStr">
        <is>
          <t>length per time</t>
        </is>
      </c>
    </row>
    <row r="80">
      <c r="C80" t="inlineStr">
        <is>
          <t>length per volume</t>
        </is>
      </c>
    </row>
    <row r="81">
      <c r="C81" t="inlineStr">
        <is>
          <t>light exposure</t>
        </is>
      </c>
    </row>
    <row r="82">
      <c r="C82" t="inlineStr">
        <is>
          <t>linear acceleration</t>
        </is>
      </c>
    </row>
    <row r="83">
      <c r="C83" t="inlineStr">
        <is>
          <t>linear thermal expansion</t>
        </is>
      </c>
    </row>
    <row r="84">
      <c r="C84" t="inlineStr">
        <is>
          <t>logarithmic power ratio</t>
        </is>
      </c>
    </row>
    <row r="85">
      <c r="C85" t="inlineStr">
        <is>
          <t>logarithmic power ratio per length</t>
        </is>
      </c>
    </row>
    <row r="86">
      <c r="C86" t="inlineStr">
        <is>
          <t>luminance</t>
        </is>
      </c>
    </row>
    <row r="87">
      <c r="C87" t="inlineStr">
        <is>
          <t>luminous efficacy</t>
        </is>
      </c>
    </row>
    <row r="88">
      <c r="C88" t="inlineStr">
        <is>
          <t>luminous flux</t>
        </is>
      </c>
    </row>
    <row r="89">
      <c r="C89" t="inlineStr">
        <is>
          <t>luminous intensity</t>
        </is>
      </c>
    </row>
    <row r="90">
      <c r="C90" t="inlineStr">
        <is>
          <t>magnetic dipole moment</t>
        </is>
      </c>
    </row>
    <row r="91">
      <c r="C91" t="inlineStr">
        <is>
          <t>magnetic field strength</t>
        </is>
      </c>
    </row>
    <row r="92">
      <c r="C92" t="inlineStr">
        <is>
          <t>magnetic flux</t>
        </is>
      </c>
    </row>
    <row r="93">
      <c r="C93" t="inlineStr">
        <is>
          <t>magnetic flux density</t>
        </is>
      </c>
    </row>
    <row r="94">
      <c r="C94" t="inlineStr">
        <is>
          <t>magnetic flux density per length</t>
        </is>
      </c>
    </row>
    <row r="95">
      <c r="C95" t="inlineStr">
        <is>
          <t>magnetic permeability</t>
        </is>
      </c>
    </row>
    <row r="96">
      <c r="C96" t="inlineStr">
        <is>
          <t>magnetic vector potential</t>
        </is>
      </c>
    </row>
    <row r="97">
      <c r="C97" t="inlineStr">
        <is>
          <t>mass</t>
        </is>
      </c>
    </row>
    <row r="98">
      <c r="C98" t="inlineStr">
        <is>
          <t>mass length</t>
        </is>
      </c>
    </row>
    <row r="99">
      <c r="C99" t="inlineStr">
        <is>
          <t>mass per area</t>
        </is>
      </c>
    </row>
    <row r="100">
      <c r="C100" t="inlineStr">
        <is>
          <t>mass per energy</t>
        </is>
      </c>
    </row>
    <row r="101">
      <c r="C101" t="inlineStr">
        <is>
          <t>mass per length</t>
        </is>
      </c>
    </row>
    <row r="102">
      <c r="C102" t="inlineStr">
        <is>
          <t>mass per mass</t>
        </is>
      </c>
    </row>
    <row r="103">
      <c r="C103" t="inlineStr">
        <is>
          <t>mass per time</t>
        </is>
      </c>
    </row>
    <row r="104">
      <c r="C104" t="inlineStr">
        <is>
          <t>(mass per time) per area</t>
        </is>
      </c>
    </row>
    <row r="105">
      <c r="C105" t="inlineStr">
        <is>
          <t>(mass per time) per length</t>
        </is>
      </c>
    </row>
    <row r="106">
      <c r="C106" t="inlineStr">
        <is>
          <t>mass per volume</t>
        </is>
      </c>
    </row>
    <row r="107">
      <c r="C107" t="inlineStr">
        <is>
          <t>(mass per volume) per length</t>
        </is>
      </c>
    </row>
    <row r="108">
      <c r="C108" t="inlineStr">
        <is>
          <t>(mass per volume) per pressure</t>
        </is>
      </c>
      <c r="D108" t="inlineStr">
        <is>
          <t>In EML schema but not in EML dictionary</t>
        </is>
      </c>
    </row>
    <row r="109">
      <c r="C109" t="inlineStr">
        <is>
          <t>(mass per volume) per temperature</t>
        </is>
      </c>
      <c r="D109" t="inlineStr">
        <is>
          <t>In EML schema but not in EML dictionary</t>
        </is>
      </c>
    </row>
    <row r="110">
      <c r="C110" t="inlineStr">
        <is>
          <t>mobility</t>
        </is>
      </c>
    </row>
    <row r="111">
      <c r="C111" t="inlineStr">
        <is>
          <t>molar energy</t>
        </is>
      </c>
    </row>
    <row r="112">
      <c r="C112" t="inlineStr">
        <is>
          <t>molar heat capacity</t>
        </is>
      </c>
    </row>
    <row r="113">
      <c r="C113" t="inlineStr">
        <is>
          <t>molar volume</t>
        </is>
      </c>
    </row>
    <row r="114">
      <c r="C114" t="inlineStr">
        <is>
          <t>molecular weight</t>
        </is>
      </c>
    </row>
    <row r="115">
      <c r="C115" t="inlineStr">
        <is>
          <t>moment of force</t>
        </is>
      </c>
    </row>
    <row r="116">
      <c r="C116" t="inlineStr">
        <is>
          <t>moment of inertia</t>
        </is>
      </c>
    </row>
    <row r="117">
      <c r="C117" t="inlineStr">
        <is>
          <t>momentum</t>
        </is>
      </c>
    </row>
    <row r="118">
      <c r="C118" t="inlineStr">
        <is>
          <t>normalized power</t>
        </is>
      </c>
    </row>
    <row r="119">
      <c r="C119" t="inlineStr">
        <is>
          <t>permeability length</t>
        </is>
      </c>
    </row>
    <row r="120">
      <c r="C120" t="inlineStr">
        <is>
          <t>permeability rock</t>
        </is>
      </c>
    </row>
    <row r="121">
      <c r="C121" t="inlineStr">
        <is>
          <t>permittivity</t>
        </is>
      </c>
    </row>
    <row r="122">
      <c r="C122" t="inlineStr">
        <is>
          <t>plane angle</t>
        </is>
      </c>
    </row>
    <row r="123">
      <c r="C123" t="inlineStr">
        <is>
          <t>potential difference per power drop</t>
        </is>
      </c>
    </row>
    <row r="124">
      <c r="C124" t="inlineStr">
        <is>
          <t>power</t>
        </is>
      </c>
    </row>
    <row r="125">
      <c r="C125" t="inlineStr">
        <is>
          <t>power per area</t>
        </is>
      </c>
    </row>
    <row r="126">
      <c r="C126" t="inlineStr">
        <is>
          <t>power per power</t>
        </is>
      </c>
    </row>
    <row r="127">
      <c r="C127" t="inlineStr">
        <is>
          <t>power per volume</t>
        </is>
      </c>
    </row>
    <row r="128">
      <c r="C128" t="inlineStr">
        <is>
          <t>pressure</t>
        </is>
      </c>
    </row>
    <row r="129">
      <c r="C129" t="inlineStr">
        <is>
          <t>pressure per pressure</t>
        </is>
      </c>
      <c r="E129" t="inlineStr">
        <is>
          <t>Now in dictonary</t>
        </is>
      </c>
    </row>
    <row r="130">
      <c r="C130" t="inlineStr">
        <is>
          <t>pressure per time</t>
        </is>
      </c>
    </row>
    <row r="131">
      <c r="C131" t="inlineStr">
        <is>
          <t>pressure per volume</t>
        </is>
      </c>
    </row>
    <row r="132">
      <c r="C132" t="inlineStr">
        <is>
          <t>pressure squared</t>
        </is>
      </c>
    </row>
    <row r="133">
      <c r="C133" t="inlineStr">
        <is>
          <t>pressure squared per (force time per area)</t>
        </is>
      </c>
    </row>
    <row r="134">
      <c r="C134" t="inlineStr">
        <is>
          <t>pressure time per volume</t>
        </is>
      </c>
    </row>
    <row r="135">
      <c r="C135" t="inlineStr">
        <is>
          <t>quantity of light</t>
        </is>
      </c>
    </row>
    <row r="136">
      <c r="C136" t="inlineStr">
        <is>
          <t>radiance</t>
        </is>
      </c>
    </row>
    <row r="137">
      <c r="C137" t="inlineStr">
        <is>
          <t>radiant intensity</t>
        </is>
      </c>
    </row>
    <row r="138">
      <c r="C138" t="inlineStr">
        <is>
          <t>reciprocal area</t>
        </is>
      </c>
    </row>
    <row r="139">
      <c r="C139" t="inlineStr">
        <is>
          <t>reciprocal electric potential difference</t>
        </is>
      </c>
    </row>
    <row r="140">
      <c r="C140" t="inlineStr">
        <is>
          <t>reciprocal force</t>
        </is>
      </c>
    </row>
    <row r="141">
      <c r="C141" t="inlineStr">
        <is>
          <t>reciprocal length</t>
        </is>
      </c>
    </row>
    <row r="142">
      <c r="C142" t="inlineStr">
        <is>
          <t>reciprocal mass</t>
        </is>
      </c>
    </row>
    <row r="143">
      <c r="C143" t="inlineStr">
        <is>
          <t>reciprocal (mass time)</t>
        </is>
      </c>
    </row>
    <row r="144">
      <c r="C144" t="inlineStr">
        <is>
          <t>reciprocal pressure</t>
        </is>
      </c>
    </row>
    <row r="145">
      <c r="C145" t="inlineStr">
        <is>
          <t>reciprocal time</t>
        </is>
      </c>
    </row>
    <row r="146">
      <c r="C146" t="inlineStr">
        <is>
          <t>reciprocal volume</t>
        </is>
      </c>
    </row>
    <row r="147">
      <c r="C147" t="inlineStr">
        <is>
          <t>relative rate</t>
        </is>
      </c>
      <c r="D147" t="inlineStr">
        <is>
          <t>use for strain rate</t>
        </is>
      </c>
    </row>
    <row r="148">
      <c r="C148" t="inlineStr">
        <is>
          <t>reluctance</t>
        </is>
      </c>
    </row>
    <row r="149">
      <c r="C149" t="inlineStr">
        <is>
          <t>second moment of area</t>
        </is>
      </c>
    </row>
    <row r="150">
      <c r="C150" t="inlineStr">
        <is>
          <t>signaling event per time</t>
        </is>
      </c>
    </row>
    <row r="151">
      <c r="C151" t="inlineStr">
        <is>
          <t>solid angle</t>
        </is>
      </c>
    </row>
    <row r="152">
      <c r="C152" t="inlineStr">
        <is>
          <t>specific heat capacity</t>
        </is>
      </c>
    </row>
    <row r="153">
      <c r="C153" t="inlineStr">
        <is>
          <t>temperature interval</t>
        </is>
      </c>
    </row>
    <row r="154">
      <c r="C154" t="inlineStr">
        <is>
          <t>temperature interval per length</t>
        </is>
      </c>
    </row>
    <row r="155">
      <c r="C155" t="inlineStr">
        <is>
          <t>temperature interval per pressure</t>
        </is>
      </c>
    </row>
    <row r="156">
      <c r="C156" t="inlineStr">
        <is>
          <t>temperature interval per time</t>
        </is>
      </c>
    </row>
    <row r="157">
      <c r="C157" t="inlineStr">
        <is>
          <t>thermal conductance</t>
        </is>
      </c>
    </row>
    <row r="158">
      <c r="C158" t="inlineStr">
        <is>
          <t>thermal conductivity</t>
        </is>
      </c>
    </row>
    <row r="159">
      <c r="C159" t="inlineStr">
        <is>
          <t>thermal diffusivity</t>
        </is>
      </c>
    </row>
    <row r="160">
      <c r="C160" t="inlineStr">
        <is>
          <t>thermal insulance</t>
        </is>
      </c>
    </row>
    <row r="161">
      <c r="C161" t="inlineStr">
        <is>
          <t>thermal resistance</t>
        </is>
      </c>
    </row>
    <row r="162">
      <c r="C162" t="inlineStr">
        <is>
          <t>thermodynamic temperature</t>
        </is>
      </c>
    </row>
    <row r="163">
      <c r="C163" t="inlineStr">
        <is>
          <t>thermodynamic temperature per thermodynamic temperature</t>
        </is>
      </c>
      <c r="D163" t="inlineStr">
        <is>
          <t>In EML schema but not in EML dictionary</t>
        </is>
      </c>
    </row>
    <row r="164">
      <c r="C164" t="inlineStr">
        <is>
          <t>time</t>
        </is>
      </c>
    </row>
    <row r="165">
      <c r="C165" t="inlineStr">
        <is>
          <t>time per length</t>
        </is>
      </c>
    </row>
    <row r="166">
      <c r="C166" t="inlineStr">
        <is>
          <t>time per mass</t>
        </is>
      </c>
    </row>
    <row r="167">
      <c r="C167" t="inlineStr">
        <is>
          <t>time per time</t>
        </is>
      </c>
    </row>
    <row r="168">
      <c r="C168" t="inlineStr">
        <is>
          <t>time per volume</t>
        </is>
      </c>
    </row>
    <row r="169">
      <c r="C169" t="inlineStr">
        <is>
          <t>volume</t>
        </is>
      </c>
    </row>
    <row r="170">
      <c r="C170" t="inlineStr">
        <is>
          <t>volume flow rate per volume flow rate</t>
        </is>
      </c>
    </row>
    <row r="171">
      <c r="C171" t="inlineStr">
        <is>
          <t>volume per area</t>
        </is>
      </c>
    </row>
    <row r="172">
      <c r="C172" t="inlineStr">
        <is>
          <t>volume per length</t>
        </is>
      </c>
    </row>
    <row r="173">
      <c r="C173" t="inlineStr">
        <is>
          <t>volume per mass</t>
        </is>
      </c>
    </row>
    <row r="174">
      <c r="C174" t="inlineStr">
        <is>
          <t>volume per pressure</t>
        </is>
      </c>
    </row>
    <row r="175">
      <c r="C175" t="inlineStr">
        <is>
          <t>volume per rotation</t>
        </is>
      </c>
    </row>
    <row r="176">
      <c r="C176" t="inlineStr">
        <is>
          <t>volume per time</t>
        </is>
      </c>
    </row>
    <row r="177">
      <c r="C177" t="inlineStr">
        <is>
          <t>(volume per time) length</t>
        </is>
      </c>
    </row>
    <row r="178">
      <c r="C178" t="inlineStr">
        <is>
          <t>(volume per time) per area</t>
        </is>
      </c>
    </row>
    <row r="179">
      <c r="C179" t="inlineStr">
        <is>
          <t>(volume per time) per length</t>
        </is>
      </c>
    </row>
    <row r="180">
      <c r="C180" t="inlineStr">
        <is>
          <t>(volume per time) per pressure</t>
        </is>
      </c>
    </row>
    <row r="181">
      <c r="C181" t="inlineStr">
        <is>
          <t>(volume per time) per (pressure length)</t>
        </is>
      </c>
    </row>
    <row r="182">
      <c r="C182" t="inlineStr">
        <is>
          <t>(volume per time) per time</t>
        </is>
      </c>
    </row>
    <row r="183">
      <c r="C183" t="inlineStr">
        <is>
          <t>(volume per time) per volume</t>
        </is>
      </c>
    </row>
    <row r="184">
      <c r="C184" t="inlineStr">
        <is>
          <t>volume per volume</t>
        </is>
      </c>
    </row>
    <row r="185">
      <c r="C185" t="inlineStr">
        <is>
          <t>volumetric heat transfer coefficient</t>
        </is>
      </c>
    </row>
    <row r="186">
      <c r="C186" t="inlineStr">
        <is>
          <t>volumetric thermal expansion</t>
        </is>
      </c>
    </row>
    <row r="187">
      <c r="C187" t="inlineStr">
        <is>
          <t>reciprocal time(0.5)</t>
        </is>
      </c>
      <c r="D187" t="inlineStr">
        <is>
          <t>used for pressure filtration</t>
        </is>
      </c>
    </row>
    <row r="188">
      <c r="C188" t="inlineStr">
        <is>
          <t>volume or mass loss</t>
        </is>
      </c>
      <c r="D188" t="inlineStr">
        <is>
          <t>used for pressure filtration</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Microsoft Office User</dc:creator>
  <dcterms:created xmlns:dcterms="http://purl.org/dc/terms/" xmlns:xsi="http://www.w3.org/2001/XMLSchema-instance" xsi:type="dcterms:W3CDTF">2018-10-28T20:07:54Z</dcterms:created>
  <dcterms:modified xmlns:dcterms="http://purl.org/dc/terms/" xmlns:xsi="http://www.w3.org/2001/XMLSchema-instance" xsi:type="dcterms:W3CDTF">2026-10-04T18:52:15Z</dcterms:modified>
  <cp:lastModifiedBy>Ponti, Daniel J</cp:lastModifiedBy>
</cp:coreProperties>
</file>