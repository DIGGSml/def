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name="DictionaryName" sheetId="1" state="visible" r:id="rId1"/>
    <sheet name="Definitions" sheetId="2" state="visible" r:id="rId2"/>
    <sheet name="AssociatedElements" sheetId="3" state="visible" r:id="rId3"/>
    <sheet name="AlternateNames" sheetId="4" state="visible" r:id="rId4"/>
    <sheet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measurementKind</t>
        </is>
      </c>
      <c r="C3" s="12" t="inlineStr">
        <is>
          <t>measurementKind</t>
        </is>
      </c>
      <c r="D3" s="12" t="inlineStr">
        <is>
          <t>DIGGS Target Measurement Kind Codelist Definitions</t>
        </is>
      </c>
      <c r="E3" s="2" t="inlineStr">
        <is>
          <t>Codes naming the kind of measurement a diggs:TargetMeasurement plans, for use where no measurementMethod is cited or where the cited method admits several kinds of measurement. Seeded here with the load-verification and integrity-testing kinds referenced by rigid inclusion acceptance testing (ASIRI; FHWA-KS-25-02); TargetMeasurement is general DIGGS infrastructure covering every planned Test, Monitor, MaterialTest, MeasurementWhileDrilling and GeophysicalFieldSurvey, so the list is expected to grow well beyond this starting set as other domains populate it. Expect this element to be omitted in the common case, per its own documentation.</t>
        </is>
      </c>
    </row>
    <row r="4" ht="17" customHeight="1">
      <c r="A4" s="2" t="n"/>
      <c r="B4" s="2" t="n"/>
      <c r="D4" s="2" t="n"/>
      <c r="E4" s="2" t="inlineStr">
        <is>
          <t>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static_load_test</t>
        </is>
      </c>
      <c r="C2" s="13" t="inlineStr">
        <is>
          <t>Static load test</t>
        </is>
      </c>
      <c r="D2" s="14" t="inlineStr">
        <is>
          <t>A slow-maintained or constant-rate-of-penetration axial load test applying load directly to the element and measuring load-movement response, per ASTM D1143 or equivalent.</t>
        </is>
      </c>
      <c r="E2" s="13" t="inlineStr">
        <is>
          <t>string</t>
        </is>
      </c>
      <c r="F2" s="13" t="n"/>
      <c r="G2" s="9" t="inlineStr">
        <is>
          <t>ASTM D1143</t>
        </is>
      </c>
    </row>
    <row r="3">
      <c r="A3" s="2">
        <f>IF(ISNA(VLOOKUP(B3,AssociatedElements!B$2:B2941,1,FALSE)),"Not used","")</f>
        <v/>
      </c>
      <c r="B3" s="13" t="inlineStr">
        <is>
          <t>rapid_load_test</t>
        </is>
      </c>
      <c r="C3" s="13" t="inlineStr">
        <is>
          <t>Rapid load test</t>
        </is>
      </c>
      <c r="D3" s="14" t="inlineStr">
        <is>
          <t>An axial load test applying load over roughly one to several seconds, faster than a static test and slower than a dynamic impact test, per ASTM D7383 or equivalent.</t>
        </is>
      </c>
      <c r="E3" s="13" t="inlineStr">
        <is>
          <t>string</t>
        </is>
      </c>
      <c r="F3" s="13" t="n"/>
      <c r="G3" s="9" t="inlineStr">
        <is>
          <t>ASTM D7383</t>
        </is>
      </c>
    </row>
    <row r="4">
      <c r="A4" s="2">
        <f>IF(ISNA(VLOOKUP(B4,AssociatedElements!B$2:B2942,1,FALSE)),"Not used","")</f>
        <v/>
      </c>
      <c r="B4" t="inlineStr">
        <is>
          <t>dynamic_load_test</t>
        </is>
      </c>
      <c r="C4" t="inlineStr">
        <is>
          <t>High-strain dynamic load test</t>
        </is>
      </c>
      <c r="D4" t="inlineStr">
        <is>
          <t>An axial load test in which the element is struck by an impact device and force and velocity are measured to estimate capacity by wave-equation analysis, per ASTM D4945 or equivalent.</t>
        </is>
      </c>
      <c r="E4" t="inlineStr">
        <is>
          <t>string</t>
        </is>
      </c>
      <c r="G4" s="9" t="inlineStr">
        <is>
          <t>ASTM D4945</t>
        </is>
      </c>
    </row>
    <row r="5">
      <c r="A5" s="2">
        <f>IF(ISNA(VLOOKUP(B5,AssociatedElements!B$2:B2943,1,FALSE)),"Not used","")</f>
        <v/>
      </c>
      <c r="B5" s="13" t="inlineStr">
        <is>
          <t>low_strain_integrity_test</t>
        </is>
      </c>
      <c r="C5" s="13" t="inlineStr">
        <is>
          <t>Low-strain integrity test</t>
        </is>
      </c>
      <c r="D5" s="14" t="inlineStr">
        <is>
          <t>A low-strain impact (pulse-echo or transient-response) test used to detect discontinuities, necking or changes in cross-section along the length of a completed element, per ASTM D5882 or equivalent.</t>
        </is>
      </c>
      <c r="E5" s="13" t="inlineStr">
        <is>
          <t>string</t>
        </is>
      </c>
      <c r="F5" s="13" t="n"/>
      <c r="G5" s="9" t="inlineStr">
        <is>
          <t>ASTM D5882</t>
        </is>
      </c>
    </row>
    <row r="6">
      <c r="A6" s="2">
        <f>IF(ISNA(VLOOKUP(B6,AssociatedElements!B$2:B2944,1,FALSE)),"Not used","")</f>
        <v/>
      </c>
      <c r="B6" t="inlineStr">
        <is>
          <t>lateral_load_test</t>
        </is>
      </c>
      <c r="C6" s="16" t="inlineStr">
        <is>
          <t>Lateral load test</t>
        </is>
      </c>
      <c r="D6" s="16" t="inlineStr">
        <is>
          <t>A test applying lateral load to the element and measuring lateral load-deflection response, per ASTM D3966 or equivalent.</t>
        </is>
      </c>
      <c r="E6" s="17" t="inlineStr">
        <is>
          <t>string</t>
        </is>
      </c>
      <c r="G6" s="9" t="inlineStr">
        <is>
          <t>ASTM D3966</t>
        </is>
      </c>
    </row>
    <row r="7">
      <c r="A7" s="2">
        <f>IF(ISNA(VLOOKUP(B7,AssociatedElements!B$2:B2945,1,FALSE)),"Not used","")</f>
        <v/>
      </c>
      <c r="B7" t="inlineStr">
        <is>
          <t>composite_load_test</t>
        </is>
      </c>
      <c r="C7" t="inlineStr">
        <is>
          <t>Composite / group load test</t>
        </is>
      </c>
      <c r="D7" t="inlineStr">
        <is>
          <t>A load test applied to a group of inclusions together with the soil between them, measuring the response of the treated ground as a composite rather than the response of one element.</t>
        </is>
      </c>
      <c r="E7" t="inlineStr">
        <is>
          <t>string</t>
        </is>
      </c>
      <c r="G7" s="9" t="inlineStr">
        <is>
          <t>DIGGS</t>
        </is>
      </c>
    </row>
    <row r="8">
      <c r="A8" s="2">
        <f>IF(ISNA(VLOOKUP(B8,AssociatedElements!B$2:B2946,1,FALSE)),"Not used","")</f>
        <v/>
      </c>
      <c r="B8" t="inlineStr">
        <is>
          <t>soil_load_test</t>
        </is>
      </c>
      <c r="C8" t="inlineStr">
        <is>
          <t>Test on surrounding soil</t>
        </is>
      </c>
      <c r="D8" t="inlineStr">
        <is>
          <t>A load test applied to the soil between inclusions rather than to an inclusion, used to verify the stress and settlement assumed for the untreated soil in a composite-ground design.</t>
        </is>
      </c>
      <c r="E8" t="inlineStr">
        <is>
          <t>string</t>
        </is>
      </c>
      <c r="G8" s="9" t="inlineStr">
        <is>
          <t>DIGGS</t>
        </is>
      </c>
    </row>
    <row r="9">
      <c r="A9" s="2">
        <f>IF(ISNA(VLOOKUP(B9,AssociatedElements!B$2:B$999,1,FALSE)),"Not used","")</f>
        <v/>
      </c>
      <c r="B9" t="inlineStr">
        <is>
          <t>plate_load_test</t>
        </is>
      </c>
      <c r="C9" s="16" t="inlineStr">
        <is>
          <t>Plate load test</t>
        </is>
      </c>
      <c r="D9" s="16" t="inlineStr">
        <is>
          <t>A plate-bearing load test on a single deep foundation element head, measuring ground or platform stiffness rather than the element's own axial capacity, per ASTM D1194 (withdrawn 2003, still in practical use), ASTM D1195/D1196, or DIN 18134.</t>
        </is>
      </c>
      <c r="E9" s="17" t="inlineStr">
        <is>
          <t>string</t>
        </is>
      </c>
      <c r="G9" s="9" t="inlineStr">
        <is>
          <t>ASTM D1196</t>
        </is>
      </c>
    </row>
    <row r="10">
      <c r="A10" s="2">
        <f>IF(ISNA(VLOOKUP(B10,AssociatedElements!B$2:B$999,1,FALSE)),"Not used","")</f>
        <v/>
      </c>
      <c r="B10" s="13" t="inlineStr">
        <is>
          <t>zone_load_test</t>
        </is>
      </c>
      <c r="C10" s="13" t="inlineStr">
        <is>
          <t>Zone load test</t>
        </is>
      </c>
      <c r="D10" s="14" t="inlineStr">
        <is>
          <t>A large-plate load test on a load transfer platform over a group of columns, per BS 8006-1 (which requires the test), typically executed to ASTM D1195/D1196 or DIN 18134's methodology.</t>
        </is>
      </c>
      <c r="E10" s="13" t="inlineStr">
        <is>
          <t>string</t>
        </is>
      </c>
      <c r="F10" s="13" t="n"/>
      <c r="G10" s="9" t="inlineStr">
        <is>
          <t>BS 8006-1</t>
        </is>
      </c>
    </row>
    <row r="11">
      <c r="A11" s="2">
        <f>IF(ISNA(VLOOKUP(B11,AssociatedElements!B$2:B2949,1,FALSE)),"Not used","")</f>
        <v/>
      </c>
      <c r="B11" s="13" t="n"/>
      <c r="C11" s="13" t="n"/>
      <c r="D11" s="14" t="n"/>
      <c r="E11" s="13" t="n"/>
      <c r="F11" s="13" t="n"/>
      <c r="G11" s="9" t="n"/>
    </row>
    <row r="12">
      <c r="A12" s="2">
        <f>IF(ISNA(VLOOKUP(B12,AssociatedElements!B$2:B2950,1,FALSE)),"Not used","")</f>
        <v/>
      </c>
      <c r="B12" s="13" t="n"/>
      <c r="C12" s="13" t="n"/>
      <c r="D12" s="14" t="n"/>
      <c r="E12" s="13" t="n"/>
      <c r="F12" s="13" t="n"/>
      <c r="G12" s="9" t="n"/>
    </row>
    <row r="13">
      <c r="A13" s="2">
        <f>IF(ISNA(VLOOKUP(B13,AssociatedElements!B$2:B2951,1,FALSE)),"Not used","")</f>
        <v/>
      </c>
      <c r="B13" s="13" t="n"/>
      <c r="C13" s="13" t="n"/>
      <c r="D13" s="14" t="n"/>
      <c r="E13" s="13" t="n"/>
      <c r="F13" s="13" t="n"/>
      <c r="G13" s="9" t="n"/>
    </row>
    <row r="14">
      <c r="A14" s="2">
        <f>IF(ISNA(VLOOKUP(B14,AssociatedElements!B$2:B2952,1,FALSE)),"Not used","")</f>
        <v/>
      </c>
      <c r="B14" s="13" t="n"/>
      <c r="C14" s="13" t="n"/>
      <c r="D14" s="14" t="n"/>
      <c r="E14" s="13" t="n"/>
      <c r="F14" s="13" t="n"/>
      <c r="G14" s="9" t="n"/>
    </row>
    <row r="15">
      <c r="A15" s="2">
        <f>IF(ISNA(VLOOKUP(B15,AssociatedElements!B$2:B2953,1,FALSE)),"Not used","")</f>
        <v/>
      </c>
      <c r="B15" s="13" t="n"/>
      <c r="C15" s="18" t="n"/>
      <c r="D15" s="19" t="n"/>
      <c r="E15" s="18" t="n"/>
      <c r="F15" s="18" t="n"/>
      <c r="G15" s="9" t="n"/>
    </row>
    <row r="16">
      <c r="A16" s="2">
        <f>IF(ISNA(VLOOKUP(B16,AssociatedElements!B$2:B2954,1,FALSE)),"Not used","")</f>
        <v/>
      </c>
      <c r="B16" s="13" t="n"/>
      <c r="C16" s="18" t="n"/>
      <c r="D16" s="19" t="n"/>
      <c r="E16" s="18" t="n"/>
      <c r="F16" s="18" t="n"/>
      <c r="G16" s="9" t="n"/>
    </row>
    <row r="17">
      <c r="A17" s="2">
        <f>IF(ISNA(VLOOKUP(B17,AssociatedElements!B$2:B2955,1,FALSE)),"Not used","")</f>
        <v/>
      </c>
      <c r="B17" s="13" t="n"/>
      <c r="C17" s="18" t="n"/>
      <c r="D17" s="19" t="n"/>
      <c r="E17" s="18" t="n"/>
      <c r="F17" s="18" t="n"/>
      <c r="G17" s="9" t="n"/>
    </row>
    <row r="18">
      <c r="A18" s="2">
        <f>IF(ISNA(VLOOKUP(B18,AssociatedElements!B$2:B2956,1,FALSE)),"Not used","")</f>
        <v/>
      </c>
      <c r="B18" s="13" t="n"/>
      <c r="C18" s="18" t="n"/>
      <c r="D18" s="19" t="n"/>
      <c r="E18" s="18" t="n"/>
      <c r="F18" s="18" t="n"/>
      <c r="G18" s="9" t="n"/>
    </row>
    <row r="19">
      <c r="A19" s="2">
        <f>IF(ISNA(VLOOKUP(B19,AssociatedElements!B$2:B2957,1,FALSE)),"Not used","")</f>
        <v/>
      </c>
      <c r="B19" s="13" t="n"/>
      <c r="C19" s="18" t="n"/>
      <c r="D19" s="19" t="n"/>
      <c r="E19" s="18" t="n"/>
      <c r="F19" s="18" t="n"/>
      <c r="G19" s="9" t="n"/>
    </row>
    <row r="20">
      <c r="A20" s="2">
        <f>IF(ISNA(VLOOKUP(B20,AssociatedElements!B$2:B2958,1,FALSE)),"Not used","")</f>
        <v/>
      </c>
      <c r="B20" s="13" t="n"/>
      <c r="C20" s="18" t="n"/>
      <c r="D20" s="19" t="n"/>
      <c r="E20" s="18" t="n"/>
      <c r="F20" s="18" t="n"/>
      <c r="G20" s="9" t="n"/>
    </row>
    <row r="21">
      <c r="A21" s="2">
        <f>IF(ISNA(VLOOKUP(B21,AssociatedElements!B$2:B2959,1,FALSE)),"Not used","")</f>
        <v/>
      </c>
      <c r="B21" s="13" t="n"/>
      <c r="C21" s="18" t="n"/>
      <c r="D21" s="19" t="n"/>
      <c r="E21" s="18" t="n"/>
      <c r="F21" s="18" t="n"/>
      <c r="G21" s="9" t="n"/>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static_load_test</t>
        </is>
      </c>
      <c r="C2" t="inlineStr">
        <is>
          <t>//diggs:TargetMeasurement/diggs:measurementKind</t>
        </is>
      </c>
    </row>
    <row r="3">
      <c r="A3">
        <f>IF(ISNA(VLOOKUP(B3,Definitions!B$2:B$1839,1,FALSE)),"Not listed","")</f>
        <v/>
      </c>
      <c r="B3" s="20" t="inlineStr">
        <is>
          <t>rapid_load_test</t>
        </is>
      </c>
      <c r="C3" t="inlineStr">
        <is>
          <t>//diggs:TargetMeasurement/diggs:measurementKind</t>
        </is>
      </c>
    </row>
    <row r="4">
      <c r="A4">
        <f>IF(ISNA(VLOOKUP(B4,Definitions!B$2:B$1839,1,FALSE)),"Not listed","")</f>
        <v/>
      </c>
      <c r="B4" s="2" t="inlineStr">
        <is>
          <t>dynamic_load_test</t>
        </is>
      </c>
      <c r="C4" t="inlineStr">
        <is>
          <t>//diggs:TargetMeasurement/diggs:measurementKind</t>
        </is>
      </c>
    </row>
    <row r="5">
      <c r="A5">
        <f>IF(ISNA(VLOOKUP(B5,Definitions!B$2:B$1839,1,FALSE)),"Not listed","")</f>
        <v/>
      </c>
      <c r="B5" s="2" t="inlineStr">
        <is>
          <t>low_strain_integrity_test</t>
        </is>
      </c>
      <c r="C5" t="inlineStr">
        <is>
          <t>//diggs:TargetMeasurement/diggs:measurementKind</t>
        </is>
      </c>
    </row>
    <row r="6">
      <c r="A6">
        <f>IF(ISNA(VLOOKUP(B6,Definitions!B$2:B$1839,1,FALSE)),"Not listed","")</f>
        <v/>
      </c>
      <c r="B6" s="2" t="inlineStr">
        <is>
          <t>lateral_load_test</t>
        </is>
      </c>
      <c r="C6" t="inlineStr">
        <is>
          <t>//diggs:TargetMeasurement/diggs:measurementKind</t>
        </is>
      </c>
    </row>
    <row r="7">
      <c r="A7">
        <f>IF(ISNA(VLOOKUP(B7,Definitions!B$2:B$1839,1,FALSE)),"Not listed","")</f>
        <v/>
      </c>
      <c r="B7" s="2" t="inlineStr">
        <is>
          <t>composite_load_test</t>
        </is>
      </c>
      <c r="C7" t="inlineStr">
        <is>
          <t>//diggs:TargetMeasurement/diggs:measurementKind</t>
        </is>
      </c>
    </row>
    <row r="8">
      <c r="A8">
        <f>IF(ISNA(VLOOKUP(B8,Definitions!B$2:B$1839,1,FALSE)),"Not listed","")</f>
        <v/>
      </c>
      <c r="B8" s="2" t="inlineStr">
        <is>
          <t>soil_load_test</t>
        </is>
      </c>
      <c r="C8" t="inlineStr">
        <is>
          <t>//diggs:TargetMeasurement/diggs:measurementKind</t>
        </is>
      </c>
    </row>
    <row r="9">
      <c r="A9">
        <f>IF(ISNA(VLOOKUP(B9,Definitions!B$2:B$999,1,FALSE)),"Not listed","")</f>
        <v/>
      </c>
      <c r="B9" s="2" t="inlineStr">
        <is>
          <t>plate_load_test</t>
        </is>
      </c>
      <c r="C9" t="inlineStr">
        <is>
          <t>//diggs:TargetMeasurement/diggs:measurementKind</t>
        </is>
      </c>
    </row>
    <row r="10">
      <c r="A10">
        <f>IF(ISNA(VLOOKUP(B10,Definitions!B$2:B$999,1,FALSE)),"Not listed","")</f>
        <v/>
      </c>
      <c r="B10" s="20" t="inlineStr">
        <is>
          <t>zone_load_test</t>
        </is>
      </c>
      <c r="C10" t="inlineStr">
        <is>
          <t>//diggs:TargetMeasurement/diggs:measurementKind</t>
        </is>
      </c>
    </row>
    <row r="11">
      <c r="A11">
        <f>IF(ISNA(VLOOKUP(B11,Definitions!B$2:B$1839,1,FALSE)),"Not listed","")</f>
        <v/>
      </c>
      <c r="B11" s="20" t="n"/>
    </row>
    <row r="12">
      <c r="A12">
        <f>IF(ISNA(VLOOKUP(B12,Definitions!B$2:B$1839,1,FALSE)),"Not listed","")</f>
        <v/>
      </c>
      <c r="B12" s="20" t="n"/>
    </row>
    <row r="13">
      <c r="A13">
        <f>IF(ISNA(VLOOKUP(B13,Definitions!B$2:B$1839,1,FALSE)),"Not listed","")</f>
        <v/>
      </c>
      <c r="B13" s="20" t="n"/>
    </row>
    <row r="14">
      <c r="A14">
        <f>IF(ISNA(VLOOKUP(B14,Definitions!B$2:B$1839,1,FALSE)),"Not listed","")</f>
        <v/>
      </c>
      <c r="B14" s="20" t="n"/>
    </row>
    <row r="15">
      <c r="A15">
        <f>IF(ISNA(VLOOKUP(B15,Definitions!B$2:B$1839,1,FALSE)),"Not listed","")</f>
        <v/>
      </c>
      <c r="B15" s="2" t="n"/>
    </row>
    <row r="16">
      <c r="A16">
        <f>IF(ISNA(VLOOKUP(B16,Definitions!B$2:B$1839,1,FALSE)),"Not listed","")</f>
        <v/>
      </c>
      <c r="B16" s="2" t="n"/>
    </row>
    <row r="17">
      <c r="A17">
        <f>IF(ISNA(VLOOKUP(B17,Definitions!B$2:B$1839,1,FALSE)),"Not listed","")</f>
        <v/>
      </c>
      <c r="B17" s="2" t="n"/>
    </row>
    <row r="18">
      <c r="A18">
        <f>IF(ISNA(VLOOKUP(B18,Definitions!B$2:B$1839,1,FALSE)),"Not listed","")</f>
        <v/>
      </c>
      <c r="B18" s="2" t="n"/>
    </row>
    <row r="19">
      <c r="A19">
        <f>IF(ISNA(VLOOKUP(B19,Definitions!B$2:B$1839,1,FALSE)),"Not listed","")</f>
        <v/>
      </c>
      <c r="B19" s="20" t="n"/>
    </row>
    <row r="20">
      <c r="A20">
        <f>IF(ISNA(VLOOKUP(B20,Definitions!B$2:B$1839,1,FALSE)),"Not listed","")</f>
        <v/>
      </c>
      <c r="B20" s="20" t="n"/>
    </row>
    <row r="21">
      <c r="A21">
        <f>IF(ISNA(VLOOKUP(B21,Definitions!B$2:B$1839,1,FALSE)),"Not listed","")</f>
        <v/>
      </c>
      <c r="B21" s="20" t="n"/>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2026-08-31T22:34:46Z</dcterms:modified>
  <cp:lastModifiedBy>Ponti, Daniel J</cp:lastModifiedBy>
</cp:coreProperties>
</file>