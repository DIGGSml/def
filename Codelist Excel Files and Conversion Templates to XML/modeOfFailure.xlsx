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modeOfFailure</t>
        </is>
      </c>
      <c r="C3" s="12" t="inlineStr">
        <is>
          <t>modeOfFailure</t>
        </is>
      </c>
      <c r="D3" s="12" t="inlineStr">
        <is>
          <t>DIGGS Mode of Failure Codelist Definitions</t>
        </is>
      </c>
      <c r="E3" s="2" t="inlineStr">
        <is>
          <t>Codes classifying how a specimen failed under load. Used for the value of diggs:modeOfFailure on diggs:UnconfinedCompressiveStrengthTest and diggs:TriaxialTestShearStage. The ASTM C39 fracture types, the satisfactory and unsatisfactory failure patterns of ISO 1920-4 and EN 12390-3, and cap failure apply to compression tests of concrete and other cementitious specimens; shear plane and bulging apply to soil and rock specimens. Where a pattern is not one of the listed types, use atypical_fracture_pattern and describe it in the remarks. The C39 wording is that of the 2009 edition.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astm_c39_fracture_type_1</t>
        </is>
      </c>
      <c r="C2" s="13" t="inlineStr">
        <is>
          <t>ASTM C39 fracture type 1</t>
        </is>
      </c>
      <c r="D2" s="14" t="inlineStr">
        <is>
          <t>Reasonably well-formed cones on both ends, less than 25 mm (1 in.) of cracking through caps. Source: ASTM C39/C39M-09a Fig. 2.</t>
        </is>
      </c>
      <c r="E2" s="13" t="inlineStr">
        <is>
          <t>string</t>
        </is>
      </c>
      <c r="F2" s="13" t="n"/>
      <c r="G2" s="9" t="inlineStr">
        <is>
          <t>DIGGS</t>
        </is>
      </c>
      <c r="H2" t="inlineStr">
        <is>
          <t>https://diggsml.org/def/registry/DIGGS/0/specifications.xml#astm_c39</t>
        </is>
      </c>
    </row>
    <row r="3">
      <c r="A3" s="2">
        <f>IF(ISNA(VLOOKUP(B3,AssociatedElements!B$2:B2941,1,FALSE)),"Not used","")</f>
        <v/>
      </c>
      <c r="B3" s="13" t="inlineStr">
        <is>
          <t>astm_c39_fracture_type_2</t>
        </is>
      </c>
      <c r="C3" s="13" t="inlineStr">
        <is>
          <t>ASTM C39 fracture type 2</t>
        </is>
      </c>
      <c r="D3" s="14" t="inlineStr">
        <is>
          <t>Well-formed cone on one end, vertical cracks running through caps, no well-defined cone on the other end. Source: ASTM C39/C39M-09a Fig. 2.</t>
        </is>
      </c>
      <c r="E3" s="13" t="inlineStr">
        <is>
          <t>string</t>
        </is>
      </c>
      <c r="F3" s="13" t="n"/>
      <c r="G3" s="9" t="inlineStr">
        <is>
          <t>DIGGS</t>
        </is>
      </c>
      <c r="H3" t="inlineStr">
        <is>
          <t>https://diggsml.org/def/registry/DIGGS/0/specifications.xml#astm_c39</t>
        </is>
      </c>
    </row>
    <row r="4">
      <c r="A4" s="2">
        <f>IF(ISNA(VLOOKUP(B4,AssociatedElements!B$2:B2942,1,FALSE)),"Not used","")</f>
        <v/>
      </c>
      <c r="B4" t="inlineStr">
        <is>
          <t>astm_c39_fracture_type_3</t>
        </is>
      </c>
      <c r="C4" t="inlineStr">
        <is>
          <t>ASTM C39 fracture type 3</t>
        </is>
      </c>
      <c r="D4" t="inlineStr">
        <is>
          <t>Columnar vertical cracking through both ends, no well-formed cones. Source: ASTM C39/C39M-09a Fig. 2.</t>
        </is>
      </c>
      <c r="E4" t="inlineStr">
        <is>
          <t>string</t>
        </is>
      </c>
      <c r="G4" s="9" t="inlineStr">
        <is>
          <t>DIGGS</t>
        </is>
      </c>
      <c r="H4" t="inlineStr">
        <is>
          <t>https://diggsml.org/def/registry/DIGGS/0/specifications.xml#astm_c39</t>
        </is>
      </c>
    </row>
    <row r="5">
      <c r="A5" s="2">
        <f>IF(ISNA(VLOOKUP(B5,AssociatedElements!B$2:B2943,1,FALSE)),"Not used","")</f>
        <v/>
      </c>
      <c r="B5" s="13" t="inlineStr">
        <is>
          <t>astm_c39_fracture_type_4</t>
        </is>
      </c>
      <c r="C5" s="13" t="inlineStr">
        <is>
          <t>ASTM C39 fracture type 4</t>
        </is>
      </c>
      <c r="D5" s="14" t="inlineStr">
        <is>
          <t>Diagonal fracture with no cracking through ends; tap with a hammer to distinguish from type 1. Source: ASTM C39/C39M-09a Fig. 2.</t>
        </is>
      </c>
      <c r="E5" s="13" t="inlineStr">
        <is>
          <t>string</t>
        </is>
      </c>
      <c r="F5" s="13" t="n"/>
      <c r="G5" s="9" t="inlineStr">
        <is>
          <t>DIGGS</t>
        </is>
      </c>
      <c r="H5" t="inlineStr">
        <is>
          <t>https://diggsml.org/def/registry/DIGGS/0/specifications.xml#astm_c39</t>
        </is>
      </c>
    </row>
    <row r="6">
      <c r="A6" s="2">
        <f>IF(ISNA(VLOOKUP(B6,AssociatedElements!B$2:B2944,1,FALSE)),"Not used","")</f>
        <v/>
      </c>
      <c r="B6" t="inlineStr">
        <is>
          <t>astm_c39_fracture_type_5</t>
        </is>
      </c>
      <c r="C6" s="16" t="inlineStr">
        <is>
          <t>ASTM C39 fracture type 5</t>
        </is>
      </c>
      <c r="D6" s="16" t="inlineStr">
        <is>
          <t>Side fractures at top or bottom; occur commonly with unbonded caps. Source: ASTM C39/C39M-09a Fig. 2.</t>
        </is>
      </c>
      <c r="E6" s="17" t="inlineStr">
        <is>
          <t>string</t>
        </is>
      </c>
      <c r="G6" s="9" t="inlineStr">
        <is>
          <t>DIGGS</t>
        </is>
      </c>
      <c r="H6" t="inlineStr">
        <is>
          <t>https://diggsml.org/def/registry/DIGGS/0/specifications.xml#astm_c39</t>
        </is>
      </c>
    </row>
    <row r="7">
      <c r="A7" s="2">
        <f>IF(ISNA(VLOOKUP(B7,AssociatedElements!B$2:B2945,1,FALSE)),"Not used","")</f>
        <v/>
      </c>
      <c r="B7" t="inlineStr">
        <is>
          <t>astm_c39_fracture_type_6</t>
        </is>
      </c>
      <c r="C7" t="inlineStr">
        <is>
          <t>ASTM C39 fracture type 6</t>
        </is>
      </c>
      <c r="D7" t="inlineStr">
        <is>
          <t>Similar to type 5 but the end of the cylinder is pointed. Source: ASTM C39/C39M-09a Fig. 2.</t>
        </is>
      </c>
      <c r="E7" t="inlineStr">
        <is>
          <t>string</t>
        </is>
      </c>
      <c r="G7" s="9" t="inlineStr">
        <is>
          <t>DIGGS</t>
        </is>
      </c>
      <c r="H7" t="inlineStr">
        <is>
          <t>https://diggsml.org/def/registry/DIGGS/0/specifications.xml#astm_c39</t>
        </is>
      </c>
    </row>
    <row r="8">
      <c r="A8" s="2">
        <f>IF(ISNA(VLOOKUP(B8,AssociatedElements!B$2:B2946,1,FALSE)),"Not used","")</f>
        <v/>
      </c>
      <c r="B8" t="inlineStr">
        <is>
          <t>atypical_fracture_pattern</t>
        </is>
      </c>
      <c r="C8" t="inlineStr">
        <is>
          <t>Atypical fracture pattern</t>
        </is>
      </c>
      <c r="D8" t="inlineStr">
        <is>
          <t>The fracture pattern is not one of the typical patterns of the governing standard; describe it in the remarks, or sketch it. Source: ASTM C39/C39M-09a 7.6.</t>
        </is>
      </c>
      <c r="E8" t="inlineStr">
        <is>
          <t>string</t>
        </is>
      </c>
      <c r="G8" s="9" t="inlineStr">
        <is>
          <t>DIGGS</t>
        </is>
      </c>
      <c r="H8" t="inlineStr">
        <is>
          <t>https://diggsml.org/def/registry/DIGGS/0/specifications.xml#astm_c39</t>
        </is>
      </c>
    </row>
    <row r="9">
      <c r="A9" s="2">
        <f>IF(ISNA(VLOOKUP(B9,AssociatedElements!B$2:B2947,1,FALSE)),"Not used","")</f>
        <v/>
      </c>
      <c r="B9" t="inlineStr">
        <is>
          <t>satisfactory_failure</t>
        </is>
      </c>
      <c r="C9" s="16" t="inlineStr">
        <is>
          <t>Satisfactory failure</t>
        </is>
      </c>
      <c r="D9" s="16" t="inlineStr">
        <is>
          <t>Failure judged satisfactory under the governing standard: explosive failure of a cube with all four exposed faces cracked about equally, or the satisfactory cone-and-split failure of a cylinder. Source: ISO 1920-4:2020 4.5.3 and Figs. 1 and 3; EN 12390-3:2019 7.3.</t>
        </is>
      </c>
      <c r="E9" s="17" t="inlineStr">
        <is>
          <t>string</t>
        </is>
      </c>
      <c r="G9" s="9" t="inlineStr">
        <is>
          <t>DIGGS</t>
        </is>
      </c>
      <c r="H9" t="inlineStr">
        <is>
          <t>https://diggsml.org/def/registry/DIGGS/0/specifications.xml#iso_1920_4</t>
        </is>
      </c>
    </row>
    <row r="10">
      <c r="A10" s="2">
        <f>IF(ISNA(VLOOKUP(B10,AssociatedElements!B$2:B2948,1,FALSE)),"Not used","")</f>
        <v/>
      </c>
      <c r="B10" s="13" t="inlineStr">
        <is>
          <t>unsatisfactory_failure</t>
        </is>
      </c>
      <c r="C10" s="13" t="inlineStr">
        <is>
          <t>Unsatisfactory failure</t>
        </is>
      </c>
      <c r="D10" s="14" t="inlineStr">
        <is>
          <t>Failure judged unsatisfactory under the governing standard; record the closest pattern of the standard (cube pattern number or cylinder pattern letter) in the remarks. Source: ISO 1920-4:2020 4.5.3 and Figs. 2 and 4; EN 12390-3:2019 7.3.</t>
        </is>
      </c>
      <c r="E10" s="13" t="inlineStr">
        <is>
          <t>string</t>
        </is>
      </c>
      <c r="F10" s="13" t="n"/>
      <c r="G10" s="9" t="inlineStr">
        <is>
          <t>DIGGS</t>
        </is>
      </c>
      <c r="H10" t="inlineStr">
        <is>
          <t>https://diggsml.org/def/registry/DIGGS/0/specifications.xml#iso_1920_4</t>
        </is>
      </c>
    </row>
    <row r="11">
      <c r="A11" s="2">
        <f>IF(ISNA(VLOOKUP(B11,AssociatedElements!B$2:B2949,1,FALSE)),"Not used","")</f>
        <v/>
      </c>
      <c r="B11" s="13" t="inlineStr">
        <is>
          <t>cap_failure</t>
        </is>
      </c>
      <c r="C11" s="13" t="inlineStr">
        <is>
          <t>Cap failure</t>
        </is>
      </c>
      <c r="D11" s="14" t="inlineStr">
        <is>
          <t>The cap of a cylinder failed before the concrete; an unsatisfactory failure. Source: EN 12390-3:2019 7.3.</t>
        </is>
      </c>
      <c r="E11" s="13" t="inlineStr">
        <is>
          <t>string</t>
        </is>
      </c>
      <c r="F11" s="13" t="n"/>
      <c r="G11" s="9" t="inlineStr">
        <is>
          <t>DIGGS</t>
        </is>
      </c>
      <c r="H11" t="inlineStr">
        <is>
          <t>https://diggsml.org/def/registry/DIGGS/0/specifications.xml#en_12390_3</t>
        </is>
      </c>
    </row>
    <row r="12">
      <c r="A12" s="2">
        <f>IF(ISNA(VLOOKUP(B12,AssociatedElements!B$2:B2950,1,FALSE)),"Not used","")</f>
        <v/>
      </c>
      <c r="B12" s="13" t="inlineStr">
        <is>
          <t>shear_plane</t>
        </is>
      </c>
      <c r="C12" s="13" t="inlineStr">
        <is>
          <t>Shear plane</t>
        </is>
      </c>
      <c r="D12" s="14" t="inlineStr">
        <is>
          <t>Failure along a single inclined shear (slip) plane through the specimen.</t>
        </is>
      </c>
      <c r="E12" s="13" t="inlineStr">
        <is>
          <t>string</t>
        </is>
      </c>
      <c r="F12" s="13" t="n"/>
      <c r="G12" s="9" t="inlineStr">
        <is>
          <t>DIGGS</t>
        </is>
      </c>
    </row>
    <row r="13">
      <c r="A13" s="2">
        <f>IF(ISNA(VLOOKUP(B13,AssociatedElements!B$2:B2951,1,FALSE)),"Not used","")</f>
        <v/>
      </c>
      <c r="B13" s="13" t="inlineStr">
        <is>
          <t>bulging</t>
        </is>
      </c>
      <c r="C13" s="13" t="inlineStr">
        <is>
          <t>Bulging</t>
        </is>
      </c>
      <c r="D13" s="14" t="inlineStr">
        <is>
          <t>The specimen bulges laterally without a dominant failure plane.</t>
        </is>
      </c>
      <c r="E13" s="13" t="inlineStr">
        <is>
          <t>string</t>
        </is>
      </c>
      <c r="F13" s="13" t="n"/>
      <c r="G13" s="9" t="inlineStr">
        <is>
          <t>DIGGS</t>
        </is>
      </c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astm_c39_fracture_type_1</t>
        </is>
      </c>
      <c r="C2" t="inlineStr">
        <is>
          <t>//diggs:UnconfinedCompressiveStrengthTest/diggs:modeOfFailure</t>
        </is>
      </c>
    </row>
    <row r="3">
      <c r="A3">
        <f>IF(ISNA(VLOOKUP(B3,Definitions!B$2:B$1839,1,FALSE)),"Not listed","")</f>
        <v/>
      </c>
      <c r="B3" s="20" t="inlineStr">
        <is>
          <t>astm_c39_fracture_type_2</t>
        </is>
      </c>
      <c r="C3" t="inlineStr">
        <is>
          <t>//diggs:UnconfinedCompressiveStrengthTest/diggs:modeOfFailure</t>
        </is>
      </c>
    </row>
    <row r="4">
      <c r="A4">
        <f>IF(ISNA(VLOOKUP(B4,Definitions!B$2:B$1839,1,FALSE)),"Not listed","")</f>
        <v/>
      </c>
      <c r="B4" s="2" t="inlineStr">
        <is>
          <t>astm_c39_fracture_type_3</t>
        </is>
      </c>
      <c r="C4" t="inlineStr">
        <is>
          <t>//diggs:UnconfinedCompressiveStrengthTest/diggs:modeOfFailure</t>
        </is>
      </c>
    </row>
    <row r="5">
      <c r="A5">
        <f>IF(ISNA(VLOOKUP(B5,Definitions!B$2:B$1839,1,FALSE)),"Not listed","")</f>
        <v/>
      </c>
      <c r="B5" s="2" t="inlineStr">
        <is>
          <t>astm_c39_fracture_type_4</t>
        </is>
      </c>
      <c r="C5" t="inlineStr">
        <is>
          <t>//diggs:UnconfinedCompressiveStrengthTest/diggs:modeOfFailure</t>
        </is>
      </c>
    </row>
    <row r="6">
      <c r="A6">
        <f>IF(ISNA(VLOOKUP(B6,Definitions!B$2:B$1839,1,FALSE)),"Not listed","")</f>
        <v/>
      </c>
      <c r="B6" s="2" t="inlineStr">
        <is>
          <t>astm_c39_fracture_type_5</t>
        </is>
      </c>
      <c r="C6" t="inlineStr">
        <is>
          <t>//diggs:UnconfinedCompressiveStrengthTest/diggs:modeOfFailure</t>
        </is>
      </c>
    </row>
    <row r="7">
      <c r="A7">
        <f>IF(ISNA(VLOOKUP(B7,Definitions!B$2:B$1839,1,FALSE)),"Not listed","")</f>
        <v/>
      </c>
      <c r="B7" s="2" t="inlineStr">
        <is>
          <t>astm_c39_fracture_type_6</t>
        </is>
      </c>
      <c r="C7" t="inlineStr">
        <is>
          <t>//diggs:UnconfinedCompressiveStrengthTest/diggs:modeOfFailure</t>
        </is>
      </c>
    </row>
    <row r="8">
      <c r="A8">
        <f>IF(ISNA(VLOOKUP(B8,Definitions!B$2:B$1839,1,FALSE)),"Not listed","")</f>
        <v/>
      </c>
      <c r="B8" s="2" t="inlineStr">
        <is>
          <t>atypical_fracture_pattern</t>
        </is>
      </c>
      <c r="C8" t="inlineStr">
        <is>
          <t>//diggs:UnconfinedCompressiveStrengthTest/diggs:modeOfFailure</t>
        </is>
      </c>
    </row>
    <row r="9">
      <c r="A9">
        <f>IF(ISNA(VLOOKUP(B9,Definitions!B$2:B$1839,1,FALSE)),"Not listed","")</f>
        <v/>
      </c>
      <c r="B9" s="2" t="inlineStr">
        <is>
          <t>satisfactory_failure</t>
        </is>
      </c>
      <c r="C9" t="inlineStr">
        <is>
          <t>//diggs:UnconfinedCompressiveStrengthTest/diggs:modeOfFailure</t>
        </is>
      </c>
    </row>
    <row r="10">
      <c r="A10">
        <f>IF(ISNA(VLOOKUP(B10,Definitions!B$2:B$1839,1,FALSE)),"Not listed","")</f>
        <v/>
      </c>
      <c r="B10" s="20" t="inlineStr">
        <is>
          <t>unsatisfactory_failure</t>
        </is>
      </c>
      <c r="C10" t="inlineStr">
        <is>
          <t>//diggs:UnconfinedCompressiveStrengthTest/diggs:modeOfFailure</t>
        </is>
      </c>
    </row>
    <row r="11">
      <c r="A11">
        <f>IF(ISNA(VLOOKUP(B11,Definitions!B$2:B$1839,1,FALSE)),"Not listed","")</f>
        <v/>
      </c>
      <c r="B11" s="20" t="inlineStr">
        <is>
          <t>cap_failure</t>
        </is>
      </c>
      <c r="C11" t="inlineStr">
        <is>
          <t>//diggs:UnconfinedCompressiveStrengthTest/diggs:modeOfFailure</t>
        </is>
      </c>
    </row>
    <row r="12">
      <c r="A12">
        <f>IF(ISNA(VLOOKUP(B12,Definitions!B$2:B$1839,1,FALSE)),"Not listed","")</f>
        <v/>
      </c>
      <c r="B12" s="20" t="inlineStr">
        <is>
          <t>shear_plane</t>
        </is>
      </c>
      <c r="C12" t="inlineStr">
        <is>
          <t>//diggs:UnconfinedCompressiveStrengthTest/diggs:modeOfFailure</t>
        </is>
      </c>
    </row>
    <row r="13">
      <c r="A13">
        <f>IF(ISNA(VLOOKUP(B13,Definitions!B$2:B$1839,1,FALSE)),"Not listed","")</f>
        <v/>
      </c>
      <c r="B13" s="20" t="inlineStr">
        <is>
          <t>shear_plane</t>
        </is>
      </c>
      <c r="C13" t="inlineStr">
        <is>
          <t>//diggs:TriaxialTestShearStage/diggs:modeOfFailure</t>
        </is>
      </c>
    </row>
    <row r="14">
      <c r="A14">
        <f>IF(ISNA(VLOOKUP(B14,Definitions!B$2:B$1839,1,FALSE)),"Not listed","")</f>
        <v/>
      </c>
      <c r="B14" s="20" t="inlineStr">
        <is>
          <t>bulging</t>
        </is>
      </c>
      <c r="C14" t="inlineStr">
        <is>
          <t>//diggs:UnconfinedCompressiveStrengthTest/diggs:modeOfFailure</t>
        </is>
      </c>
    </row>
    <row r="15">
      <c r="A15">
        <f>IF(ISNA(VLOOKUP(B15,Definitions!B$2:B$1839,1,FALSE)),"Not listed","")</f>
        <v/>
      </c>
      <c r="B15" s="2" t="inlineStr">
        <is>
          <t>bulging</t>
        </is>
      </c>
      <c r="C15" t="inlineStr">
        <is>
          <t>//diggs:TriaxialTestShearStage/diggs:modeOfFailure</t>
        </is>
      </c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 offset,difference,reverse difference,angular difference,containment,sequence between,value at,rate,rate per log cycle,within 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 intersection,volume top,volume 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