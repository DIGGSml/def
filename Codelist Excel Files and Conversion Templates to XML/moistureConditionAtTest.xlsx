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moistureConditionAtTest</t>
        </is>
      </c>
      <c r="C3" s="12" t="inlineStr">
        <is>
          <t>moistureConditionAtTest</t>
        </is>
      </c>
      <c r="D3" s="12" t="inlineStr">
        <is>
          <t>DIGGS Specimen Moisture Condition At Test Codelist Definitions</t>
        </is>
      </c>
      <c r="E3" s="2" t="inlineStr">
        <is>
          <t>Codes classifying the moisture condition of a specimen when it is tested. Used for the value of diggs:GroutSpecimenConditions/diggs:moistureConditionAtTest.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moist</t>
        </is>
      </c>
      <c r="C2" s="13" t="inlineStr">
        <is>
          <t>Moist</t>
        </is>
      </c>
      <c r="D2" s="14" t="inlineStr">
        <is>
          <t>Tested in the moist condition: moist-cured specimens are kept moist between removal from moist storage and testing. Source: ASTM C39/C39M-09a 7.1-7.2.</t>
        </is>
      </c>
      <c r="E2" s="13" t="inlineStr">
        <is>
          <t>string</t>
        </is>
      </c>
      <c r="F2" s="13" t="n"/>
      <c r="G2" s="9" t="inlineStr">
        <is>
          <t>DIGGS</t>
        </is>
      </c>
      <c r="H2" t="inlineStr">
        <is>
          <t>https://diggsml.org/def/registry/DIGGS/0/specifications.xml#astm_c39</t>
        </is>
      </c>
    </row>
    <row r="3">
      <c r="A3" s="2">
        <f>IF(ISNA(VLOOKUP(B3,AssociatedElements!B$2:B2941,1,FALSE)),"Not used","")</f>
        <v/>
      </c>
      <c r="B3" s="13" t="inlineStr">
        <is>
          <t>soaked</t>
        </is>
      </c>
      <c r="C3" s="13" t="inlineStr">
        <is>
          <t>Soaked</t>
        </is>
      </c>
      <c r="D3" s="14" t="inlineStr">
        <is>
          <t>Soaked at the time of loading. Source: ASTM C39/C39M-09a Note 11.</t>
        </is>
      </c>
      <c r="E3" s="13" t="inlineStr">
        <is>
          <t>string</t>
        </is>
      </c>
      <c r="F3" s="13" t="n"/>
      <c r="G3" s="9" t="inlineStr">
        <is>
          <t>DIGGS</t>
        </is>
      </c>
      <c r="H3" t="inlineStr">
        <is>
          <t>https://diggsml.org/def/registry/DIGGS/0/specifications.xml#astm_c39</t>
        </is>
      </c>
    </row>
    <row r="4">
      <c r="A4" s="2">
        <f>IF(ISNA(VLOOKUP(B4,AssociatedElements!B$2:B2942,1,FALSE)),"Not used","")</f>
        <v/>
      </c>
      <c r="B4" t="inlineStr">
        <is>
          <t>dry</t>
        </is>
      </c>
      <c r="C4" t="inlineStr">
        <is>
          <t>Dry</t>
        </is>
      </c>
      <c r="D4" t="inlineStr">
        <is>
          <t>Dry at the time of loading. Source: ASTM C39/C39M-09a Note 11.</t>
        </is>
      </c>
      <c r="E4" t="inlineStr">
        <is>
          <t>string</t>
        </is>
      </c>
      <c r="G4" s="9" t="inlineStr">
        <is>
          <t>DIGGS</t>
        </is>
      </c>
      <c r="H4" t="inlineStr">
        <is>
          <t>https://diggsml.org/def/registry/DIGGS/0/specifications.xml#astm_c39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moist</t>
        </is>
      </c>
      <c r="C2" t="inlineStr">
        <is>
          <t>//diggs:GroutSpecimenConditions/diggs:moistureConditionAtTest</t>
        </is>
      </c>
    </row>
    <row r="3">
      <c r="A3">
        <f>IF(ISNA(VLOOKUP(B3,Definitions!B$2:B$1839,1,FALSE)),"Not listed","")</f>
        <v/>
      </c>
      <c r="B3" s="20" t="inlineStr">
        <is>
          <t>soaked</t>
        </is>
      </c>
      <c r="C3" t="inlineStr">
        <is>
          <t>//diggs:GroutSpecimenConditions/diggs:moistureConditionAtTest</t>
        </is>
      </c>
    </row>
    <row r="4">
      <c r="A4">
        <f>IF(ISNA(VLOOKUP(B4,Definitions!B$2:B$1839,1,FALSE)),"Not listed","")</f>
        <v/>
      </c>
      <c r="B4" s="2" t="inlineStr">
        <is>
          <t>dry</t>
        </is>
      </c>
      <c r="C4" t="inlineStr">
        <is>
          <t>//diggs:GroutSpecimenConditions/diggs:moistureConditionAtTest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"direct,horizontal_offset,difference,reverse_difference,angular_difference,containment,sequence_between,value_at,rate,rate_per_log_cycle,within_envelope,frequency"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"value,vertical_intersection,volume_top,volume_base"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