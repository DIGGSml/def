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7100" yWindow="2960" windowWidth="38400" windowHeight="20980" tabRatio="500" firstSheet="0" activeTab="1" autoFilterDateGrouping="1"/>
  </bookViews>
  <sheets>
    <sheet xmlns:r="http://schemas.openxmlformats.org/officeDocument/2006/relationships" name="DictionaryName" sheetId="1" state="visible" r:id="rId1"/>
    <sheet xmlns:r="http://schemas.openxmlformats.org/officeDocument/2006/relationships" name="Definitions" sheetId="2" state="visible" r:id="rId2"/>
    <sheet xmlns:r="http://schemas.openxmlformats.org/officeDocument/2006/relationships" name="AssociatedElements" sheetId="3" state="visible" r:id="rId3"/>
    <sheet xmlns:r="http://schemas.openxmlformats.org/officeDocument/2006/relationships" name="Lists" sheetId="4" state="visible" r:id="rId4"/>
    <sheet xmlns:r="http://schemas.openxmlformats.org/officeDocument/2006/relationships" name="Addtional Example" sheetId="5" state="visible" r:id="rId5"/>
  </sheets>
  <definedNames/>
  <calcPr calcId="191029" fullCalcOnLoad="1"/>
</workbook>
</file>

<file path=xl/styles.xml><?xml version="1.0" encoding="utf-8"?>
<styleSheet xmlns="http://schemas.openxmlformats.org/spreadsheetml/2006/main">
  <numFmts count="0"/>
  <fonts count="16">
    <font>
      <name val="Calibri"/>
      <family val="2"/>
      <color theme="1"/>
      <sz val="12"/>
      <scheme val="minor"/>
    </font>
    <font>
      <name val="Calibri"/>
      <family val="2"/>
      <b val="1"/>
      <color theme="1"/>
      <sz val="12"/>
      <scheme val="minor"/>
    </font>
    <font>
      <name val="Calibri"/>
      <family val="2"/>
      <color theme="10"/>
      <sz val="12"/>
      <u val="single"/>
      <scheme val="minor"/>
    </font>
    <font>
      <name val="Calibri"/>
      <family val="2"/>
      <color theme="11"/>
      <sz val="12"/>
      <u val="single"/>
      <scheme val="minor"/>
    </font>
    <font>
      <name val="Calibri"/>
      <family val="2"/>
      <sz val="12"/>
      <scheme val="minor"/>
    </font>
    <font>
      <name val="Calibri"/>
      <family val="2"/>
      <b val="1"/>
      <color theme="0"/>
      <sz val="12"/>
      <scheme val="minor"/>
    </font>
    <font>
      <name val="Calibri"/>
      <family val="2"/>
      <color theme="0"/>
      <sz val="12"/>
      <scheme val="minor"/>
    </font>
    <font>
      <name val="Verdana"/>
      <family val="2"/>
      <b val="1"/>
      <color theme="0"/>
      <sz val="10"/>
    </font>
    <font>
      <name val="Helvetica"/>
      <family val="2"/>
      <color rgb="FF000000"/>
      <sz val="12"/>
    </font>
    <font>
      <name val="Helvetica"/>
      <family val="2"/>
      <color rgb="FF003296"/>
      <sz val="12"/>
    </font>
    <font>
      <name val="Calibri"/>
      <family val="2"/>
      <b val="1"/>
      <color rgb="FFFFFFFF"/>
      <sz val="12"/>
      <scheme val="minor"/>
    </font>
    <font>
      <name val="Calibri"/>
      <family val="2"/>
      <color rgb="FFC00000"/>
      <sz val="12"/>
      <scheme val="minor"/>
    </font>
    <font>
      <name val="Calibri"/>
      <family val="2"/>
      <sz val="11"/>
    </font>
    <font>
      <name val="Helvetica"/>
      <family val="2"/>
      <color rgb="FF993300"/>
      <sz val="12"/>
    </font>
    <font>
      <name val="Helvetica"/>
      <family val="2"/>
      <color theme="1"/>
      <sz val="12"/>
    </font>
    <font>
      <name val="Arial"/>
      <family val="2"/>
      <color rgb="FF000000"/>
      <sz val="12"/>
    </font>
  </fonts>
  <fills count="3">
    <fill>
      <patternFill/>
    </fill>
    <fill>
      <patternFill patternType="gray125"/>
    </fill>
    <fill>
      <patternFill patternType="solid">
        <fgColor rgb="FF4472C4"/>
        <bgColor rgb="FF4472C4"/>
      </patternFill>
    </fill>
  </fills>
  <borders count="5">
    <border>
      <left/>
      <right/>
      <top/>
      <bottom/>
      <diagonal/>
    </border>
    <border>
      <left style="thin">
        <color rgb="FFFFFFFF"/>
      </left>
      <right style="thin">
        <color rgb="FFFFFFFF"/>
      </right>
      <top/>
      <bottom style="thick">
        <color rgb="FFFFFFFF"/>
      </bottom>
      <diagonal/>
    </border>
    <border>
      <left/>
      <right style="thin">
        <color rgb="FFFFFFFF"/>
      </right>
      <top/>
      <bottom style="thin">
        <color rgb="FFFFFFFF"/>
      </bottom>
      <diagonal/>
    </border>
    <border>
      <left/>
      <right style="thin">
        <color rgb="FFFFFFFF"/>
      </right>
      <top/>
      <bottom/>
      <diagonal/>
    </border>
    <border>
      <left/>
      <right/>
      <top/>
      <bottom style="thin">
        <color rgb="FFFFFFFF"/>
      </bottom>
      <diagonal/>
    </border>
  </borders>
  <cellStyleXfs count="3">
    <xf numFmtId="0" fontId="0" fillId="0" borderId="0"/>
    <xf numFmtId="0" fontId="2" fillId="0" borderId="0"/>
    <xf numFmtId="0" fontId="3" fillId="0" borderId="0"/>
  </cellStyleXfs>
  <cellXfs count="35">
    <xf numFmtId="0" fontId="0" fillId="0" borderId="0" pivotButton="0" quotePrefix="0" xfId="0"/>
    <xf numFmtId="0" fontId="1" fillId="0" borderId="0" applyAlignment="1" pivotButton="0" quotePrefix="0" xfId="0">
      <alignment vertical="center" wrapText="1"/>
    </xf>
    <xf numFmtId="0" fontId="0" fillId="0" borderId="0" applyAlignment="1" pivotButton="0" quotePrefix="0" xfId="0">
      <alignment vertical="center" wrapText="1"/>
    </xf>
    <xf numFmtId="0" fontId="4" fillId="0" borderId="0" pivotButton="0" quotePrefix="0" xfId="0"/>
    <xf numFmtId="0" fontId="7" fillId="0" borderId="0" pivotButton="0" quotePrefix="0" xfId="0"/>
    <xf numFmtId="0" fontId="5" fillId="0" borderId="0" pivotButton="0" quotePrefix="0" xfId="0"/>
    <xf numFmtId="0" fontId="6" fillId="0" borderId="0" pivotButton="0" quotePrefix="0" xfId="0"/>
    <xf numFmtId="0" fontId="9" fillId="0" borderId="0" pivotButton="0" quotePrefix="0" xfId="0"/>
    <xf numFmtId="0" fontId="8" fillId="0" borderId="0" pivotButton="0" quotePrefix="0" xfId="0"/>
    <xf numFmtId="0" fontId="11" fillId="0" borderId="0" pivotButton="0" quotePrefix="0" xfId="0"/>
    <xf numFmtId="0" fontId="0" fillId="0" borderId="0" applyAlignment="1" pivotButton="0" quotePrefix="0" xfId="0">
      <alignment wrapText="1"/>
    </xf>
    <xf numFmtId="0" fontId="1" fillId="0" borderId="0" applyAlignment="1" pivotButton="0" quotePrefix="0" xfId="0">
      <alignment wrapText="1"/>
    </xf>
    <xf numFmtId="0" fontId="10" fillId="2" borderId="1" applyAlignment="1" pivotButton="0" quotePrefix="0" xfId="0">
      <alignment wrapText="1"/>
    </xf>
    <xf numFmtId="0" fontId="1" fillId="0" borderId="0" applyAlignment="1" pivotButton="0" quotePrefix="0" xfId="0">
      <alignment vertical="top" wrapText="1"/>
    </xf>
    <xf numFmtId="0" fontId="0" fillId="0" borderId="0" applyAlignment="1" pivotButton="0" quotePrefix="0" xfId="0">
      <alignment vertical="top" wrapText="1"/>
    </xf>
    <xf numFmtId="0" fontId="0" fillId="0" borderId="0" applyAlignment="1" pivotButton="0" quotePrefix="0" xfId="0">
      <alignment horizontal="left" vertical="top" wrapText="1"/>
    </xf>
    <xf numFmtId="0" fontId="4" fillId="0" borderId="2" applyAlignment="1" pivotButton="0" quotePrefix="0" xfId="0">
      <alignment horizontal="left" vertical="top" wrapText="1"/>
    </xf>
    <xf numFmtId="0" fontId="4" fillId="0" borderId="0" applyAlignment="1" pivotButton="0" quotePrefix="0" xfId="0">
      <alignment vertical="top"/>
    </xf>
    <xf numFmtId="0" fontId="4" fillId="0" borderId="3" applyAlignment="1" pivotButton="0" quotePrefix="0" xfId="0">
      <alignment horizontal="left" vertical="top" wrapText="1"/>
    </xf>
    <xf numFmtId="0" fontId="4" fillId="0" borderId="0" applyAlignment="1" pivotButton="0" quotePrefix="0" xfId="0">
      <alignment vertical="top" wrapText="1"/>
    </xf>
    <xf numFmtId="0" fontId="0" fillId="0" borderId="3" applyAlignment="1" pivotButton="0" quotePrefix="0" xfId="0">
      <alignment horizontal="left" vertical="top" wrapText="1"/>
    </xf>
    <xf numFmtId="0" fontId="0" fillId="0" borderId="0" applyAlignment="1" pivotButton="0" quotePrefix="0" xfId="0">
      <alignment vertical="top"/>
    </xf>
    <xf numFmtId="0" fontId="4" fillId="0" borderId="3" applyAlignment="1" pivotButton="0" quotePrefix="0" xfId="0">
      <alignment vertical="top" wrapText="1"/>
    </xf>
    <xf numFmtId="0" fontId="4" fillId="0" borderId="2" applyAlignment="1" pivotButton="0" quotePrefix="0" xfId="0">
      <alignment vertical="top" wrapText="1"/>
    </xf>
    <xf numFmtId="0" fontId="0" fillId="0" borderId="3" applyAlignment="1" pivotButton="0" quotePrefix="0" xfId="0">
      <alignment vertical="top" wrapText="1"/>
    </xf>
    <xf numFmtId="0" fontId="4" fillId="0" borderId="0" applyAlignment="1" pivotButton="0" quotePrefix="0" xfId="0">
      <alignment horizontal="left" vertical="top" wrapText="1"/>
    </xf>
    <xf numFmtId="0" fontId="12" fillId="0" borderId="3" applyAlignment="1" pivotButton="0" quotePrefix="0" xfId="0">
      <alignment vertical="top"/>
    </xf>
    <xf numFmtId="0" fontId="2" fillId="0" borderId="0" applyAlignment="1" pivotButton="0" quotePrefix="0" xfId="0">
      <alignment vertical="top" wrapText="1"/>
    </xf>
    <xf numFmtId="0" fontId="4" fillId="0" borderId="4" applyAlignment="1" pivotButton="0" quotePrefix="0" xfId="0">
      <alignment horizontal="left" vertical="top" wrapText="1"/>
    </xf>
    <xf numFmtId="0" fontId="13" fillId="0" borderId="0" applyAlignment="1" pivotButton="0" quotePrefix="0" xfId="0">
      <alignment horizontal="left" vertical="top" wrapText="1"/>
    </xf>
    <xf numFmtId="0" fontId="14" fillId="0" borderId="0" pivotButton="0" quotePrefix="0" xfId="0"/>
    <xf numFmtId="0" fontId="13" fillId="0" borderId="0" applyAlignment="1" pivotButton="0" quotePrefix="0" xfId="0">
      <alignment wrapText="1"/>
    </xf>
    <xf numFmtId="0" fontId="14" fillId="0" borderId="3" applyAlignment="1" pivotButton="0" quotePrefix="0" xfId="0">
      <alignment vertical="top"/>
    </xf>
    <xf numFmtId="0" fontId="2" fillId="0" borderId="0" applyAlignment="1" pivotButton="0" quotePrefix="0" xfId="3">
      <alignment vertical="top" wrapText="1"/>
    </xf>
    <xf numFmtId="0" fontId="15" fillId="0" borderId="0" applyAlignment="1" pivotButton="0" quotePrefix="0" xfId="0">
      <alignment vertical="top"/>
    </xf>
  </cellXfs>
  <cellStyles count="3">
    <cellStyle name="Normal" xfId="0" builtinId="0"/>
    <cellStyle name="Hyperlink" xfId="1" builtinId="8" hidden="1"/>
    <cellStyle name="Followed Hyperlink" xfId="2" builtinId="9" hidden="1"/>
  </cellStyles>
  <dxfs count="22">
    <dxf>
      <fill>
        <patternFill>
          <fgColor indexed="64"/>
          <bgColor auto="1"/>
        </patternFill>
      </fill>
      <alignment horizontal="general" vertical="top" wrapText="1"/>
    </dxf>
    <dxf>
      <font>
        <color auto="1"/>
      </font>
      <fill>
        <patternFill>
          <fgColor indexed="64"/>
          <bgColor auto="1"/>
        </patternFill>
      </fill>
      <alignment horizontal="general" vertical="top" wrapText="1"/>
    </dxf>
    <dxf>
      <fill>
        <patternFill>
          <fgColor indexed="64"/>
          <bgColor auto="1"/>
        </patternFill>
      </fill>
      <alignment horizontal="general" vertical="top" wrapText="1"/>
    </dxf>
    <dxf>
      <font>
        <color auto="1"/>
      </font>
      <fill>
        <patternFill>
          <fgColor indexed="64"/>
          <bgColor auto="1"/>
        </patternFill>
      </fill>
      <alignment horizontal="general" vertical="top"/>
    </dxf>
    <dxf>
      <font>
        <name val="Calibri"/>
        <strike val="0"/>
        <outline val="0"/>
        <shadow val="0"/>
        <color auto="1"/>
        <sz val="12"/>
        <vertAlign val="baseline"/>
        <scheme val="minor"/>
      </font>
      <fill>
        <patternFill>
          <fgColor indexed="64"/>
          <bgColor auto="1"/>
        </patternFill>
      </fill>
      <alignment horizontal="general" vertical="top" wrapText="1"/>
      <border outline="0">
        <left/>
        <right style="thin">
          <color rgb="FFFFFFFF"/>
        </right>
        <top/>
        <bottom style="thin">
          <color rgb="FFFFFFFF"/>
        </bottom>
      </border>
    </dxf>
    <dxf>
      <font>
        <color auto="1"/>
      </font>
      <fill>
        <patternFill>
          <fgColor indexed="64"/>
          <bgColor auto="1"/>
        </patternFill>
      </fill>
      <alignment horizontal="left" vertical="top" wrapText="1"/>
      <border outline="0">
        <left/>
        <right/>
        <top/>
        <bottom style="thin">
          <color rgb="FFFFFFFF"/>
        </bottom>
      </border>
    </dxf>
    <dxf>
      <fill>
        <patternFill>
          <fgColor indexed="64"/>
          <bgColor auto="1"/>
        </patternFill>
      </fill>
      <alignment horizontal="left" vertical="top" wrapText="1"/>
    </dxf>
    <dxf>
      <numFmt numFmtId="0" formatCode="General"/>
      <fill>
        <patternFill>
          <fgColor indexed="64"/>
          <bgColor auto="1"/>
        </patternFill>
      </fill>
      <alignment horizontal="general" vertical="top" wrapText="1"/>
    </dxf>
    <dxf>
      <fill>
        <patternFill>
          <fgColor indexed="64"/>
          <bgColor auto="1"/>
        </patternFill>
      </fill>
      <alignment horizontal="general" vertical="top" wrapText="1"/>
    </dxf>
    <dxf>
      <font>
        <name val="Calibri"/>
        <b val="1"/>
        <strike val="0"/>
        <outline val="0"/>
        <shadow val="0"/>
        <condense val="0"/>
        <color theme="1"/>
        <extend val="0"/>
        <sz val="12"/>
        <vertAlign val="baseline"/>
        <scheme val="minor"/>
      </font>
      <fill>
        <patternFill>
          <fgColor indexed="64"/>
          <bgColor auto="1"/>
        </patternFill>
      </fill>
      <alignment horizontal="general" vertical="top" wrapText="1"/>
    </dxf>
    <dxf>
      <alignment horizontal="general" vertical="center" wrapText="1"/>
    </dxf>
    <dxf>
      <alignment horizontal="general" vertical="center" wrapText="1"/>
    </dxf>
    <dxf>
      <alignment horizontal="general" wrapText="1"/>
    </dxf>
    <dxf>
      <alignment horizontal="general" vertical="center" wrapText="1"/>
    </dxf>
    <dxf>
      <alignment horizontal="general" vertical="center" wrapText="1"/>
    </dxf>
    <dxf>
      <alignment horizontal="general" vertical="center" wrapText="1"/>
    </dxf>
    <dxf>
      <font>
        <name val="Calibri"/>
        <b val="1"/>
        <strike val="0"/>
        <outline val="0"/>
        <shadow val="0"/>
        <condense val="0"/>
        <color theme="1"/>
        <extend val="0"/>
        <sz val="12"/>
        <vertAlign val="baseline"/>
        <scheme val="minor"/>
      </font>
      <alignment horizontal="general" wrapText="1"/>
    </dxf>
    <dxf>
      <numFmt numFmtId="0" formatCode="General"/>
    </dxf>
    <dxf>
      <font>
        <name val="Calibri"/>
        <strike val="0"/>
        <outline val="0"/>
        <shadow val="0"/>
        <condense val="0"/>
        <color auto="1"/>
        <extend val="0"/>
        <sz val="12"/>
        <vertAlign val="baseline"/>
        <scheme val="minor"/>
      </font>
      <fill>
        <patternFill>
          <fgColor indexed="64"/>
          <bgColor indexed="65"/>
        </patternFill>
      </fill>
      <alignment horizontal="general" vertical="bottom"/>
    </dxf>
    <dxf>
      <fill>
        <patternFill>
          <fgColor indexed="64"/>
          <bgColor indexed="65"/>
        </patternFill>
      </fill>
      <alignment horizontal="general" vertical="bottom" wrapText="1"/>
    </dxf>
    <dxf>
      <numFmt numFmtId="0" formatCode="General"/>
      <fill>
        <patternFill>
          <fgColor indexed="64"/>
          <bgColor indexed="65"/>
        </patternFill>
      </fill>
      <alignment horizontal="general" vertical="bottom"/>
    </dxf>
    <dxf>
      <font>
        <strike val="0"/>
        <outline val="0"/>
        <shadow val="0"/>
        <color theme="0"/>
        <vertAlign val="baseline"/>
      </font>
    </dxf>
  </dxfs>
  <tableStyles count="0" defaultTableStyle="TableStyleMedium9" defaultPivotStyle="PivotStyleMedium7"/>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DictionaryName" displayName="DictionaryName" ref="A1:E3" headerRowCount="1" totalsRowShown="0" headerRowDxfId="16" dataDxfId="15">
  <autoFilter ref="A1:E3"/>
  <tableColumns count="5">
    <tableColumn id="1" name="Start" dataDxfId="14"/>
    <tableColumn id="4" name="Dictionary ID" dataDxfId="13"/>
    <tableColumn id="5" name="DictionaryFile" dataDxfId="12"/>
    <tableColumn id="2" name="DictionaryName" dataDxfId="11"/>
    <tableColumn id="3" name="Description" dataDxfId="10"/>
  </tableColumns>
  <tableStyleInfo name="TableStyleMedium9" showFirstColumn="0" showLastColumn="0" showRowStripes="1" showColumnStripes="0"/>
</table>
</file>

<file path=xl/tables/table2.xml><?xml version="1.0" encoding="utf-8"?>
<table xmlns="http://schemas.openxmlformats.org/spreadsheetml/2006/main" id="2" name="Definitions" displayName="Definitions" ref="A1:H41" headerRowCount="1" totalsRowShown="0" headerRowDxfId="9" dataDxfId="8">
  <autoFilter ref="A1:H41"/>
  <sortState ref="A2:H41">
    <sortCondition ref="B1:B41"/>
  </sortState>
  <tableColumns count="8">
    <tableColumn id="1" name="Start" dataDxfId="7">
      <calculatedColumnFormula>IF(ISNA(VLOOKUP(B2,AssociatedElements!B$2:B2824,1,FALSE)),"Not used","")</calculatedColumnFormula>
    </tableColumn>
    <tableColumn id="10" name="ID" dataDxfId="6"/>
    <tableColumn id="7" name="Name" dataDxfId="5"/>
    <tableColumn id="3" name="Description" dataDxfId="4"/>
    <tableColumn id="4" name="DataType" dataDxfId="3"/>
    <tableColumn id="5" name="QuantityClass" dataDxfId="2"/>
    <tableColumn id="6" name="Authority" dataDxfId="1"/>
    <tableColumn id="9" name="Reference" dataDxfId="0"/>
  </tableColumns>
  <tableStyleInfo name="TableStyleMedium9" showFirstColumn="0" showLastColumn="0" showRowStripes="1" showColumnStripes="0"/>
</table>
</file>

<file path=xl/tables/table3.xml><?xml version="1.0" encoding="utf-8"?>
<table xmlns="http://schemas.openxmlformats.org/spreadsheetml/2006/main" id="3" name="AssociatedElements" displayName="AssociatedElements" ref="A1:D49" headerRowCount="1" totalsRowShown="0" headerRowDxfId="21">
  <autoFilter ref="A1:D49"/>
  <sortState ref="A2:D44">
    <sortCondition ref="B1:B44"/>
  </sortState>
  <tableColumns count="4">
    <tableColumn id="1" name="Start" dataDxfId="20">
      <calculatedColumnFormula>IF(ISNA(VLOOKUP(B2,Definitions!B$2:B$1823,1,FALSE)),"Not listed","")</calculatedColumnFormula>
    </tableColumn>
    <tableColumn id="4" name="ID" dataDxfId="19"/>
    <tableColumn id="2" name="SourceElement" dataDxfId="18"/>
    <tableColumn id="3" name="ConditionalElement" dataDxfId="17"/>
  </tableColumns>
  <tableStyleInfo name="TableStyleMedium9" showFirstColumn="0" showLastColumn="0" showRowStripes="1" showColumnStripes="0"/>
</table>
</file>

<file path=xl/tables/table4.xml><?xml version="1.0" encoding="utf-8"?>
<table xmlns="http://schemas.openxmlformats.org/spreadsheetml/2006/main" id="4" name="Table6" displayName="Table6" ref="A1:C187" headerRowCount="1" totalsRowShown="0">
  <autoFilter ref="A1:C187"/>
  <sortState ref="A2:C186">
    <sortCondition ref="C1:C186"/>
  </sortState>
  <tableColumns count="3">
    <tableColumn id="1" name="DataType"/>
    <tableColumn id="2" name="DataType2"/>
    <tableColumn id="3" name="QuantityClass"/>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emap-romulus-prod.s3.eu-west-1.amazonaws.com/wp-content/uploads/sites/13/1985/04/1985-04_Pages_16-21.pdf" TargetMode="External" Id="rId1"/><Relationship Type="http://schemas.openxmlformats.org/officeDocument/2006/relationships/hyperlink" Target="http://dx.doi.org/10.1115/1.1482405" TargetMode="External" Id="rId2"/><Relationship Type="http://schemas.openxmlformats.org/officeDocument/2006/relationships/hyperlink" Target="https://doi.org/10.2118/1407-PA" TargetMode="External" Id="rId3"/><Relationship Type="http://schemas.openxmlformats.org/officeDocument/2006/relationships/hyperlink" Target="https://books.google.com/books/about/A_New_Approach_to_Interpreting_Rock_Dril.html?id=8KcRnQEACAAJ" TargetMode="External" Id="rId4"/><Relationship Type="http://schemas.openxmlformats.org/officeDocument/2006/relationships/hyperlink" Target="https://www.iso.org/standard/63412.html" TargetMode="External" Id="rId5"/><Relationship Type="http://schemas.openxmlformats.org/officeDocument/2006/relationships/hyperlink" Target="https://doi.org/10.2118/1163-G" TargetMode="External" Id="rId6"/><Relationship Type="http://schemas.openxmlformats.org/officeDocument/2006/relationships/hyperlink" Target="https://doi.org/10.1016/0148-9062(65)90022-7" TargetMode="External" Id="rId7"/><Relationship Type="http://schemas.openxmlformats.org/officeDocument/2006/relationships/table" Target="/xl/tables/table2.xml" Id="rId8"/></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codeName="Sheet1">
    <outlinePr summaryBelow="1" summaryRight="1"/>
    <pageSetUpPr/>
  </sheetPr>
  <dimension ref="A1:E3"/>
  <sheetViews>
    <sheetView zoomScale="120" zoomScaleNormal="120" workbookViewId="0">
      <selection activeCell="E3" sqref="E3"/>
    </sheetView>
  </sheetViews>
  <sheetFormatPr baseColWidth="10" defaultColWidth="11" defaultRowHeight="16"/>
  <cols>
    <col width="7.5" customWidth="1" style="10" min="1" max="1"/>
    <col width="41.33203125" customWidth="1" style="10" min="2" max="2"/>
    <col width="26.33203125" customWidth="1" style="10" min="3" max="3"/>
    <col width="21.6640625" customWidth="1" style="10" min="4" max="4"/>
    <col width="76" customWidth="1" style="10" min="5" max="5"/>
    <col width="11" customWidth="1" style="10" min="6" max="6"/>
    <col width="11" customWidth="1" style="10" min="7" max="16384"/>
  </cols>
  <sheetData>
    <row r="1" ht="18" customFormat="1" customHeight="1" s="11" thickBot="1">
      <c r="A1" s="11" t="inlineStr">
        <is>
          <t>Start</t>
        </is>
      </c>
      <c r="B1" s="11" t="inlineStr">
        <is>
          <t>Dictionary ID</t>
        </is>
      </c>
      <c r="C1" s="12" t="inlineStr">
        <is>
          <t>DictionaryFile</t>
        </is>
      </c>
      <c r="D1" s="11" t="inlineStr">
        <is>
          <t>DictionaryName</t>
        </is>
      </c>
      <c r="E1" s="11" t="inlineStr">
        <is>
          <t>Description</t>
        </is>
      </c>
    </row>
    <row r="2" ht="18" customFormat="1" customHeight="1" s="11" thickTop="1">
      <c r="A2" s="1" t="n"/>
      <c r="B2" s="1" t="n"/>
      <c r="C2" s="1" t="n"/>
      <c r="D2" s="1" t="n"/>
      <c r="E2" s="1" t="inlineStr">
        <is>
          <t>Leave this line blank</t>
        </is>
      </c>
    </row>
    <row r="3" ht="51" customFormat="1" customHeight="1" s="2">
      <c r="B3" s="2" t="inlineStr">
        <is>
          <t>propertyClass</t>
        </is>
      </c>
      <c r="C3" s="2" t="inlineStr">
        <is>
          <t>mwd_properties</t>
        </is>
      </c>
      <c r="D3" s="2" t="inlineStr">
        <is>
          <t>DIGGS Measurement Properties for MWD</t>
        </is>
      </c>
      <c r="E3" s="2" t="inlineStr">
        <is>
          <t>This dictionary contains the values for the propertyClass property contained within the the Measurement While Drilling measurement object (diggs:/MeasurementWhileDrilling).</t>
        </is>
      </c>
    </row>
  </sheetData>
  <pageMargins left="0.7" right="0.7" top="0.75" bottom="0.75" header="0.3" footer="0.3"/>
  <pageSetup orientation="portrait" horizontalDpi="0" verticalDpi="0"/>
  <tableParts count="1">
    <tablePart xmlns:r="http://schemas.openxmlformats.org/officeDocument/2006/relationships" r:id="rId1"/>
  </tableParts>
</worksheet>
</file>

<file path=xl/worksheets/sheet2.xml><?xml version="1.0" encoding="utf-8"?>
<worksheet xmlns="http://schemas.openxmlformats.org/spreadsheetml/2006/main">
  <sheetPr codeName="Sheet2">
    <outlinePr summaryBelow="1" summaryRight="1"/>
    <pageSetUpPr/>
  </sheetPr>
  <dimension ref="A1:H41"/>
  <sheetViews>
    <sheetView tabSelected="1" topLeftCell="C30" zoomScale="150" zoomScaleNormal="150" workbookViewId="0">
      <selection activeCell="F33" sqref="F33"/>
    </sheetView>
  </sheetViews>
  <sheetFormatPr baseColWidth="10" defaultColWidth="10.83203125" defaultRowHeight="16"/>
  <cols>
    <col width="7" customWidth="1" style="14" min="1" max="1"/>
    <col width="25.83203125" customWidth="1" style="14" min="2" max="2"/>
    <col width="31.6640625" customWidth="1" style="14" min="3" max="3"/>
    <col width="61.6640625" customWidth="1" style="14" min="4" max="4"/>
    <col width="11.1640625" customWidth="1" style="14" min="5" max="5"/>
    <col width="25.6640625" bestFit="1" customWidth="1" style="14" min="6" max="6"/>
    <col width="17.83203125" customWidth="1" style="14" min="7" max="7"/>
    <col width="37.1640625" customWidth="1" style="14" min="8" max="8"/>
    <col width="10.83203125" customWidth="1" style="14" min="9" max="9"/>
    <col width="10.83203125" customWidth="1" style="14" min="10" max="16384"/>
  </cols>
  <sheetData>
    <row r="1" ht="17" customFormat="1" customHeight="1" s="13">
      <c r="A1" s="13" t="inlineStr">
        <is>
          <t>Start</t>
        </is>
      </c>
      <c r="B1" s="13" t="inlineStr">
        <is>
          <t>ID</t>
        </is>
      </c>
      <c r="C1" s="13" t="inlineStr">
        <is>
          <t>Name</t>
        </is>
      </c>
      <c r="D1" s="13" t="inlineStr">
        <is>
          <t>Description</t>
        </is>
      </c>
      <c r="E1" s="13" t="inlineStr">
        <is>
          <t>DataType</t>
        </is>
      </c>
      <c r="F1" s="13" t="inlineStr">
        <is>
          <t>QuantityClass</t>
        </is>
      </c>
      <c r="G1" s="13" t="inlineStr">
        <is>
          <t>Authority</t>
        </is>
      </c>
      <c r="H1" s="13" t="inlineStr">
        <is>
          <t>Reference</t>
        </is>
      </c>
    </row>
    <row r="2" ht="136" customHeight="1">
      <c r="A2" s="14">
        <f>IF(ISNA(VLOOKUP(B2,AssociatedElements!B$2:B2859,1,FALSE)),"Not used","")</f>
        <v/>
      </c>
      <c r="B2" s="15" t="inlineStr">
        <is>
          <t>alteration_index</t>
        </is>
      </c>
      <c r="C2" s="18" t="inlineStr">
        <is>
          <t>Alteration index</t>
        </is>
      </c>
      <c r="D2" s="22" t="inlineStr">
        <is>
          <t>A value of relative hardness as a function of crowd and penetration rate, as defined by Pfister, 1985.</t>
        </is>
      </c>
      <c r="E2" s="17" t="inlineStr">
        <is>
          <t>double</t>
        </is>
      </c>
      <c r="G2" s="14" t="inlineStr">
        <is>
          <t xml:space="preserve">Pfister, P. 1985. “Recording Drilling Parameters in Ground Engineering.” Journal of Ground Engineering, 18(3), 16–21. </t>
        </is>
      </c>
      <c r="H2" s="27" t="inlineStr">
        <is>
          <t>https://emap-romulus-prod.s3.eu-west-1.amazonaws.com/wp-content/uploads/sites/13/1985/04/1985-04_Pages_16-21.pdf</t>
        </is>
      </c>
    </row>
    <row r="3" ht="17" customHeight="1">
      <c r="A3" s="14">
        <f>IF(ISNA(VLOOKUP(B3,AssociatedElements!B$2:B2868,1,FALSE)),"Not used","")</f>
        <v/>
      </c>
      <c r="B3" s="15" t="inlineStr">
        <is>
          <t>calibration_flag</t>
        </is>
      </c>
      <c r="C3" s="16" t="inlineStr">
        <is>
          <t>Calibration flag</t>
        </is>
      </c>
      <c r="D3" s="23" t="inlineStr">
        <is>
          <t>True-False Flag; true if this is a calibration test</t>
        </is>
      </c>
      <c r="E3" s="17" t="inlineStr">
        <is>
          <t>boolean</t>
        </is>
      </c>
    </row>
    <row r="4" ht="17" customHeight="1">
      <c r="A4" s="14">
        <f>IF(ISNA(VLOOKUP(B4,AssociatedElements!B$2:B2825,1,FALSE)),"Not used","")</f>
        <v/>
      </c>
      <c r="B4" s="15" t="inlineStr">
        <is>
          <t>crowd_downward_thrust</t>
        </is>
      </c>
      <c r="C4" s="18" t="inlineStr">
        <is>
          <t>Crowd or downward thrust</t>
        </is>
      </c>
      <c r="D4" s="19" t="inlineStr">
        <is>
          <t>Crowd or downward thrust: The force exerted in the downward direction onto the drill bit.</t>
        </is>
      </c>
      <c r="E4" s="17" t="inlineStr">
        <is>
          <t>double</t>
        </is>
      </c>
      <c r="F4" s="14" t="inlineStr">
        <is>
          <t>force</t>
        </is>
      </c>
    </row>
    <row r="5" ht="17" customHeight="1">
      <c r="A5" s="14">
        <f>IF(ISNA(VLOOKUP(B5,AssociatedElements!B$2:B2829,1,FALSE)),"Not used","")</f>
        <v/>
      </c>
      <c r="B5" s="15" t="inlineStr">
        <is>
          <t>crowd_pressure</t>
        </is>
      </c>
      <c r="C5" s="18" t="inlineStr">
        <is>
          <t>Crowd pressure</t>
        </is>
      </c>
      <c r="D5" s="22" t="inlineStr">
        <is>
          <t>The pressure used to apply crowd force to the drill bit.</t>
        </is>
      </c>
      <c r="E5" s="17" t="inlineStr">
        <is>
          <t>double</t>
        </is>
      </c>
      <c r="F5" s="14" t="inlineStr">
        <is>
          <t>pressure</t>
        </is>
      </c>
      <c r="G5" s="19" t="n"/>
    </row>
    <row r="6" ht="34" customHeight="1">
      <c r="A6" s="14">
        <f>IF(ISNA(VLOOKUP(B6,AssociatedElements!B$2:B2838,1,FALSE)),"Not used","")</f>
        <v/>
      </c>
      <c r="B6" s="15" t="inlineStr">
        <is>
          <t>depth</t>
        </is>
      </c>
      <c r="C6" s="18" t="inlineStr">
        <is>
          <t>Measured Depth</t>
        </is>
      </c>
      <c r="D6" s="19" t="inlineStr">
        <is>
          <t>The measured depth downhole reached by the drill bit; a positive number.</t>
        </is>
      </c>
      <c r="E6" s="17" t="inlineStr">
        <is>
          <t>double</t>
        </is>
      </c>
      <c r="F6" s="14" t="inlineStr">
        <is>
          <t>length</t>
        </is>
      </c>
    </row>
    <row r="7" ht="34" customHeight="1">
      <c r="A7" s="14">
        <f>IF(ISNA(VLOOKUP(B7,AssociatedElements!B$2:B2861,1,FALSE)),"Not used","")</f>
        <v/>
      </c>
      <c r="B7" s="15" t="inlineStr">
        <is>
          <t>drill_rod_weight</t>
        </is>
      </c>
      <c r="C7" s="18" t="inlineStr">
        <is>
          <t>Weight of drill rod or drill string</t>
        </is>
      </c>
      <c r="D7" s="24" t="inlineStr">
        <is>
          <t>Total weight of the drill rod or drill string; increases as a new section Is added.</t>
        </is>
      </c>
      <c r="E7" s="17" t="inlineStr">
        <is>
          <t>double</t>
        </is>
      </c>
      <c r="F7" s="14" t="inlineStr">
        <is>
          <t>force</t>
        </is>
      </c>
    </row>
    <row r="8" ht="221" customHeight="1">
      <c r="A8" s="14">
        <f>IF(ISNA(VLOOKUP(B8,AssociatedElements!B$2:B2856,1,FALSE)),"Not used","")</f>
        <v/>
      </c>
      <c r="B8" s="15" t="inlineStr">
        <is>
          <t>drillability_strength</t>
        </is>
      </c>
      <c r="C8" s="18" t="inlineStr">
        <is>
          <t>Drillability strength</t>
        </is>
      </c>
      <c r="D8" s="22" t="inlineStr">
        <is>
          <t>The inherent resistance of rock to drilling operations that takes into account various rock properties that affect drilling performance, such as: 1) rock hardness, 2) compressive strength, 3) abrasiveness, 4) fracture toughness and 5) mineral composition. Introduced by Karasawa and others, 2002.</t>
        </is>
      </c>
      <c r="E8" s="17" t="inlineStr">
        <is>
          <t>double</t>
        </is>
      </c>
      <c r="F8" s="14" t="inlineStr">
        <is>
          <t>pressure</t>
        </is>
      </c>
      <c r="G8" s="14" t="inlineStr">
        <is>
          <t>Karasawa, H., Ohno, T., Kosugi, M., and Rowley, J. C., 2002, “Methods to Estimate the Rock Strength and Tooth Wear While Drilling With Roller-Bits, Part 1: Milled-Tooth Bits,” ASME J. Energy Resour. Technol., 124, pp. 125–132.</t>
        </is>
      </c>
      <c r="H8" s="27" t="inlineStr">
        <is>
          <t>http://dx.doi.org/10.1115/1.1482405</t>
        </is>
      </c>
    </row>
    <row r="9" ht="51" customHeight="1">
      <c r="A9" s="14">
        <f>IF(ISNA(VLOOKUP(B9,AssociatedElements!B$2:B2861,1,FALSE)),"Not used","")</f>
        <v/>
      </c>
      <c r="B9" s="15" t="inlineStr">
        <is>
          <t>eccentric_rotation</t>
        </is>
      </c>
      <c r="C9" s="18" t="inlineStr">
        <is>
          <t>Eccentric rotation</t>
        </is>
      </c>
      <c r="D9" s="22" t="inlineStr">
        <is>
          <t>A logical flag; true when observation and/or rig vibration indicates significant offset between the bit axis of rotation and the wellbore center.</t>
        </is>
      </c>
      <c r="E9" s="17" t="inlineStr">
        <is>
          <t>boolean</t>
        </is>
      </c>
      <c r="G9" s="19" t="n"/>
    </row>
    <row r="10" ht="34" customHeight="1">
      <c r="A10" s="14">
        <f>IF(ISNA(VLOOKUP(B10,AssociatedElements!B$2:B2855,1,FALSE)),"Not used","")</f>
        <v/>
      </c>
      <c r="B10" s="15" t="inlineStr">
        <is>
          <t>event_new_rod</t>
        </is>
      </c>
      <c r="C10" s="18" t="inlineStr">
        <is>
          <t>New rod event</t>
        </is>
      </c>
      <c r="D10" s="22" t="inlineStr">
        <is>
          <t>Set to true at the time or depth where a new rod is added to the drill string</t>
        </is>
      </c>
      <c r="E10" s="17" t="inlineStr">
        <is>
          <t>boolean</t>
        </is>
      </c>
    </row>
    <row r="11" ht="170" customHeight="1">
      <c r="A11" s="14">
        <f>IF(ISNA(VLOOKUP(B11,AssociatedElements!B$2:B2861,1,FALSE)),"Not used","")</f>
        <v/>
      </c>
      <c r="B11" s="15" t="inlineStr">
        <is>
          <t>exponent_method</t>
        </is>
      </c>
      <c r="C11" s="18" t="inlineStr">
        <is>
          <t>Exponent method</t>
        </is>
      </c>
      <c r="D11" s="22" t="inlineStr">
        <is>
          <t xml:space="preserve"> A value to estimate pore pressure during drilling by calculating a "d-exponent," which is a normalized measure of drillability based on drilling parameters like weight on bit, rotary speed (RPM), and bit diameter, essentially indicating how easily a formation is being drilled through; this method was first described by Jorden and Shirley in 1966. </t>
        </is>
      </c>
      <c r="E11" s="17" t="inlineStr">
        <is>
          <t>double</t>
        </is>
      </c>
      <c r="G11" s="14" t="inlineStr">
        <is>
          <t xml:space="preserve">Jorden, J., and Shirley, O. 1966. “Application of Drilling Performance Data to Overpressure Detection.” Journal of Petroleum Technology, 7, 987–991. </t>
        </is>
      </c>
      <c r="H11" s="27" t="inlineStr">
        <is>
          <t>https://doi.org/10.2118/1407-PA</t>
        </is>
      </c>
    </row>
    <row r="12" ht="34" customHeight="1">
      <c r="A12" s="14">
        <f>IF(ISNA(VLOOKUP(B12,AssociatedElements!B$2:B2829,1,FALSE)),"Not used","")</f>
        <v/>
      </c>
      <c r="B12" s="15" t="inlineStr">
        <is>
          <t>fluid_injection_mass_rate</t>
        </is>
      </c>
      <c r="C12" s="18" t="inlineStr">
        <is>
          <t>Fluid injection mass flow rate</t>
        </is>
      </c>
      <c r="D12" s="19" t="inlineStr">
        <is>
          <t>Fluid injection mass flow rate: The mass of drilling fluid injected into the hole per unit time.</t>
        </is>
      </c>
      <c r="E12" s="17" t="inlineStr">
        <is>
          <t>double</t>
        </is>
      </c>
      <c r="F12" s="14" t="inlineStr">
        <is>
          <t>mass per time</t>
        </is>
      </c>
    </row>
    <row r="13" ht="34" customHeight="1">
      <c r="A13" s="14">
        <f>IF(ISNA(VLOOKUP(B13,AssociatedElements!B$2:B2830,1,FALSE)),"Not used","")</f>
        <v/>
      </c>
      <c r="B13" s="15" t="inlineStr">
        <is>
          <t>fluid_injection_pressure</t>
        </is>
      </c>
      <c r="C13" s="18" t="inlineStr">
        <is>
          <t>Fluid injection pressure</t>
        </is>
      </c>
      <c r="D13" s="22" t="inlineStr">
        <is>
          <t>Fluid injection pressure: The pressure at which drilling fluid is injected into the hole.</t>
        </is>
      </c>
      <c r="E13" s="17" t="inlineStr">
        <is>
          <t>double</t>
        </is>
      </c>
      <c r="F13" s="14" t="inlineStr">
        <is>
          <t>pressure</t>
        </is>
      </c>
    </row>
    <row r="14" ht="34" customHeight="1">
      <c r="A14" s="14">
        <f>IF(ISNA(VLOOKUP(B14,AssociatedElements!B$2:B2828,1,FALSE)),"Not used","")</f>
        <v/>
      </c>
      <c r="B14" s="15" t="inlineStr">
        <is>
          <t>fluid_injection_volume_rate</t>
        </is>
      </c>
      <c r="C14" s="18" t="inlineStr">
        <is>
          <t>Fluid injection volumetric flow rate, pumped inflow</t>
        </is>
      </c>
      <c r="D14" s="19" t="inlineStr">
        <is>
          <t>Fluid injection volumetric flow rate, pumped inflow: The volume of drilling fluid pumped into the well per unit time.</t>
        </is>
      </c>
      <c r="E14" s="17" t="inlineStr">
        <is>
          <t>double</t>
        </is>
      </c>
      <c r="F14" s="14" t="inlineStr">
        <is>
          <t>volume per time</t>
        </is>
      </c>
    </row>
    <row r="15" ht="34" customHeight="1">
      <c r="A15" s="14">
        <f>IF(ISNA(VLOOKUP(B15,AssociatedElements!B$2:B2831,1,FALSE)),"Not used","")</f>
        <v/>
      </c>
      <c r="B15" s="15" t="inlineStr">
        <is>
          <t>fluid_return_volume_rate</t>
        </is>
      </c>
      <c r="C15" s="18" t="inlineStr">
        <is>
          <t>Fluid return volumetric flow rate, returned outflow</t>
        </is>
      </c>
      <c r="D15" s="22" t="inlineStr">
        <is>
          <t>Fluid return volumetric flow rate, returned outflow: The volume of drilling fluid flowing back to the surface per unit time.</t>
        </is>
      </c>
      <c r="E15" s="17" t="inlineStr">
        <is>
          <t>double</t>
        </is>
      </c>
      <c r="F15" s="14" t="inlineStr">
        <is>
          <t>volume per time</t>
        </is>
      </c>
    </row>
    <row r="16" ht="17" customHeight="1">
      <c r="A16" s="14">
        <f>IF(ISNA(VLOOKUP(B16,AssociatedElements!B$2:B2860,1,FALSE)),"Not used","")</f>
        <v/>
      </c>
      <c r="B16" s="15" t="inlineStr">
        <is>
          <t>fluid_temperature</t>
        </is>
      </c>
      <c r="C16" s="18" t="inlineStr">
        <is>
          <t>Fluid temperature</t>
        </is>
      </c>
      <c r="D16" s="19" t="inlineStr">
        <is>
          <t>The temperature of the drilling fluid.</t>
        </is>
      </c>
      <c r="E16" s="17" t="inlineStr">
        <is>
          <t>double</t>
        </is>
      </c>
      <c r="F16" s="14" t="inlineStr">
        <is>
          <t>thermodynamic temperature</t>
        </is>
      </c>
      <c r="G16" s="19" t="n"/>
    </row>
    <row r="17" ht="17" customHeight="1">
      <c r="A17" s="14">
        <f>IF(ISNA(VLOOKUP(B17,AssociatedElements!B$2:B2843,1,FALSE)),"Not used","")</f>
        <v/>
      </c>
      <c r="B17" s="15" t="inlineStr">
        <is>
          <t>gear_number</t>
        </is>
      </c>
      <c r="C17" s="18" t="inlineStr">
        <is>
          <t>Gear Number</t>
        </is>
      </c>
      <c r="D17" s="19" t="inlineStr">
        <is>
          <t>The number of the gear that is engaged.</t>
        </is>
      </c>
      <c r="E17" s="17" t="inlineStr">
        <is>
          <t>integer</t>
        </is>
      </c>
      <c r="G17" s="19" t="n"/>
    </row>
    <row r="18" ht="17" customHeight="1">
      <c r="A18" s="14">
        <f>IF(ISNA(VLOOKUP(B18,AssociatedElements!B$2:B2858,1,FALSE)),"Not used","")</f>
        <v/>
      </c>
      <c r="B18" s="15" t="inlineStr">
        <is>
          <t>hammering_pressure</t>
        </is>
      </c>
      <c r="C18" s="18" t="inlineStr">
        <is>
          <t>Hammering pressure</t>
        </is>
      </c>
      <c r="D18" s="22" t="inlineStr">
        <is>
          <t>In percussive drilling, the pressure applied to the striking hammer</t>
        </is>
      </c>
      <c r="E18" s="17" t="inlineStr">
        <is>
          <t>double</t>
        </is>
      </c>
      <c r="F18" s="14" t="inlineStr">
        <is>
          <t>pressure</t>
        </is>
      </c>
      <c r="G18" s="19" t="n"/>
    </row>
    <row r="19" ht="119" customHeight="1">
      <c r="A19" s="14">
        <f>IF(ISNA(VLOOKUP(B19,AssociatedElements!B$2:B2860,1,FALSE)),"Not used","")</f>
        <v/>
      </c>
      <c r="B19" s="15" t="inlineStr">
        <is>
          <t>hardness_parameter</t>
        </is>
      </c>
      <c r="C19" s="28" t="inlineStr">
        <is>
          <t>Hardness parameter</t>
        </is>
      </c>
      <c r="D19" s="23" t="inlineStr">
        <is>
          <t>Introduced by Bingham, 1965, this parameter characterizes material hardness through two complementary measures (Γhard and Γeasy) using drilling operational parameters like speed, force, bit size, penetration rate and torque. The two parameters are inversely related to each other.</t>
        </is>
      </c>
      <c r="E19" s="17" t="inlineStr">
        <is>
          <t>double</t>
        </is>
      </c>
      <c r="G19" s="19" t="inlineStr">
        <is>
          <t xml:space="preserve">Bingham, M. 1965. “A New Approach to Interpreting Rock Drillability.” Petroleum Publishing Company. </t>
        </is>
      </c>
      <c r="H19" s="27" t="inlineStr">
        <is>
          <t>https://books.google.com/books/about/A_New_Approach_to_Interpreting_Rock_Dril.html?id=8KcRnQEACAAJ</t>
        </is>
      </c>
    </row>
    <row r="20" ht="51" customHeight="1">
      <c r="A20" s="14">
        <f>IF(ISNA(VLOOKUP(B20,AssociatedElements!B$2:B2857,1,FALSE)),"Not used","")</f>
        <v/>
      </c>
      <c r="B20" s="15" t="inlineStr">
        <is>
          <t>holdback_pressure</t>
        </is>
      </c>
      <c r="C20" s="18" t="inlineStr">
        <is>
          <t>Holdback pressure</t>
        </is>
      </c>
      <c r="D20" s="22" t="inlineStr">
        <is>
          <t xml:space="preserve"> Hydraulic pressure used to prevent the drilling rod from penetrating too fast,  to prevent equipment from falling into a hole, or to compensate for the weight of rods added as the hole is drilled deeper.</t>
        </is>
      </c>
      <c r="E20" s="17" t="inlineStr">
        <is>
          <t>double</t>
        </is>
      </c>
      <c r="F20" s="14" t="inlineStr">
        <is>
          <t>pressure</t>
        </is>
      </c>
      <c r="G20" s="19" t="n"/>
    </row>
    <row r="21" ht="34" customHeight="1">
      <c r="A21" s="14">
        <f>IF(ISNA(VLOOKUP(B21,AssociatedElements!B$2:B2849,1,FALSE)),"Not used","")</f>
        <v/>
      </c>
      <c r="B21" s="15" t="inlineStr">
        <is>
          <t>hydraulic_crowd_pressure</t>
        </is>
      </c>
      <c r="C21" s="18" t="inlineStr">
        <is>
          <t>Hydraulic crowd operating pressure</t>
        </is>
      </c>
      <c r="D21" s="14" t="inlineStr">
        <is>
          <t>Hydraulic crowd operating pressure: The pressure at which the hydraulic system operates to exert crowd force.</t>
        </is>
      </c>
      <c r="E21" s="17" t="inlineStr">
        <is>
          <t>double</t>
        </is>
      </c>
      <c r="F21" s="14" t="inlineStr">
        <is>
          <t>pressure</t>
        </is>
      </c>
    </row>
    <row r="22" ht="17" customHeight="1">
      <c r="A22" s="14">
        <f>IF(ISNA(VLOOKUP(B22,AssociatedElements!B$2:B2841,1,FALSE)),"Not used","")</f>
        <v/>
      </c>
      <c r="B22" t="inlineStr">
        <is>
          <t>hydraulic_fluid_flow_rate</t>
        </is>
      </c>
      <c r="C22" s="18" t="inlineStr">
        <is>
          <t>Hydraulic fluid flow rate</t>
        </is>
      </c>
      <c r="D22" s="22" t="inlineStr">
        <is>
          <t>Rate of flow of the rig hydraulic fluid.</t>
        </is>
      </c>
      <c r="E22" s="17" t="inlineStr">
        <is>
          <t>double</t>
        </is>
      </c>
      <c r="F22" s="14" t="inlineStr">
        <is>
          <t>volume per time</t>
        </is>
      </c>
      <c r="G22" s="19" t="n"/>
    </row>
    <row r="23" ht="34" customHeight="1">
      <c r="A23" s="14">
        <f>IF(ISNA(VLOOKUP(B23,AssociatedElements!B$2:B2848,1,FALSE)),"Not used","")</f>
        <v/>
      </c>
      <c r="B23" s="15" t="inlineStr">
        <is>
          <t>hydraulic_torque_pressure</t>
        </is>
      </c>
      <c r="C23" s="18" t="inlineStr">
        <is>
          <t>Hydraulic torque operating pressure</t>
        </is>
      </c>
      <c r="D23" s="24" t="inlineStr">
        <is>
          <t>Hydraulic torque operating pressure. The pressure at which the hydraulic system operates to deliver torque.</t>
        </is>
      </c>
      <c r="E23" s="17" t="inlineStr">
        <is>
          <t>double</t>
        </is>
      </c>
      <c r="F23" s="14" t="inlineStr">
        <is>
          <t>pressure</t>
        </is>
      </c>
    </row>
    <row r="24" ht="17" customHeight="1">
      <c r="A24" s="14">
        <f>IF(ISNA(VLOOKUP(B24,AssociatedElements!B$2:B2832,1,FALSE)),"Not used","")</f>
        <v/>
      </c>
      <c r="B24" s="20" t="inlineStr">
        <is>
          <t>injected_fluid_density</t>
        </is>
      </c>
      <c r="C24" s="18" t="inlineStr">
        <is>
          <t>Injected fluid density</t>
        </is>
      </c>
      <c r="D24" s="24" t="inlineStr">
        <is>
          <t>Injected fluid density: The mass per unit volume of the injected fluid.</t>
        </is>
      </c>
      <c r="E24" s="17" t="inlineStr">
        <is>
          <t>double</t>
        </is>
      </c>
      <c r="F24" s="14" t="inlineStr">
        <is>
          <t>mass per volume</t>
        </is>
      </c>
    </row>
    <row r="25" ht="34" customHeight="1">
      <c r="A25" s="14">
        <f>IF(ISNA(VLOOKUP(B25,AssociatedElements!B$2:B2833,1,FALSE)),"Not used","")</f>
        <v/>
      </c>
      <c r="B25" s="15" t="inlineStr">
        <is>
          <t>injected_fluid_viscosity</t>
        </is>
      </c>
      <c r="C25" s="18" t="inlineStr">
        <is>
          <t>Injected fluid dynamic viscosity</t>
        </is>
      </c>
      <c r="D25" s="24" t="inlineStr">
        <is>
          <t>Injected fluid dynamic viscosity: The resistance of the injected fluid to flow.</t>
        </is>
      </c>
      <c r="E25" s="17" t="inlineStr">
        <is>
          <t>double</t>
        </is>
      </c>
      <c r="F25" s="14" t="inlineStr">
        <is>
          <t>dynamic viscosity</t>
        </is>
      </c>
    </row>
    <row r="26" ht="17" customHeight="1">
      <c r="A26" s="14">
        <f>IF(ISNA(VLOOKUP(B26,AssociatedElements!B$2:B2856,1,FALSE)),"Not used","")</f>
        <v/>
      </c>
      <c r="B26" s="15" t="inlineStr">
        <is>
          <t>net_crowd_pressure</t>
        </is>
      </c>
      <c r="C26" s="18" t="inlineStr">
        <is>
          <t>Net crowd pressure</t>
        </is>
      </c>
      <c r="D26" s="26" t="inlineStr">
        <is>
          <t>The difference between the crowd pressure and holdback pressure</t>
        </is>
      </c>
      <c r="E26" s="17" t="inlineStr">
        <is>
          <t>double</t>
        </is>
      </c>
      <c r="F26" s="14" t="inlineStr">
        <is>
          <t>pressure</t>
        </is>
      </c>
      <c r="G26" s="19" t="n"/>
    </row>
    <row r="27" ht="34" customHeight="1">
      <c r="A27" s="14">
        <f>IF(ISNA(VLOOKUP(B27,AssociatedElements!B$2:B2836,1,FALSE)),"Not used","")</f>
        <v/>
      </c>
      <c r="B27" s="15" t="inlineStr">
        <is>
          <t>penetration_length</t>
        </is>
      </c>
      <c r="C27" s="18" t="inlineStr">
        <is>
          <t>Penetration length</t>
        </is>
      </c>
      <c r="D27" s="22" t="inlineStr">
        <is>
          <t>Penetration length: The length of a increment of the borehole advanced by the drill bit.</t>
        </is>
      </c>
      <c r="E27" s="17" t="inlineStr">
        <is>
          <t>double</t>
        </is>
      </c>
      <c r="F27" s="14" t="inlineStr">
        <is>
          <t>length</t>
        </is>
      </c>
    </row>
    <row r="28" ht="85" customHeight="1">
      <c r="A28" s="14">
        <f>IF(ISNA(VLOOKUP(B28,AssociatedElements!B$2:B2863,1,FALSE)),"Not used","")</f>
        <v/>
      </c>
      <c r="B28" s="29" t="inlineStr">
        <is>
          <t>penetration_per_revolution</t>
        </is>
      </c>
      <c r="C28" s="32" t="inlineStr">
        <is>
          <t>Penetration per revolution</t>
        </is>
      </c>
      <c r="D28" s="19" t="inlineStr">
        <is>
          <t>Penetration per revolution: the axial advance of the drill string or auger per full rotation of the drive - a feed-per-rotation efficiency indicator, distinct from penetration_rate (advance per unit time) and normally reported alongside rotational speed so the two can be cross-checked against each other.</t>
        </is>
      </c>
      <c r="E28" s="17" t="inlineStr">
        <is>
          <t>double</t>
        </is>
      </c>
      <c r="F28" s="14" t="inlineStr">
        <is>
          <t>length</t>
        </is>
      </c>
      <c r="G28" s="19" t="n"/>
    </row>
    <row r="29" ht="34" customHeight="1">
      <c r="A29" s="14">
        <f>IF(ISNA(VLOOKUP(B29,AssociatedElements!B$2:B2826,1,FALSE)),"Not used","")</f>
        <v/>
      </c>
      <c r="B29" s="15" t="inlineStr">
        <is>
          <t>penetration_rate</t>
        </is>
      </c>
      <c r="C29" s="18" t="inlineStr">
        <is>
          <t>Penetration rate</t>
        </is>
      </c>
      <c r="D29" s="22" t="inlineStr">
        <is>
          <t>Penetration rate: The speed at which the drill bit penetrates the soil or rock.</t>
        </is>
      </c>
      <c r="E29" s="17" t="inlineStr">
        <is>
          <t>double</t>
        </is>
      </c>
      <c r="F29" s="14" t="inlineStr">
        <is>
          <t>length per time</t>
        </is>
      </c>
    </row>
    <row r="30" ht="221" customHeight="1">
      <c r="A30" s="14">
        <f>IF(ISNA(VLOOKUP(B30,AssociatedElements!B$2:B2858,1,FALSE)),"Not used","")</f>
        <v/>
      </c>
      <c r="B30" s="15" t="inlineStr">
        <is>
          <t>penetration_resistance</t>
        </is>
      </c>
      <c r="C30" s="18" t="inlineStr">
        <is>
          <t>Penetration resistance</t>
        </is>
      </c>
      <c r="D30" s="24" t="inlineStr">
        <is>
          <t>The amount of time it takes to drill a specified distance. Defined in ISO/IEC, 2016.</t>
        </is>
      </c>
      <c r="E30" s="17" t="inlineStr">
        <is>
          <t>double</t>
        </is>
      </c>
      <c r="F30" s="14" t="inlineStr">
        <is>
          <t>time per length</t>
        </is>
      </c>
      <c r="G30" s="14" t="inlineStr">
        <is>
          <t xml:space="preserve">ISO/IEC. 2016. Geotechnical Investigation and Testing – Field Testing – Part 15: Measuring While Drilling. ISO 22476-15:2016, International Standards Organization. Geneva, Switzerland. </t>
        </is>
      </c>
      <c r="H30" s="14" t="inlineStr">
        <is>
          <t>https://www.iso.org/standard/63412.html</t>
        </is>
      </c>
    </row>
    <row r="31" ht="17" customHeight="1">
      <c r="A31" s="14">
        <f>IF(ISNA(VLOOKUP(B31,AssociatedElements!B$2:B2827,1,FALSE)),"Not used","")</f>
        <v/>
      </c>
      <c r="B31" s="15" t="inlineStr">
        <is>
          <t>rotation_shaft</t>
        </is>
      </c>
      <c r="C31" s="25" t="inlineStr">
        <is>
          <t>Shaft rotational speed</t>
        </is>
      </c>
      <c r="D31" s="22" t="inlineStr">
        <is>
          <t>The number of revolutions per unit time measured on the shaft.</t>
        </is>
      </c>
      <c r="E31" s="17" t="inlineStr">
        <is>
          <t>double</t>
        </is>
      </c>
      <c r="F31" s="14" t="inlineStr">
        <is>
          <t>angular velocity</t>
        </is>
      </c>
    </row>
    <row r="32" ht="34" customHeight="1">
      <c r="A32" s="14">
        <f>IF(ISNA(VLOOKUP(B32,AssociatedElements!B$2:B2828,1,FALSE)),"Not used","")</f>
        <v/>
      </c>
      <c r="B32" s="15" t="inlineStr">
        <is>
          <t>rotation_tool</t>
        </is>
      </c>
      <c r="C32" s="25" t="inlineStr">
        <is>
          <t>Cutting tool rotational speed</t>
        </is>
      </c>
      <c r="D32" s="19" t="inlineStr">
        <is>
          <t>The number of revolutions per unit time measured on the drill bit or cutting tool.</t>
        </is>
      </c>
      <c r="E32" s="17" t="inlineStr">
        <is>
          <t>double</t>
        </is>
      </c>
      <c r="F32" s="14" t="inlineStr">
        <is>
          <t>angular velocity</t>
        </is>
      </c>
    </row>
    <row r="33" ht="221" customHeight="1">
      <c r="A33" s="14">
        <f>IF(ISNA(VLOOKUP(B33,AssociatedElements!B$2:B2858,1,FALSE)),"Not used","")</f>
        <v/>
      </c>
      <c r="B33" s="15" t="inlineStr">
        <is>
          <t>soil_rock_resistance</t>
        </is>
      </c>
      <c r="C33" s="25" t="inlineStr">
        <is>
          <t>Soil-Rock resistance</t>
        </is>
      </c>
      <c r="D33" s="22" t="inlineStr">
        <is>
          <t>The force or resistance encountered by drilling equipment as it penetrates through different layers of soil and rock formations, from ISO/IEC, 2016</t>
        </is>
      </c>
      <c r="E33" s="17" t="inlineStr">
        <is>
          <t>double</t>
        </is>
      </c>
      <c r="F33" s="34" t="inlineStr">
        <is>
          <t>(mass per time) per area</t>
        </is>
      </c>
      <c r="G33" s="14" t="inlineStr">
        <is>
          <t xml:space="preserve">ISO/IEC. 2016. Geotechnical Investigation and Testing – Field Testing – Part 15: Measuring While Drilling. ISO 22476-15:2016, International Standards Organization. Geneva, Switzerland. </t>
        </is>
      </c>
      <c r="H33" s="33" t="inlineStr">
        <is>
          <t>https://www.iso.org/standard/63412.html</t>
        </is>
      </c>
    </row>
    <row r="34" ht="119" customHeight="1">
      <c r="A34" s="14">
        <f>IF(ISNA(VLOOKUP(B34,AssociatedElements!B$2:B2857,1,FALSE)),"Not used","")</f>
        <v/>
      </c>
      <c r="B34" s="15" t="inlineStr">
        <is>
          <t>somerton_index</t>
        </is>
      </c>
      <c r="C34" s="25" t="inlineStr">
        <is>
          <t>Somerton index</t>
        </is>
      </c>
      <c r="D34" s="22" t="inlineStr">
        <is>
          <t xml:space="preserve">From Somerton (1959), a strength parameter that correlates the effective weight on a bit, rotation rate, and advance rate. </t>
        </is>
      </c>
      <c r="E34" s="17" t="inlineStr">
        <is>
          <t>double</t>
        </is>
      </c>
      <c r="G34" s="14" t="inlineStr">
        <is>
          <t xml:space="preserve">Somerton W.H. 1959. “A laboratory study of rock breakage by rotary drilling.” J. Pet. Technol, 216 pp. 92-97. </t>
        </is>
      </c>
      <c r="H34" s="27" t="inlineStr">
        <is>
          <t>https://doi.org/10.2118/1163-G</t>
        </is>
      </c>
    </row>
    <row r="35" ht="153" customHeight="1">
      <c r="A35" s="14">
        <f>IF(ISNA(VLOOKUP(B35,AssociatedElements!B$2:B2855,1,FALSE)),"Not used","")</f>
        <v/>
      </c>
      <c r="B35" s="15" t="inlineStr">
        <is>
          <t>specific_energy</t>
        </is>
      </c>
      <c r="C35" s="25" t="inlineStr">
        <is>
          <t>Specific energy</t>
        </is>
      </c>
      <c r="D35" s="22" t="inlineStr">
        <is>
          <t>The amount of energy required to excavate a unit volume of soil or rock as defined by Teae, 1965</t>
        </is>
      </c>
      <c r="E35" s="17" t="inlineStr">
        <is>
          <t>double</t>
        </is>
      </c>
      <c r="F35" s="14" t="inlineStr">
        <is>
          <t>pressure</t>
        </is>
      </c>
      <c r="G35" s="14" t="inlineStr">
        <is>
          <t xml:space="preserve">Teale, R. 1965. “The concept of specific energy in rock drilling.” International Journal of Rock Mechanics and Mining Sciences. 2(1): 57–73. </t>
        </is>
      </c>
      <c r="H35" s="27" t="inlineStr">
        <is>
          <t>https://doi.org/10.1016/0148-9062(65)90022-7</t>
        </is>
      </c>
    </row>
    <row r="36" ht="17" customHeight="1">
      <c r="A36" s="14">
        <f>IF(ISNA(VLOOKUP(B36,AssociatedElements!B$2:B2862,1,FALSE)),"Not used","")</f>
        <v/>
      </c>
      <c r="B36" s="15" t="inlineStr">
        <is>
          <t>stop_flag</t>
        </is>
      </c>
      <c r="C36" s="25" t="inlineStr">
        <is>
          <t>Stop Flag</t>
        </is>
      </c>
      <c r="D36" s="22" t="inlineStr">
        <is>
          <t>A logical flag; true when the drill rig advancement is stopped.</t>
        </is>
      </c>
      <c r="E36" s="17" t="inlineStr">
        <is>
          <t>boolean</t>
        </is>
      </c>
      <c r="G36" s="19" t="n"/>
    </row>
    <row r="37" ht="51" customHeight="1">
      <c r="A37" s="14">
        <f>IF(ISNA(VLOOKUP(B37,AssociatedElements!B$2:B2837,1,FALSE)),"Not used","")</f>
        <v/>
      </c>
      <c r="B37" s="15" t="inlineStr">
        <is>
          <t>time</t>
        </is>
      </c>
      <c r="C37" s="25" t="inlineStr">
        <is>
          <t>Measured Time</t>
        </is>
      </c>
      <c r="D37" s="22" t="inlineStr">
        <is>
          <t>The time noted for a certain driling operation or when a measurement is obtained, measured as an elapsed time from the start of drilling increment.</t>
        </is>
      </c>
      <c r="E37" s="17" t="inlineStr">
        <is>
          <t>double</t>
        </is>
      </c>
      <c r="F37" s="14" t="inlineStr">
        <is>
          <t>time</t>
        </is>
      </c>
    </row>
    <row r="38" ht="17" customHeight="1">
      <c r="A38" s="14">
        <f>IF(ISNA(VLOOKUP(B38,AssociatedElements!B$2:B2824,1,FALSE)),"Not used","")</f>
        <v/>
      </c>
      <c r="B38" s="15" t="inlineStr">
        <is>
          <t>torque</t>
        </is>
      </c>
      <c r="C38" s="15" t="inlineStr">
        <is>
          <t>Torque</t>
        </is>
      </c>
      <c r="D38" s="24" t="inlineStr">
        <is>
          <t>Torque: The rotational force applied to the drill rod.</t>
        </is>
      </c>
      <c r="E38" s="21" t="inlineStr">
        <is>
          <t>double</t>
        </is>
      </c>
      <c r="F38" s="14" t="inlineStr">
        <is>
          <t>moment of force</t>
        </is>
      </c>
    </row>
    <row r="39" ht="34" customHeight="1">
      <c r="A39" s="14">
        <f>IF(ISNA(VLOOKUP(B39,AssociatedElements!B$2:B2863,1,FALSE)),"Not used","")</f>
        <v/>
      </c>
      <c r="B39" s="15" t="inlineStr">
        <is>
          <t>torque_tach</t>
        </is>
      </c>
      <c r="C39" s="25" t="inlineStr">
        <is>
          <t>Torque Tach</t>
        </is>
      </c>
      <c r="D39" s="24" t="inlineStr">
        <is>
          <t>The percentage of the maximum available torque being used by the drill rig.</t>
        </is>
      </c>
      <c r="E39" s="17" t="inlineStr">
        <is>
          <t>double</t>
        </is>
      </c>
      <c r="F39" s="14" t="inlineStr">
        <is>
          <t>dimensionless</t>
        </is>
      </c>
      <c r="G39" s="19" t="n"/>
    </row>
    <row r="40" ht="17" customHeight="1">
      <c r="A40" s="14">
        <f>IF(ISNA(VLOOKUP(B40,AssociatedElements!B$2:B2834,1,FALSE)),"Not used","")</f>
        <v/>
      </c>
      <c r="B40" s="15" t="inlineStr">
        <is>
          <t>vibration_acceleration</t>
        </is>
      </c>
      <c r="C40" s="25" t="inlineStr">
        <is>
          <t>Vibration acceleration</t>
        </is>
      </c>
      <c r="D40" s="22" t="inlineStr">
        <is>
          <t>The rate of change of velocity per second of the drill string.</t>
        </is>
      </c>
      <c r="E40" s="17" t="inlineStr">
        <is>
          <t>double</t>
        </is>
      </c>
      <c r="F40" s="14" t="inlineStr">
        <is>
          <t>linear acceleration</t>
        </is>
      </c>
    </row>
    <row r="41" ht="17" customHeight="1">
      <c r="A41" s="14">
        <f>IF(ISNA(VLOOKUP(B41,AssociatedElements!B$2:B2855,1,FALSE)),"Not used","")</f>
        <v/>
      </c>
      <c r="B41" s="15" t="inlineStr">
        <is>
          <t>vibration_frequency</t>
        </is>
      </c>
      <c r="C41" s="25" t="inlineStr">
        <is>
          <t>Vibration frequency</t>
        </is>
      </c>
      <c r="D41" s="22" t="inlineStr">
        <is>
          <t>The frequency of vibration of the drill string.</t>
        </is>
      </c>
      <c r="E41" s="17" t="inlineStr">
        <is>
          <t>double</t>
        </is>
      </c>
      <c r="F41" s="14" t="inlineStr">
        <is>
          <t>frequency</t>
        </is>
      </c>
    </row>
  </sheetData>
  <hyperlinks>
    <hyperlink xmlns:r="http://schemas.openxmlformats.org/officeDocument/2006/relationships" ref="H2" r:id="rId1"/>
    <hyperlink xmlns:r="http://schemas.openxmlformats.org/officeDocument/2006/relationships" ref="H8" r:id="rId2"/>
    <hyperlink xmlns:r="http://schemas.openxmlformats.org/officeDocument/2006/relationships" ref="H11" r:id="rId3"/>
    <hyperlink xmlns:r="http://schemas.openxmlformats.org/officeDocument/2006/relationships" ref="H19" r:id="rId4"/>
    <hyperlink xmlns:r="http://schemas.openxmlformats.org/officeDocument/2006/relationships" ref="H33" r:id="rId5"/>
    <hyperlink xmlns:r="http://schemas.openxmlformats.org/officeDocument/2006/relationships" ref="H34" r:id="rId6"/>
    <hyperlink xmlns:r="http://schemas.openxmlformats.org/officeDocument/2006/relationships" ref="H35" r:id="rId7"/>
  </hyperlinks>
  <pageMargins left="0.7" right="0.7" top="0.75" bottom="0.75" header="0.3" footer="0.3"/>
  <pageSetup orientation="portrait"/>
  <tableParts count="1">
    <tablePart xmlns:r="http://schemas.openxmlformats.org/officeDocument/2006/relationships" r:id="rId8"/>
  </tableParts>
</worksheet>
</file>

<file path=xl/worksheets/sheet3.xml><?xml version="1.0" encoding="utf-8"?>
<worksheet xmlns="http://schemas.openxmlformats.org/spreadsheetml/2006/main">
  <sheetPr codeName="Sheet3">
    <outlinePr summaryBelow="1" summaryRight="1"/>
    <pageSetUpPr/>
  </sheetPr>
  <dimension ref="A1:D91"/>
  <sheetViews>
    <sheetView zoomScale="130" zoomScaleNormal="130" workbookViewId="0">
      <pane ySplit="1" topLeftCell="A38" activePane="bottomLeft" state="frozen"/>
      <selection pane="bottomLeft" activeCell="D56" sqref="D56"/>
    </sheetView>
  </sheetViews>
  <sheetFormatPr baseColWidth="10" defaultColWidth="10.83203125" defaultRowHeight="16"/>
  <cols>
    <col width="6.83203125" customWidth="1" min="1" max="1"/>
    <col width="31.6640625" customWidth="1" min="2" max="2"/>
    <col width="50.1640625" customWidth="1" style="3" min="3" max="3"/>
    <col width="93" customWidth="1" min="4" max="4"/>
  </cols>
  <sheetData>
    <row r="1" customFormat="1" s="6">
      <c r="A1" s="4" t="inlineStr">
        <is>
          <t>Start</t>
        </is>
      </c>
      <c r="B1" s="4" t="inlineStr">
        <is>
          <t>ID</t>
        </is>
      </c>
      <c r="C1" s="5" t="inlineStr">
        <is>
          <t>SourceElement</t>
        </is>
      </c>
      <c r="D1" s="6" t="inlineStr">
        <is>
          <t>ConditionalElement</t>
        </is>
      </c>
    </row>
    <row r="2" ht="17" customHeight="1">
      <c r="A2">
        <f>IF(ISNA(VLOOKUP(B2,Definitions!B$2:B$1823,1,FALSE)),"Not listed","")</f>
        <v/>
      </c>
      <c r="B2" s="10" t="inlineStr">
        <is>
          <t>alteration_index</t>
        </is>
      </c>
      <c r="C2" s="3" t="inlineStr">
        <is>
          <t>//diggs:propertyClass</t>
        </is>
      </c>
      <c r="D2" t="inlineStr">
        <is>
          <t>ancestor::diggs:measurement//diggs:procedure/diggs:MWDProcedure</t>
        </is>
      </c>
    </row>
    <row r="3" ht="17" customHeight="1">
      <c r="A3">
        <f>IF(ISNA(VLOOKUP(B3,Definitions!B$2:B$1823,1,FALSE)),"Not listed","")</f>
        <v/>
      </c>
      <c r="B3" s="10" t="inlineStr">
        <is>
          <t>calibration_flag</t>
        </is>
      </c>
      <c r="C3" s="3" t="inlineStr">
        <is>
          <t>//diggs:propertyClass</t>
        </is>
      </c>
      <c r="D3" t="inlineStr">
        <is>
          <t>ancestor::diggs:measurement//diggs:procedure/diggs:MWDProcedure</t>
        </is>
      </c>
    </row>
    <row r="4">
      <c r="A4">
        <f>IF(ISNA(VLOOKUP(B4,Definitions!B$2:B$1823,1,FALSE)),"Not listed","")</f>
        <v/>
      </c>
      <c r="B4" t="inlineStr">
        <is>
          <t>crowd_downward_thrust</t>
        </is>
      </c>
      <c r="C4" s="3" t="inlineStr">
        <is>
          <t>//diggs:propertyClass</t>
        </is>
      </c>
      <c r="D4" t="inlineStr">
        <is>
          <t>ancestor::diggs:measurement//diggs:procedure/diggs:MWDProcedure</t>
        </is>
      </c>
    </row>
    <row r="5" ht="17" customHeight="1">
      <c r="A5">
        <f>IF(ISNA(VLOOKUP(B5,Definitions!B$2:B$1823,1,FALSE)),"Not listed","")</f>
        <v/>
      </c>
      <c r="B5" s="10" t="inlineStr">
        <is>
          <t>crowd_pressure</t>
        </is>
      </c>
      <c r="C5" s="3" t="inlineStr">
        <is>
          <t>//diggs:propertyClass</t>
        </is>
      </c>
      <c r="D5" t="inlineStr">
        <is>
          <t>ancestor::diggs:measurement//diggs:procedure/diggs:MWDProcedure</t>
        </is>
      </c>
    </row>
    <row r="6">
      <c r="A6">
        <f>IF(ISNA(VLOOKUP(B6,Definitions!B$2:B$1823,1,FALSE)),"Not listed","")</f>
        <v/>
      </c>
      <c r="B6" t="inlineStr">
        <is>
          <t>depth</t>
        </is>
      </c>
      <c r="C6" s="3" t="inlineStr">
        <is>
          <t>//diggs:propertyClass</t>
        </is>
      </c>
      <c r="D6" t="inlineStr">
        <is>
          <t>ancestor::diggs:measurement//diggs:procedure/diggs:MWDProcedure</t>
        </is>
      </c>
    </row>
    <row r="7">
      <c r="A7">
        <f>IF(ISNA(VLOOKUP(B7,Definitions!B$2:B$1823,1,FALSE)),"Not listed","")</f>
        <v/>
      </c>
      <c r="B7" t="inlineStr">
        <is>
          <t>drill_rod_weight</t>
        </is>
      </c>
      <c r="C7" s="3" t="inlineStr">
        <is>
          <t>//diggs:propertyClass</t>
        </is>
      </c>
      <c r="D7" t="inlineStr">
        <is>
          <t>ancestor::diggs:measurement//diggs:procedure/diggs:MWDProcedure</t>
        </is>
      </c>
    </row>
    <row r="8">
      <c r="A8">
        <f>IF(ISNA(VLOOKUP(B8,Definitions!B$2:B$1823,1,FALSE)),"Not listed","")</f>
        <v/>
      </c>
      <c r="B8" t="inlineStr">
        <is>
          <t>drillability_strength</t>
        </is>
      </c>
      <c r="C8" s="3" t="inlineStr">
        <is>
          <t>//diggs:propertyClass</t>
        </is>
      </c>
      <c r="D8" t="inlineStr">
        <is>
          <t>ancestor::diggs:measurement//diggs:procedure/diggs:MWDProcedure</t>
        </is>
      </c>
    </row>
    <row r="9" ht="17" customHeight="1">
      <c r="A9">
        <f>IF(ISNA(VLOOKUP(B9,Definitions!B$2:B$1823,1,FALSE)),"Not listed","")</f>
        <v/>
      </c>
      <c r="B9" s="10" t="inlineStr">
        <is>
          <t>eccentric_rotation</t>
        </is>
      </c>
      <c r="C9" s="3" t="inlineStr">
        <is>
          <t>//diggs:propertyClass</t>
        </is>
      </c>
      <c r="D9" t="inlineStr">
        <is>
          <t>ancestor::diggs:measurement//diggs:procedure/diggs:MWDProcedure</t>
        </is>
      </c>
    </row>
    <row r="10" ht="17" customHeight="1">
      <c r="A10">
        <f>IF(ISNA(VLOOKUP(B10,Definitions!B$2:B$1823,1,FALSE)),"Not listed","")</f>
        <v/>
      </c>
      <c r="B10" s="10" t="inlineStr">
        <is>
          <t>event_new_rod</t>
        </is>
      </c>
      <c r="C10" s="3" t="inlineStr">
        <is>
          <t>//diggs:propertyClass</t>
        </is>
      </c>
      <c r="D10" t="inlineStr">
        <is>
          <t>ancestor::diggs:measurement//diggs:procedure/diggs:MWDProcedure</t>
        </is>
      </c>
    </row>
    <row r="11" ht="17" customHeight="1">
      <c r="A11">
        <f>IF(ISNA(VLOOKUP(B11,Definitions!B$2:B$1823,1,FALSE)),"Not listed","")</f>
        <v/>
      </c>
      <c r="B11" s="10" t="inlineStr">
        <is>
          <t>exponent_method</t>
        </is>
      </c>
      <c r="C11" s="3" t="inlineStr">
        <is>
          <t>//diggs:propertyClass</t>
        </is>
      </c>
      <c r="D11" t="inlineStr">
        <is>
          <t>ancestor::diggs:measurement//diggs:procedure/diggs:MWDProcedure</t>
        </is>
      </c>
    </row>
    <row r="12">
      <c r="A12">
        <f>IF(ISNA(VLOOKUP(B12,Definitions!B$2:B$1823,1,FALSE)),"Not listed","")</f>
        <v/>
      </c>
      <c r="B12" t="inlineStr">
        <is>
          <t>fluid_injection_mass_rate</t>
        </is>
      </c>
      <c r="C12" s="3" t="inlineStr">
        <is>
          <t>//diggs:propertyClass</t>
        </is>
      </c>
      <c r="D12" t="inlineStr">
        <is>
          <t>ancestor::diggs:measurement//diggs:procedure/diggs:MWDProcedure</t>
        </is>
      </c>
    </row>
    <row r="13">
      <c r="A13">
        <f>IF(ISNA(VLOOKUP(B13,Definitions!B$2:B$1823,1,FALSE)),"Not listed","")</f>
        <v/>
      </c>
      <c r="B13" t="inlineStr">
        <is>
          <t>fluid_injection_pressure</t>
        </is>
      </c>
      <c r="C13" s="3" t="inlineStr">
        <is>
          <t>//diggs:propertyClass</t>
        </is>
      </c>
      <c r="D13" t="inlineStr">
        <is>
          <t>ancestor::diggs:measurement//diggs:procedure/diggs:MWDProcedure</t>
        </is>
      </c>
    </row>
    <row r="14">
      <c r="A14">
        <f>IF(ISNA(VLOOKUP(B14,Definitions!B$2:B$1823,1,FALSE)),"Not listed","")</f>
        <v/>
      </c>
      <c r="B14" t="inlineStr">
        <is>
          <t>fluid_injection_volume_rate</t>
        </is>
      </c>
      <c r="C14" s="3" t="inlineStr">
        <is>
          <t>//diggs:propertyClass</t>
        </is>
      </c>
      <c r="D14" t="inlineStr">
        <is>
          <t>ancestor::diggs:measurement//diggs:procedure/diggs:MWDProcedure</t>
        </is>
      </c>
    </row>
    <row r="15">
      <c r="A15">
        <f>IF(ISNA(VLOOKUP(B15,Definitions!B$2:B$1823,1,FALSE)),"Not listed","")</f>
        <v/>
      </c>
      <c r="B15" t="inlineStr">
        <is>
          <t>fluid_return_volume_rate</t>
        </is>
      </c>
      <c r="C15" s="3" t="inlineStr">
        <is>
          <t>//diggs:propertyClass</t>
        </is>
      </c>
      <c r="D15" t="inlineStr">
        <is>
          <t>ancestor::diggs:measurement//diggs:procedure/diggs:MWDProcedure</t>
        </is>
      </c>
    </row>
    <row r="16" ht="17" customHeight="1">
      <c r="A16">
        <f>IF(ISNA(VLOOKUP(B16,Definitions!B$2:B$1823,1,FALSE)),"Not listed","")</f>
        <v/>
      </c>
      <c r="B16" s="10" t="inlineStr">
        <is>
          <t>fluid_temperature</t>
        </is>
      </c>
      <c r="C16" s="3" t="inlineStr">
        <is>
          <t>//diggs:propertyClass</t>
        </is>
      </c>
      <c r="D16" t="inlineStr">
        <is>
          <t>ancestor::diggs:measurement//diggs:procedure/diggs:MWDProcedure</t>
        </is>
      </c>
    </row>
    <row r="17" ht="17" customHeight="1">
      <c r="A17">
        <f>IF(ISNA(VLOOKUP(B17,Definitions!B$2:B$1823,1,FALSE)),"Not listed","")</f>
        <v/>
      </c>
      <c r="B17" s="10" t="inlineStr">
        <is>
          <t>gear_number</t>
        </is>
      </c>
      <c r="C17" s="3" t="inlineStr">
        <is>
          <t>//diggs:propertyClass</t>
        </is>
      </c>
      <c r="D17" t="inlineStr">
        <is>
          <t>ancestor::diggs:measurement//diggs:procedure/diggs:MWDProcedure</t>
        </is>
      </c>
    </row>
    <row r="18" ht="17" customHeight="1">
      <c r="A18">
        <f>IF(ISNA(VLOOKUP(B18,Definitions!B$2:B$1823,1,FALSE)),"Not listed","")</f>
        <v/>
      </c>
      <c r="B18" s="10" t="inlineStr">
        <is>
          <t>hammering_pressure</t>
        </is>
      </c>
      <c r="C18" s="3" t="inlineStr">
        <is>
          <t>//diggs:propertyClass</t>
        </is>
      </c>
      <c r="D18" t="inlineStr">
        <is>
          <t>ancestor::diggs:measurement//diggs:procedure/diggs:MWDProcedure</t>
        </is>
      </c>
    </row>
    <row r="19" ht="17" customHeight="1">
      <c r="A19">
        <f>IF(ISNA(VLOOKUP(B19,Definitions!B$2:B$1823,1,FALSE)),"Not listed","")</f>
        <v/>
      </c>
      <c r="B19" s="10" t="inlineStr">
        <is>
          <t>hardness_parameter</t>
        </is>
      </c>
      <c r="C19" s="3" t="inlineStr">
        <is>
          <t>//diggs:propertyClass</t>
        </is>
      </c>
      <c r="D19" t="inlineStr">
        <is>
          <t>ancestor::diggs:measurement//diggs:procedure/diggs:MWDProcedure</t>
        </is>
      </c>
    </row>
    <row r="20" ht="17" customHeight="1">
      <c r="A20">
        <f>IF(ISNA(VLOOKUP(B20,Definitions!B$2:B$1823,1,FALSE)),"Not listed","")</f>
        <v/>
      </c>
      <c r="B20" s="10" t="inlineStr">
        <is>
          <t>holdback_pressure</t>
        </is>
      </c>
      <c r="C20" s="3" t="inlineStr">
        <is>
          <t>//diggs:propertyClass</t>
        </is>
      </c>
      <c r="D20" t="inlineStr">
        <is>
          <t>ancestor::diggs:measurement//diggs:procedure/diggs:MWDProcedure</t>
        </is>
      </c>
    </row>
    <row r="21">
      <c r="A21">
        <f>IF(ISNA(VLOOKUP(B21,Definitions!B$2:B$1823,1,FALSE)),"Not listed","")</f>
        <v/>
      </c>
      <c r="B21" t="inlineStr">
        <is>
          <t>hydraulic_crowd_pressure</t>
        </is>
      </c>
      <c r="C21" s="3" t="inlineStr">
        <is>
          <t>//diggs:propertyClass</t>
        </is>
      </c>
      <c r="D21" t="inlineStr">
        <is>
          <t>ancestor::diggs:measurement//diggs:procedure/diggs:MWDProcedure</t>
        </is>
      </c>
    </row>
    <row r="22">
      <c r="A22">
        <f>IF(ISNA(VLOOKUP(B22,Definitions!B$2:B$1823,1,FALSE)),"Not listed","")</f>
        <v/>
      </c>
      <c r="B22" t="inlineStr">
        <is>
          <t>hydraulic_fluid_flow_rate</t>
        </is>
      </c>
      <c r="C22" s="3" t="inlineStr">
        <is>
          <t>//diggs:propertyClass</t>
        </is>
      </c>
      <c r="D22" t="inlineStr">
        <is>
          <t>ancestor::diggs:measurement//diggs:procedure/diggs:MWDProcedure</t>
        </is>
      </c>
    </row>
    <row r="23">
      <c r="A23">
        <f>IF(ISNA(VLOOKUP(B23,Definitions!B$2:B$1823,1,FALSE)),"Not listed","")</f>
        <v/>
      </c>
      <c r="B23" t="inlineStr">
        <is>
          <t>hydraulic_torque_pressure</t>
        </is>
      </c>
      <c r="C23" s="3" t="inlineStr">
        <is>
          <t>//diggs:propertyClass</t>
        </is>
      </c>
      <c r="D23" t="inlineStr">
        <is>
          <t>ancestor::diggs:measurement//diggs:procedure/diggs:MWDProcedure</t>
        </is>
      </c>
    </row>
    <row r="24">
      <c r="A24">
        <f>IF(ISNA(VLOOKUP(B24,Definitions!B$2:B$1823,1,FALSE)),"Not listed","")</f>
        <v/>
      </c>
      <c r="B24" t="inlineStr">
        <is>
          <t>injected_fluid_density</t>
        </is>
      </c>
      <c r="C24" s="3" t="inlineStr">
        <is>
          <t>//diggs:propertyClass</t>
        </is>
      </c>
      <c r="D24" t="inlineStr">
        <is>
          <t>ancestor::diggs:measurement//diggs:procedure/diggs:MWDProcedure</t>
        </is>
      </c>
    </row>
    <row r="25">
      <c r="A25">
        <f>IF(ISNA(VLOOKUP(B25,Definitions!B$2:B$1823,1,FALSE)),"Not listed","")</f>
        <v/>
      </c>
      <c r="B25" t="inlineStr">
        <is>
          <t>injected_fluid_viscosity</t>
        </is>
      </c>
      <c r="C25" s="3" t="inlineStr">
        <is>
          <t>//diggs:propertyClass</t>
        </is>
      </c>
      <c r="D25" t="inlineStr">
        <is>
          <t>ancestor::diggs:measurement//diggs:procedure/diggs:MWDProcedure</t>
        </is>
      </c>
    </row>
    <row r="26" ht="17" customHeight="1">
      <c r="A26">
        <f>IF(ISNA(VLOOKUP(B26,Definitions!B$2:B$1823,1,FALSE)),"Not listed","")</f>
        <v/>
      </c>
      <c r="B26" s="10" t="inlineStr">
        <is>
          <t>net_crowd_pressure</t>
        </is>
      </c>
      <c r="C26" s="3" t="inlineStr">
        <is>
          <t>//diggs:propertyClass</t>
        </is>
      </c>
      <c r="D26" t="inlineStr">
        <is>
          <t>ancestor::diggs:measurement//diggs:procedure/diggs:MWDProcedure</t>
        </is>
      </c>
    </row>
    <row r="27">
      <c r="A27">
        <f>IF(ISNA(VLOOKUP(B27,Definitions!B$2:B$1823,1,FALSE)),"Not listed","")</f>
        <v/>
      </c>
      <c r="B27" t="inlineStr">
        <is>
          <t>penetration_length</t>
        </is>
      </c>
      <c r="C27" s="3" t="inlineStr">
        <is>
          <t>//diggs:propertyClass</t>
        </is>
      </c>
      <c r="D27" t="inlineStr">
        <is>
          <t>ancestor::diggs:measurement//diggs:procedure/diggs:MWDProcedure</t>
        </is>
      </c>
    </row>
    <row r="28" ht="17" customHeight="1">
      <c r="A28">
        <f>IF(ISNA(VLOOKUP(B28,Definitions!B$2:B$1823,1,FALSE)),"Not listed","")</f>
        <v/>
      </c>
      <c r="B28" s="31" t="inlineStr">
        <is>
          <t>penetration_per_revolution</t>
        </is>
      </c>
      <c r="C28" s="30" t="inlineStr">
        <is>
          <t>//diggs:propertyClass</t>
        </is>
      </c>
      <c r="D28" t="inlineStr">
        <is>
          <t>ancestor::diggs:measurement//diggs:procedure/diggs:MWDProcedure</t>
        </is>
      </c>
    </row>
    <row r="29" ht="17" customHeight="1">
      <c r="A29">
        <f>IF(ISNA(VLOOKUP(B29,Definitions!B$2:B$1823,1,FALSE)),"Not listed","")</f>
        <v/>
      </c>
      <c r="B29" s="31" t="inlineStr">
        <is>
          <t>penetration_per_revolution</t>
        </is>
      </c>
      <c r="C29" s="30" t="inlineStr">
        <is>
          <t>//diggs:propertyClass</t>
        </is>
      </c>
      <c r="D29" s="30" t="inlineStr">
        <is>
          <t>ancestor::diggs:constructionActivity//diggs:RIInstallationRecord</t>
        </is>
      </c>
    </row>
    <row r="30">
      <c r="A30">
        <f>IF(ISNA(VLOOKUP(B30,Definitions!B$2:B$1823,1,FALSE)),"Not listed","")</f>
        <v/>
      </c>
      <c r="B30" t="inlineStr">
        <is>
          <t>penetration_rate</t>
        </is>
      </c>
      <c r="C30" s="3" t="inlineStr">
        <is>
          <t>//diggs:propertyClass</t>
        </is>
      </c>
      <c r="D30" s="30" t="inlineStr">
        <is>
          <t>ancestor::diggs:constructionActivity//diggs:RIInstallationRecord</t>
        </is>
      </c>
    </row>
    <row r="31">
      <c r="A31">
        <f>IF(ISNA(VLOOKUP(B31,Definitions!B$2:B$1823,1,FALSE)),"Not listed","")</f>
        <v/>
      </c>
      <c r="B31" t="inlineStr">
        <is>
          <t>penetration_rate</t>
        </is>
      </c>
      <c r="C31" s="3" t="inlineStr">
        <is>
          <t>//diggs:propertyClass</t>
        </is>
      </c>
      <c r="D31" t="inlineStr">
        <is>
          <t>ancestor::diggs:measurement//diggs:procedure/diggs:MWDProcedure</t>
        </is>
      </c>
    </row>
    <row r="32">
      <c r="A32">
        <f>IF(ISNA(VLOOKUP(B32,Definitions!B$2:B$1823,1,FALSE)),"Not listed","")</f>
        <v/>
      </c>
      <c r="B32" t="inlineStr">
        <is>
          <t>penetration_resistance</t>
        </is>
      </c>
      <c r="C32" s="3" t="inlineStr">
        <is>
          <t>//diggs:propertyClass</t>
        </is>
      </c>
      <c r="D32" t="inlineStr">
        <is>
          <t>ancestor::diggs:measurement//diggs:procedure/diggs:MWDProcedure</t>
        </is>
      </c>
    </row>
    <row r="33" ht="17" customHeight="1">
      <c r="A33">
        <f>IF(ISNA(VLOOKUP(B33,Definitions!B$2:B$1823,1,FALSE)),"Not listed","")</f>
        <v/>
      </c>
      <c r="B33" s="10" t="inlineStr">
        <is>
          <t>rotation_shaft</t>
        </is>
      </c>
      <c r="C33" s="3" t="inlineStr">
        <is>
          <t>//diggs:propertyClass</t>
        </is>
      </c>
      <c r="D33" t="inlineStr">
        <is>
          <t>ancestor::diggs:measurement//diggs:procedure/diggs:MWDProcedure</t>
        </is>
      </c>
    </row>
    <row r="34" ht="17" customHeight="1">
      <c r="A34">
        <f>IF(ISNA(VLOOKUP(B34,Definitions!B$2:B$1823,1,FALSE)),"Not listed","")</f>
        <v/>
      </c>
      <c r="B34" s="10" t="inlineStr">
        <is>
          <t>rotation_tool</t>
        </is>
      </c>
      <c r="C34" s="3" t="inlineStr">
        <is>
          <t>//diggs:propertyClass</t>
        </is>
      </c>
      <c r="D34" t="inlineStr">
        <is>
          <t>ancestor::diggs:measurement//diggs:procedure/diggs:MWDProcedure</t>
        </is>
      </c>
    </row>
    <row r="35" ht="17" customHeight="1">
      <c r="A35">
        <f>IF(ISNA(VLOOKUP(B35,Definitions!B$2:B$1823,1,FALSE)),"Not listed","")</f>
        <v/>
      </c>
      <c r="B35" s="10" t="inlineStr">
        <is>
          <t>soil_rock_resistance</t>
        </is>
      </c>
      <c r="C35" s="3" t="inlineStr">
        <is>
          <t>//diggs:propertyClass</t>
        </is>
      </c>
      <c r="D35" t="inlineStr">
        <is>
          <t>ancestor::diggs:measurement//diggs:procedure/diggs:MWDProcedure</t>
        </is>
      </c>
    </row>
    <row r="36">
      <c r="A36">
        <f>IF(ISNA(VLOOKUP(B36,Definitions!B$2:B$1823,1,FALSE)),"Not listed","")</f>
        <v/>
      </c>
      <c r="B36" t="inlineStr">
        <is>
          <t>somerton_index</t>
        </is>
      </c>
      <c r="C36" s="3" t="inlineStr">
        <is>
          <t>//diggs:propertyClass</t>
        </is>
      </c>
      <c r="D36" t="inlineStr">
        <is>
          <t>ancestor::diggs:measurement//diggs:procedure/diggs:MWDProcedure</t>
        </is>
      </c>
    </row>
    <row r="37">
      <c r="A37">
        <f>IF(ISNA(VLOOKUP(B37,Definitions!B$2:B$1823,1,FALSE)),"Not listed","")</f>
        <v/>
      </c>
      <c r="B37" t="inlineStr">
        <is>
          <t>specific_energy</t>
        </is>
      </c>
      <c r="C37" s="3" t="inlineStr">
        <is>
          <t>//diggs:propertyClass</t>
        </is>
      </c>
      <c r="D37" t="inlineStr">
        <is>
          <t>ancestor::diggs:measurement//diggs:procedure/diggs:MWDProcedure</t>
        </is>
      </c>
    </row>
    <row r="38" ht="17" customHeight="1">
      <c r="A38">
        <f>IF(ISNA(VLOOKUP(B38,Definitions!B$2:B$1823,1,FALSE)),"Not listed","")</f>
        <v/>
      </c>
      <c r="B38" s="10" t="inlineStr">
        <is>
          <t>stop_flag</t>
        </is>
      </c>
      <c r="C38" s="3" t="inlineStr">
        <is>
          <t>//diggs:propertyClass</t>
        </is>
      </c>
      <c r="D38" t="inlineStr">
        <is>
          <t>ancestor::diggs:measurement//diggs:procedure/diggs:MWDProcedure</t>
        </is>
      </c>
    </row>
    <row r="39">
      <c r="A39">
        <f>IF(ISNA(VLOOKUP(B39,Definitions!B$2:B$1823,1,FALSE)),"Not listed","")</f>
        <v/>
      </c>
      <c r="B39" t="inlineStr">
        <is>
          <t>time</t>
        </is>
      </c>
      <c r="C39" s="3" t="inlineStr">
        <is>
          <t>//diggs:propertyClass</t>
        </is>
      </c>
      <c r="D39" t="inlineStr">
        <is>
          <t>ancestor::diggs:measurement//diggs:procedure/diggs:MWDProcedure</t>
        </is>
      </c>
    </row>
    <row r="40">
      <c r="A40">
        <f>IF(ISNA(VLOOKUP(B40,Definitions!B$2:B$1823,1,FALSE)),"Not listed","")</f>
        <v/>
      </c>
      <c r="B40" t="inlineStr">
        <is>
          <t>torque</t>
        </is>
      </c>
      <c r="C40" s="3" t="inlineStr">
        <is>
          <t>//diggs:propertyClass</t>
        </is>
      </c>
      <c r="D40" t="inlineStr">
        <is>
          <t>ancestor::diggs:measurement//diggs:procedure/diggs:MWDProcedure</t>
        </is>
      </c>
    </row>
    <row r="41">
      <c r="A41">
        <f>IF(ISNA(VLOOKUP(B41,Definitions!B$2:B$1823,1,FALSE)),"Not listed","")</f>
        <v/>
      </c>
      <c r="B41" t="inlineStr">
        <is>
          <t>torque</t>
        </is>
      </c>
      <c r="C41" s="3" t="inlineStr">
        <is>
          <t>//diggs:propertyClass</t>
        </is>
      </c>
      <c r="D41" s="30" t="inlineStr">
        <is>
          <t>ancestor::diggs:constructionActivity//diggs:RIInstallationRecord</t>
        </is>
      </c>
    </row>
    <row r="42" ht="17" customHeight="1">
      <c r="A42">
        <f>IF(ISNA(VLOOKUP(B42,Definitions!B$2:B$1823,1,FALSE)),"Not listed","")</f>
        <v/>
      </c>
      <c r="B42" s="10" t="inlineStr">
        <is>
          <t>torque_tach</t>
        </is>
      </c>
      <c r="C42" s="3" t="inlineStr">
        <is>
          <t>//diggs:propertyClass</t>
        </is>
      </c>
      <c r="D42" t="inlineStr">
        <is>
          <t>ancestor::diggs:measurement//diggs:procedure/diggs:MWDProcedure</t>
        </is>
      </c>
    </row>
    <row r="43" ht="17" customHeight="1">
      <c r="A43">
        <f>IF(ISNA(VLOOKUP(B43,Definitions!B$2:B$1823,1,FALSE)),"Not listed","")</f>
        <v/>
      </c>
      <c r="B43" s="10" t="inlineStr">
        <is>
          <t>vibration_acceleration</t>
        </is>
      </c>
      <c r="C43" s="3" t="inlineStr">
        <is>
          <t>//diggs:propertyClass</t>
        </is>
      </c>
      <c r="D43" t="inlineStr">
        <is>
          <t>ancestor::diggs:measurement//diggs:procedure/diggs:MWDProcedure</t>
        </is>
      </c>
    </row>
    <row r="44" ht="17" customHeight="1">
      <c r="A44">
        <f>IF(ISNA(VLOOKUP(B44,Definitions!B$2:B$1823,1,FALSE)),"Not listed","")</f>
        <v/>
      </c>
      <c r="B44" s="10" t="inlineStr">
        <is>
          <t>vibration_frequency</t>
        </is>
      </c>
      <c r="C44" s="3" t="inlineStr">
        <is>
          <t>//diggs:propertyClass</t>
        </is>
      </c>
      <c r="D44" t="inlineStr">
        <is>
          <t>ancestor::diggs:measurement//diggs:procedure/diggs:MWDProcedure</t>
        </is>
      </c>
    </row>
    <row r="45" ht="17" customHeight="1">
      <c r="A45">
        <f>IF(ISNA(VLOOKUP(B45,Definitions!B$2:B$1823,1,FALSE)),"Not listed","")</f>
        <v/>
      </c>
      <c r="B45" s="10" t="inlineStr">
        <is>
          <t>rotation_shaft</t>
        </is>
      </c>
      <c r="C45" s="3" t="inlineStr">
        <is>
          <t>//diggs:propertyClass</t>
        </is>
      </c>
      <c r="D45" s="30" t="inlineStr">
        <is>
          <t>ancestor::diggs:constructionActivity//diggs:RIInstallationRecord</t>
        </is>
      </c>
    </row>
    <row r="46" ht="17" customHeight="1">
      <c r="A46">
        <f>IF(ISNA(VLOOKUP(B46,Definitions!B$2:B$1823,1,FALSE)),"Not listed","")</f>
        <v/>
      </c>
      <c r="B46" s="10" t="inlineStr">
        <is>
          <t>rotation_tool</t>
        </is>
      </c>
      <c r="C46" s="3" t="inlineStr">
        <is>
          <t>//diggs:propertyClass</t>
        </is>
      </c>
      <c r="D46" s="30" t="inlineStr">
        <is>
          <t>ancestor::diggs:constructionActivity//diggs:RIInstallationRecord</t>
        </is>
      </c>
    </row>
    <row r="47">
      <c r="A47">
        <f>IF(ISNA(VLOOKUP(#REF!,Definitions!B$2:B$1823,1,FALSE)),"Not listed","")</f>
        <v/>
      </c>
      <c r="B47" t="inlineStr">
        <is>
          <t>crowd_downward_thrust</t>
        </is>
      </c>
      <c r="C47" t="inlineStr">
        <is>
          <t>//diggs:propertyClass</t>
        </is>
      </c>
      <c r="D47" t="inlineStr">
        <is>
          <t>ancestor::diggs:constructionActivity//diggs:RIInstallationRecord</t>
        </is>
      </c>
    </row>
    <row r="48">
      <c r="A48">
        <f>IF(ISNA(VLOOKUP(#REF!,Definitions!B$2:B$1823,1,FALSE)),"Not listed","")</f>
        <v/>
      </c>
      <c r="B48" t="inlineStr">
        <is>
          <t>crowd_pressure</t>
        </is>
      </c>
      <c r="C48" t="inlineStr">
        <is>
          <t>//diggs:propertyClass</t>
        </is>
      </c>
      <c r="D48" t="inlineStr">
        <is>
          <t>ancestor::diggs:constructionActivity//diggs:RIInstallationRecord</t>
        </is>
      </c>
    </row>
    <row r="49">
      <c r="A49">
        <f>IF(ISNA(VLOOKUP(#REF!,Definitions!B$2:B$1823,1,FALSE)),"Not listed","")</f>
        <v/>
      </c>
      <c r="B49" t="inlineStr">
        <is>
          <t>net_crowd_pressure</t>
        </is>
      </c>
      <c r="C49" t="inlineStr">
        <is>
          <t>//diggs:propertyClass</t>
        </is>
      </c>
      <c r="D49" t="inlineStr">
        <is>
          <t>ancestor::diggs:constructionActivity//diggs:RIInstallationRecord</t>
        </is>
      </c>
    </row>
    <row r="50">
      <c r="B50" t="inlineStr">
        <is>
          <t>alteration_index</t>
        </is>
      </c>
      <c r="C50" t="inlineStr">
        <is>
          <t>//diggs:recordingParameter</t>
        </is>
      </c>
      <c r="D50" t="inlineStr">
        <is>
          <t>ancestor::diggs:ConstructionActivitySpecification</t>
        </is>
      </c>
    </row>
    <row r="51">
      <c r="B51" t="inlineStr">
        <is>
          <t>calibration_flag</t>
        </is>
      </c>
      <c r="C51" t="inlineStr">
        <is>
          <t>//diggs:recordingParameter</t>
        </is>
      </c>
      <c r="D51" t="inlineStr">
        <is>
          <t>ancestor::diggs:ConstructionActivitySpecification</t>
        </is>
      </c>
    </row>
    <row r="52">
      <c r="B52" t="inlineStr">
        <is>
          <t>crowd_downward_thrust</t>
        </is>
      </c>
      <c r="C52" t="inlineStr">
        <is>
          <t>//diggs:recordingParameter</t>
        </is>
      </c>
      <c r="D52" t="inlineStr">
        <is>
          <t>ancestor::diggs:ConstructionActivitySpecification</t>
        </is>
      </c>
    </row>
    <row r="53">
      <c r="B53" t="inlineStr">
        <is>
          <t>crowd_pressure</t>
        </is>
      </c>
      <c r="C53" t="inlineStr">
        <is>
          <t>//diggs:recordingParameter</t>
        </is>
      </c>
      <c r="D53" t="inlineStr">
        <is>
          <t>ancestor::diggs:ConstructionActivitySpecification</t>
        </is>
      </c>
    </row>
    <row r="54">
      <c r="B54" t="inlineStr">
        <is>
          <t>depth</t>
        </is>
      </c>
      <c r="C54" t="inlineStr">
        <is>
          <t>//diggs:recordingParameter</t>
        </is>
      </c>
      <c r="D54" t="inlineStr">
        <is>
          <t>ancestor::diggs:ConstructionActivitySpecification</t>
        </is>
      </c>
    </row>
    <row r="55">
      <c r="B55" t="inlineStr">
        <is>
          <t>drill_rod_weight</t>
        </is>
      </c>
      <c r="C55" t="inlineStr">
        <is>
          <t>//diggs:recordingParameter</t>
        </is>
      </c>
      <c r="D55" t="inlineStr">
        <is>
          <t>ancestor::diggs:ConstructionActivitySpecification</t>
        </is>
      </c>
    </row>
    <row r="56">
      <c r="B56" t="inlineStr">
        <is>
          <t>drillability_strength</t>
        </is>
      </c>
      <c r="C56" t="inlineStr">
        <is>
          <t>//diggs:recordingParameter</t>
        </is>
      </c>
      <c r="D56" t="inlineStr">
        <is>
          <t>ancestor::diggs:ConstructionActivitySpecification</t>
        </is>
      </c>
    </row>
    <row r="57">
      <c r="B57" t="inlineStr">
        <is>
          <t>eccentric_rotation</t>
        </is>
      </c>
      <c r="C57" t="inlineStr">
        <is>
          <t>//diggs:recordingParameter</t>
        </is>
      </c>
      <c r="D57" t="inlineStr">
        <is>
          <t>ancestor::diggs:ConstructionActivitySpecification</t>
        </is>
      </c>
    </row>
    <row r="58">
      <c r="B58" t="inlineStr">
        <is>
          <t>event_new_rod</t>
        </is>
      </c>
      <c r="C58" t="inlineStr">
        <is>
          <t>//diggs:recordingParameter</t>
        </is>
      </c>
      <c r="D58" t="inlineStr">
        <is>
          <t>ancestor::diggs:ConstructionActivitySpecification</t>
        </is>
      </c>
    </row>
    <row r="59">
      <c r="B59" t="inlineStr">
        <is>
          <t>exponent_method</t>
        </is>
      </c>
      <c r="C59" t="inlineStr">
        <is>
          <t>//diggs:recordingParameter</t>
        </is>
      </c>
      <c r="D59" t="inlineStr">
        <is>
          <t>ancestor::diggs:ConstructionActivitySpecification</t>
        </is>
      </c>
    </row>
    <row r="60">
      <c r="B60" t="inlineStr">
        <is>
          <t>fluid_injection_mass_rate</t>
        </is>
      </c>
      <c r="C60" t="inlineStr">
        <is>
          <t>//diggs:recordingParameter</t>
        </is>
      </c>
      <c r="D60" t="inlineStr">
        <is>
          <t>ancestor::diggs:ConstructionActivitySpecification</t>
        </is>
      </c>
    </row>
    <row r="61">
      <c r="B61" t="inlineStr">
        <is>
          <t>fluid_injection_pressure</t>
        </is>
      </c>
      <c r="C61" t="inlineStr">
        <is>
          <t>//diggs:recordingParameter</t>
        </is>
      </c>
      <c r="D61" t="inlineStr">
        <is>
          <t>ancestor::diggs:ConstructionActivitySpecification</t>
        </is>
      </c>
    </row>
    <row r="62">
      <c r="B62" t="inlineStr">
        <is>
          <t>fluid_injection_volume_rate</t>
        </is>
      </c>
      <c r="C62" t="inlineStr">
        <is>
          <t>//diggs:recordingParameter</t>
        </is>
      </c>
      <c r="D62" t="inlineStr">
        <is>
          <t>ancestor::diggs:ConstructionActivitySpecification</t>
        </is>
      </c>
    </row>
    <row r="63">
      <c r="B63" t="inlineStr">
        <is>
          <t>fluid_return_volume_rate</t>
        </is>
      </c>
      <c r="C63" t="inlineStr">
        <is>
          <t>//diggs:recordingParameter</t>
        </is>
      </c>
      <c r="D63" t="inlineStr">
        <is>
          <t>ancestor::diggs:ConstructionActivitySpecification</t>
        </is>
      </c>
    </row>
    <row r="64">
      <c r="B64" t="inlineStr">
        <is>
          <t>fluid_temperature</t>
        </is>
      </c>
      <c r="C64" t="inlineStr">
        <is>
          <t>//diggs:recordingParameter</t>
        </is>
      </c>
      <c r="D64" t="inlineStr">
        <is>
          <t>ancestor::diggs:ConstructionActivitySpecification</t>
        </is>
      </c>
    </row>
    <row r="65">
      <c r="B65" t="inlineStr">
        <is>
          <t>gear_number</t>
        </is>
      </c>
      <c r="C65" t="inlineStr">
        <is>
          <t>//diggs:recordingParameter</t>
        </is>
      </c>
      <c r="D65" t="inlineStr">
        <is>
          <t>ancestor::diggs:ConstructionActivitySpecification</t>
        </is>
      </c>
    </row>
    <row r="66">
      <c r="B66" t="inlineStr">
        <is>
          <t>hammering_pressure</t>
        </is>
      </c>
      <c r="C66" t="inlineStr">
        <is>
          <t>//diggs:recordingParameter</t>
        </is>
      </c>
      <c r="D66" t="inlineStr">
        <is>
          <t>ancestor::diggs:ConstructionActivitySpecification</t>
        </is>
      </c>
    </row>
    <row r="67">
      <c r="B67" t="inlineStr">
        <is>
          <t>hardness_parameter</t>
        </is>
      </c>
      <c r="C67" t="inlineStr">
        <is>
          <t>//diggs:recordingParameter</t>
        </is>
      </c>
      <c r="D67" t="inlineStr">
        <is>
          <t>ancestor::diggs:ConstructionActivitySpecification</t>
        </is>
      </c>
    </row>
    <row r="68">
      <c r="B68" t="inlineStr">
        <is>
          <t>holdback_pressure</t>
        </is>
      </c>
      <c r="C68" t="inlineStr">
        <is>
          <t>//diggs:recordingParameter</t>
        </is>
      </c>
      <c r="D68" t="inlineStr">
        <is>
          <t>ancestor::diggs:ConstructionActivitySpecification</t>
        </is>
      </c>
    </row>
    <row r="69">
      <c r="B69" t="inlineStr">
        <is>
          <t>hydraulic_crowd_pressure</t>
        </is>
      </c>
      <c r="C69" t="inlineStr">
        <is>
          <t>//diggs:recordingParameter</t>
        </is>
      </c>
      <c r="D69" t="inlineStr">
        <is>
          <t>ancestor::diggs:ConstructionActivitySpecification</t>
        </is>
      </c>
    </row>
    <row r="70">
      <c r="B70" t="inlineStr">
        <is>
          <t>hydraulic_fluid_flow_rate</t>
        </is>
      </c>
      <c r="C70" t="inlineStr">
        <is>
          <t>//diggs:recordingParameter</t>
        </is>
      </c>
      <c r="D70" t="inlineStr">
        <is>
          <t>ancestor::diggs:ConstructionActivitySpecification</t>
        </is>
      </c>
    </row>
    <row r="71">
      <c r="B71" t="inlineStr">
        <is>
          <t>hydraulic_torque_pressure</t>
        </is>
      </c>
      <c r="C71" t="inlineStr">
        <is>
          <t>//diggs:recordingParameter</t>
        </is>
      </c>
      <c r="D71" t="inlineStr">
        <is>
          <t>ancestor::diggs:ConstructionActivitySpecification</t>
        </is>
      </c>
    </row>
    <row r="72">
      <c r="B72" t="inlineStr">
        <is>
          <t>injected_fluid_density</t>
        </is>
      </c>
      <c r="C72" t="inlineStr">
        <is>
          <t>//diggs:recordingParameter</t>
        </is>
      </c>
      <c r="D72" t="inlineStr">
        <is>
          <t>ancestor::diggs:ConstructionActivitySpecification</t>
        </is>
      </c>
    </row>
    <row r="73">
      <c r="B73" t="inlineStr">
        <is>
          <t>injected_fluid_viscosity</t>
        </is>
      </c>
      <c r="C73" t="inlineStr">
        <is>
          <t>//diggs:recordingParameter</t>
        </is>
      </c>
      <c r="D73" t="inlineStr">
        <is>
          <t>ancestor::diggs:ConstructionActivitySpecification</t>
        </is>
      </c>
    </row>
    <row r="74">
      <c r="B74" t="inlineStr">
        <is>
          <t>net_crowd_pressure</t>
        </is>
      </c>
      <c r="C74" t="inlineStr">
        <is>
          <t>//diggs:recordingParameter</t>
        </is>
      </c>
      <c r="D74" t="inlineStr">
        <is>
          <t>ancestor::diggs:ConstructionActivitySpecification</t>
        </is>
      </c>
    </row>
    <row r="75">
      <c r="B75" t="inlineStr">
        <is>
          <t>penetration_length</t>
        </is>
      </c>
      <c r="C75" t="inlineStr">
        <is>
          <t>//diggs:recordingParameter</t>
        </is>
      </c>
      <c r="D75" t="inlineStr">
        <is>
          <t>ancestor::diggs:ConstructionActivitySpecification</t>
        </is>
      </c>
    </row>
    <row r="76">
      <c r="B76" t="inlineStr">
        <is>
          <t>penetration_per_revolution</t>
        </is>
      </c>
      <c r="C76" t="inlineStr">
        <is>
          <t>//diggs:recordingParameter</t>
        </is>
      </c>
      <c r="D76" t="inlineStr">
        <is>
          <t>ancestor::diggs:ConstructionActivitySpecification</t>
        </is>
      </c>
    </row>
    <row r="77">
      <c r="B77" t="inlineStr">
        <is>
          <t>penetration_rate</t>
        </is>
      </c>
      <c r="C77" t="inlineStr">
        <is>
          <t>//diggs:recordingParameter</t>
        </is>
      </c>
      <c r="D77" t="inlineStr">
        <is>
          <t>ancestor::diggs:ConstructionActivitySpecification</t>
        </is>
      </c>
    </row>
    <row r="78">
      <c r="B78" t="inlineStr">
        <is>
          <t>penetration_resistance</t>
        </is>
      </c>
      <c r="C78" t="inlineStr">
        <is>
          <t>//diggs:recordingParameter</t>
        </is>
      </c>
      <c r="D78" t="inlineStr">
        <is>
          <t>ancestor::diggs:ConstructionActivitySpecification</t>
        </is>
      </c>
    </row>
    <row r="79">
      <c r="B79" t="inlineStr">
        <is>
          <t>rotation_shaft</t>
        </is>
      </c>
      <c r="C79" t="inlineStr">
        <is>
          <t>//diggs:recordingParameter</t>
        </is>
      </c>
      <c r="D79" t="inlineStr">
        <is>
          <t>ancestor::diggs:ConstructionActivitySpecification</t>
        </is>
      </c>
    </row>
    <row r="80">
      <c r="B80" t="inlineStr">
        <is>
          <t>rotation_tool</t>
        </is>
      </c>
      <c r="C80" t="inlineStr">
        <is>
          <t>//diggs:recordingParameter</t>
        </is>
      </c>
      <c r="D80" t="inlineStr">
        <is>
          <t>ancestor::diggs:ConstructionActivitySpecification</t>
        </is>
      </c>
    </row>
    <row r="81">
      <c r="B81" t="inlineStr">
        <is>
          <t>soil_rock_resistance</t>
        </is>
      </c>
      <c r="C81" t="inlineStr">
        <is>
          <t>//diggs:recordingParameter</t>
        </is>
      </c>
      <c r="D81" t="inlineStr">
        <is>
          <t>ancestor::diggs:ConstructionActivitySpecification</t>
        </is>
      </c>
    </row>
    <row r="82">
      <c r="B82" t="inlineStr">
        <is>
          <t>somerton_index</t>
        </is>
      </c>
      <c r="C82" t="inlineStr">
        <is>
          <t>//diggs:recordingParameter</t>
        </is>
      </c>
      <c r="D82" t="inlineStr">
        <is>
          <t>ancestor::diggs:ConstructionActivitySpecification</t>
        </is>
      </c>
    </row>
    <row r="83">
      <c r="B83" t="inlineStr">
        <is>
          <t>specific_energy</t>
        </is>
      </c>
      <c r="C83" t="inlineStr">
        <is>
          <t>//diggs:recordingParameter</t>
        </is>
      </c>
      <c r="D83" t="inlineStr">
        <is>
          <t>ancestor::diggs:ConstructionActivitySpecification</t>
        </is>
      </c>
    </row>
    <row r="84">
      <c r="B84" t="inlineStr">
        <is>
          <t>stop_flag</t>
        </is>
      </c>
      <c r="C84" t="inlineStr">
        <is>
          <t>//diggs:recordingParameter</t>
        </is>
      </c>
      <c r="D84" t="inlineStr">
        <is>
          <t>ancestor::diggs:ConstructionActivitySpecification</t>
        </is>
      </c>
    </row>
    <row r="85">
      <c r="B85" t="inlineStr">
        <is>
          <t>time</t>
        </is>
      </c>
      <c r="C85" t="inlineStr">
        <is>
          <t>//diggs:recordingParameter</t>
        </is>
      </c>
      <c r="D85" t="inlineStr">
        <is>
          <t>ancestor::diggs:ConstructionActivitySpecification</t>
        </is>
      </c>
    </row>
    <row r="86">
      <c r="B86" t="inlineStr">
        <is>
          <t>torque</t>
        </is>
      </c>
      <c r="C86" t="inlineStr">
        <is>
          <t>//diggs:recordingParameter</t>
        </is>
      </c>
      <c r="D86" t="inlineStr">
        <is>
          <t>ancestor::diggs:ConstructionActivitySpecification</t>
        </is>
      </c>
    </row>
    <row r="87">
      <c r="B87" t="inlineStr">
        <is>
          <t>torque_tach</t>
        </is>
      </c>
      <c r="C87" t="inlineStr">
        <is>
          <t>//diggs:recordingParameter</t>
        </is>
      </c>
      <c r="D87" t="inlineStr">
        <is>
          <t>ancestor::diggs:ConstructionActivitySpecification</t>
        </is>
      </c>
    </row>
    <row r="88">
      <c r="B88" t="inlineStr">
        <is>
          <t>vibration_acceleration</t>
        </is>
      </c>
      <c r="C88" t="inlineStr">
        <is>
          <t>//diggs:recordingParameter</t>
        </is>
      </c>
      <c r="D88" t="inlineStr">
        <is>
          <t>ancestor::diggs:ConstructionActivitySpecification</t>
        </is>
      </c>
    </row>
    <row r="89">
      <c r="B89" t="inlineStr">
        <is>
          <t>vibration_frequency</t>
        </is>
      </c>
      <c r="C89" t="inlineStr">
        <is>
          <t>//diggs:recordingParameter</t>
        </is>
      </c>
      <c r="D89" t="inlineStr">
        <is>
          <t>ancestor::diggs:ConstructionActivitySpecification</t>
        </is>
      </c>
    </row>
    <row r="90">
      <c r="B90" t="inlineStr">
        <is>
          <t>depth</t>
        </is>
      </c>
      <c r="C90" t="inlineStr">
        <is>
          <t>//diggs:propertyClass</t>
        </is>
      </c>
      <c r="D90" t="inlineStr">
        <is>
          <t>ancestor::diggs:constructionActivity//diggs:RIInstallationRecord</t>
        </is>
      </c>
    </row>
    <row r="91">
      <c r="B91" t="inlineStr">
        <is>
          <t>hydraulic_torque_pressure</t>
        </is>
      </c>
      <c r="C91" t="inlineStr">
        <is>
          <t>//diggs:propertyClass</t>
        </is>
      </c>
      <c r="D91" t="inlineStr">
        <is>
          <t>ancestor::diggs:constructionActivity//diggs:RIInstallationRecord</t>
        </is>
      </c>
    </row>
  </sheetData>
  <pageMargins left="0.7" right="0.7" top="0.75" bottom="0.75" header="0.3" footer="0.3"/>
  <pageSetup orientation="portrait"/>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87"/>
  <sheetViews>
    <sheetView topLeftCell="A100" zoomScale="130" zoomScaleNormal="130" workbookViewId="0">
      <selection activeCell="A168" sqref="A168:XFD168"/>
    </sheetView>
  </sheetViews>
  <sheetFormatPr baseColWidth="10" defaultColWidth="11" defaultRowHeight="16"/>
  <cols>
    <col width="21.1640625" customWidth="1" min="2" max="2"/>
    <col width="54.1640625" customWidth="1" min="3" max="3"/>
  </cols>
  <sheetData>
    <row r="1">
      <c r="A1" t="inlineStr">
        <is>
          <t>DataType</t>
        </is>
      </c>
      <c r="B1" t="inlineStr">
        <is>
          <t>DataType2</t>
        </is>
      </c>
      <c r="C1" t="inlineStr">
        <is>
          <t>QuantityClass</t>
        </is>
      </c>
    </row>
    <row r="2">
      <c r="B2" t="inlineStr">
        <is>
          <t>anyURI</t>
        </is>
      </c>
      <c r="C2" t="inlineStr">
        <is>
          <t>absorbed dose</t>
        </is>
      </c>
      <c r="D2" s="7" t="n"/>
    </row>
    <row r="3">
      <c r="B3" t="inlineStr">
        <is>
          <t>base64binary</t>
        </is>
      </c>
      <c r="C3" t="inlineStr">
        <is>
          <t>activity of radioactivity</t>
        </is>
      </c>
      <c r="D3" s="7" t="n"/>
    </row>
    <row r="4">
      <c r="B4" s="9" t="inlineStr">
        <is>
          <t>boolean</t>
        </is>
      </c>
      <c r="C4" t="inlineStr">
        <is>
          <t>amount of substance</t>
        </is>
      </c>
      <c r="D4" s="7" t="n"/>
    </row>
    <row r="5">
      <c r="B5" s="9" t="inlineStr">
        <is>
          <t>byte</t>
        </is>
      </c>
      <c r="C5" t="inlineStr">
        <is>
          <t>amount of substance per amount of substance</t>
        </is>
      </c>
      <c r="D5" s="7" t="n"/>
    </row>
    <row r="6">
      <c r="B6" t="inlineStr">
        <is>
          <t>date</t>
        </is>
      </c>
      <c r="C6" t="inlineStr">
        <is>
          <t>amount of substance per area</t>
        </is>
      </c>
      <c r="D6" s="7" t="n"/>
    </row>
    <row r="7">
      <c r="B7" t="inlineStr">
        <is>
          <t>dateTime</t>
        </is>
      </c>
      <c r="C7" t="inlineStr">
        <is>
          <t>amount of substance per time</t>
        </is>
      </c>
      <c r="D7" s="7" t="n"/>
    </row>
    <row r="8">
      <c r="B8" t="inlineStr">
        <is>
          <t>decimal</t>
        </is>
      </c>
      <c r="C8" t="inlineStr">
        <is>
          <t>amount of substance per time per area</t>
        </is>
      </c>
      <c r="D8" s="7" t="n"/>
    </row>
    <row r="9">
      <c r="B9" s="9" t="inlineStr">
        <is>
          <t>double</t>
        </is>
      </c>
      <c r="C9" t="inlineStr">
        <is>
          <t>amount of substance per volume</t>
        </is>
      </c>
      <c r="D9" s="7" t="n"/>
    </row>
    <row r="10">
      <c r="B10" t="inlineStr">
        <is>
          <t>duration</t>
        </is>
      </c>
      <c r="C10" t="inlineStr">
        <is>
          <t>angle per length</t>
        </is>
      </c>
      <c r="D10" s="7" t="n"/>
    </row>
    <row r="11">
      <c r="B11" s="9" t="inlineStr">
        <is>
          <t>float</t>
        </is>
      </c>
      <c r="C11" t="inlineStr">
        <is>
          <t>angle per volume</t>
        </is>
      </c>
      <c r="D11" s="7" t="n"/>
    </row>
    <row r="12">
      <c r="B12" t="inlineStr">
        <is>
          <t>gDay</t>
        </is>
      </c>
      <c r="C12" t="inlineStr">
        <is>
          <t>angular acceleration</t>
        </is>
      </c>
      <c r="D12" s="7" t="n"/>
    </row>
    <row r="13">
      <c r="B13" t="inlineStr">
        <is>
          <t>gMonth</t>
        </is>
      </c>
      <c r="C13" t="inlineStr">
        <is>
          <t>angular velocity</t>
        </is>
      </c>
      <c r="D13" s="7" t="n"/>
    </row>
    <row r="14">
      <c r="B14" t="inlineStr">
        <is>
          <t>gMonthDay</t>
        </is>
      </c>
      <c r="C14" t="inlineStr">
        <is>
          <t>api gamma ray</t>
        </is>
      </c>
      <c r="D14" s="7" t="n"/>
    </row>
    <row r="15">
      <c r="B15" t="inlineStr">
        <is>
          <t>gYear</t>
        </is>
      </c>
      <c r="C15" t="inlineStr">
        <is>
          <t>api gravity</t>
        </is>
      </c>
      <c r="D15" s="7" t="n"/>
    </row>
    <row r="16">
      <c r="B16" t="inlineStr">
        <is>
          <t>gYearMonth</t>
        </is>
      </c>
      <c r="C16" t="inlineStr">
        <is>
          <t>api neutron</t>
        </is>
      </c>
      <c r="D16" s="7" t="n"/>
    </row>
    <row r="17">
      <c r="B17" t="inlineStr">
        <is>
          <t>hexBinary</t>
        </is>
      </c>
      <c r="C17" t="inlineStr">
        <is>
          <t>area</t>
        </is>
      </c>
      <c r="D17" s="7" t="n"/>
    </row>
    <row r="18">
      <c r="B18" s="9" t="n"/>
      <c r="C18" t="inlineStr">
        <is>
          <t>area per amount of substance</t>
        </is>
      </c>
      <c r="D18" s="7" t="n"/>
    </row>
    <row r="19">
      <c r="B19" t="inlineStr">
        <is>
          <t>integer</t>
        </is>
      </c>
      <c r="C19" t="inlineStr">
        <is>
          <t>area per area</t>
        </is>
      </c>
      <c r="D19" s="7" t="n"/>
    </row>
    <row r="20">
      <c r="B20" t="inlineStr">
        <is>
          <t>language</t>
        </is>
      </c>
      <c r="C20" t="inlineStr">
        <is>
          <t>area per count</t>
        </is>
      </c>
      <c r="D20" s="7" t="n"/>
    </row>
    <row r="21">
      <c r="B21" s="9" t="inlineStr">
        <is>
          <t>long</t>
        </is>
      </c>
      <c r="C21" t="inlineStr">
        <is>
          <t>area per mass</t>
        </is>
      </c>
      <c r="D21" s="7" t="n"/>
    </row>
    <row r="22">
      <c r="B22" t="inlineStr">
        <is>
          <t>negativeInteger</t>
        </is>
      </c>
      <c r="C22" t="inlineStr">
        <is>
          <t>area per time</t>
        </is>
      </c>
      <c r="D22" s="7" t="n"/>
    </row>
    <row r="23">
      <c r="B23" t="inlineStr">
        <is>
          <t>nonNegativeInteger</t>
        </is>
      </c>
      <c r="C23" t="inlineStr">
        <is>
          <t>area per volume</t>
        </is>
      </c>
      <c r="D23" s="7" t="n"/>
    </row>
    <row r="24">
      <c r="B24" t="inlineStr">
        <is>
          <t>nonPositiveInteger</t>
        </is>
      </c>
      <c r="C24" t="inlineStr">
        <is>
          <t>attenuation per frequency interval</t>
        </is>
      </c>
      <c r="D24" s="7" t="n"/>
    </row>
    <row r="25">
      <c r="B25" t="inlineStr">
        <is>
          <t>normalizedString</t>
        </is>
      </c>
      <c r="C25" t="inlineStr">
        <is>
          <t>capacitance</t>
        </is>
      </c>
      <c r="D25" s="7" t="n"/>
    </row>
    <row r="26">
      <c r="B26" t="inlineStr">
        <is>
          <t>positiveInteger</t>
        </is>
      </c>
      <c r="C26" t="inlineStr">
        <is>
          <t>cation exchange capacity</t>
        </is>
      </c>
      <c r="D26" s="7" t="n"/>
    </row>
    <row r="27">
      <c r="B27" t="inlineStr">
        <is>
          <t>short</t>
        </is>
      </c>
      <c r="C27" t="inlineStr">
        <is>
          <t>data transfer speed</t>
        </is>
      </c>
      <c r="D27" s="7" t="n"/>
    </row>
    <row r="28">
      <c r="B28" s="9" t="inlineStr">
        <is>
          <t>string</t>
        </is>
      </c>
      <c r="C28" t="inlineStr">
        <is>
          <t>density or unit weight</t>
        </is>
      </c>
      <c r="D28" s="7" t="n"/>
    </row>
    <row r="29">
      <c r="C29" t="inlineStr">
        <is>
          <t>diffusion coefficient</t>
        </is>
      </c>
      <c r="D29" s="7" t="n"/>
    </row>
    <row r="30">
      <c r="B30" t="inlineStr">
        <is>
          <t>time</t>
        </is>
      </c>
      <c r="C30" t="inlineStr">
        <is>
          <t>diffusive time of flight</t>
        </is>
      </c>
      <c r="D30" s="7" t="n"/>
    </row>
    <row r="31">
      <c r="B31" t="inlineStr">
        <is>
          <t>token</t>
        </is>
      </c>
      <c r="C31" t="inlineStr">
        <is>
          <t>digital storage</t>
        </is>
      </c>
      <c r="D31" s="7" t="n"/>
    </row>
    <row r="32">
      <c r="B32" t="inlineStr">
        <is>
          <t>unsignedByte</t>
        </is>
      </c>
      <c r="C32" t="inlineStr">
        <is>
          <t>dimensionless</t>
        </is>
      </c>
      <c r="D32" s="7" t="n"/>
    </row>
    <row r="33">
      <c r="B33" t="inlineStr">
        <is>
          <t>unsignedInt</t>
        </is>
      </c>
      <c r="C33" t="inlineStr">
        <is>
          <t>dipole moment</t>
        </is>
      </c>
      <c r="D33" s="7" t="n"/>
    </row>
    <row r="34">
      <c r="B34" t="inlineStr">
        <is>
          <t>unsignedLong</t>
        </is>
      </c>
      <c r="C34" t="inlineStr">
        <is>
          <t>dose equivalent</t>
        </is>
      </c>
      <c r="D34" s="7" t="n"/>
    </row>
    <row r="35">
      <c r="B35" t="inlineStr">
        <is>
          <t>unsignedShort</t>
        </is>
      </c>
      <c r="C35" t="inlineStr">
        <is>
          <t>dynamic viscosity</t>
        </is>
      </c>
      <c r="D35" s="7" t="n"/>
    </row>
    <row r="36">
      <c r="B36" s="9" t="inlineStr">
        <is>
          <t>vector</t>
        </is>
      </c>
      <c r="C36" t="inlineStr">
        <is>
          <t>electric charge</t>
        </is>
      </c>
      <c r="D36" s="7" t="n"/>
    </row>
    <row r="37">
      <c r="C37" t="inlineStr">
        <is>
          <t>electric charge per area</t>
        </is>
      </c>
      <c r="D37" s="7" t="n"/>
    </row>
    <row r="38">
      <c r="C38" t="inlineStr">
        <is>
          <t>electric charge per mass</t>
        </is>
      </c>
      <c r="D38" s="7" t="n"/>
    </row>
    <row r="39">
      <c r="C39" t="inlineStr">
        <is>
          <t>electric charge per volume</t>
        </is>
      </c>
      <c r="D39" s="7" t="n"/>
    </row>
    <row r="40">
      <c r="C40" t="inlineStr">
        <is>
          <t>electric conductance</t>
        </is>
      </c>
      <c r="D40" s="7" t="n"/>
    </row>
    <row r="41">
      <c r="C41" t="inlineStr">
        <is>
          <t>electric conductivity</t>
        </is>
      </c>
      <c r="D41" s="7" t="n"/>
    </row>
    <row r="42">
      <c r="C42" t="inlineStr">
        <is>
          <t>electric current</t>
        </is>
      </c>
      <c r="D42" s="7" t="n"/>
    </row>
    <row r="43">
      <c r="C43" t="inlineStr">
        <is>
          <t>electric current density</t>
        </is>
      </c>
      <c r="D43" s="7" t="n"/>
    </row>
    <row r="44">
      <c r="C44" t="inlineStr">
        <is>
          <t>electric field strength</t>
        </is>
      </c>
      <c r="D44" s="7" t="n"/>
    </row>
    <row r="45">
      <c r="C45" t="inlineStr">
        <is>
          <t>electric potential difference</t>
        </is>
      </c>
      <c r="D45" s="7" t="n"/>
    </row>
    <row r="46">
      <c r="C46" t="inlineStr">
        <is>
          <t>electric resistance</t>
        </is>
      </c>
      <c r="D46" s="7" t="n"/>
    </row>
    <row r="47">
      <c r="C47" t="inlineStr">
        <is>
          <t>electric resistance per length</t>
        </is>
      </c>
      <c r="D47" s="7" t="n"/>
    </row>
    <row r="48">
      <c r="C48" t="inlineStr">
        <is>
          <t>electrical resistivity</t>
        </is>
      </c>
      <c r="D48" s="7" t="n"/>
    </row>
    <row r="49">
      <c r="C49" t="inlineStr">
        <is>
          <t>electromagnetic moment</t>
        </is>
      </c>
      <c r="D49" s="7" t="n"/>
    </row>
    <row r="50">
      <c r="C50" t="inlineStr">
        <is>
          <t>energy</t>
        </is>
      </c>
      <c r="D50" s="7" t="n"/>
    </row>
    <row r="51">
      <c r="C51" t="inlineStr">
        <is>
          <t>energy length per area</t>
        </is>
      </c>
      <c r="D51" s="7" t="n"/>
    </row>
    <row r="52">
      <c r="C52" t="inlineStr">
        <is>
          <t>energy length per time area temperature</t>
        </is>
      </c>
      <c r="D52" s="7" t="n"/>
    </row>
    <row r="53">
      <c r="C53" t="inlineStr">
        <is>
          <t>energy per area</t>
        </is>
      </c>
      <c r="D53" s="7" t="n"/>
    </row>
    <row r="54">
      <c r="C54" t="inlineStr">
        <is>
          <t>energy per length</t>
        </is>
      </c>
      <c r="D54" s="7" t="n"/>
    </row>
    <row r="55">
      <c r="C55" t="inlineStr">
        <is>
          <t>energy per mass</t>
        </is>
      </c>
      <c r="D55" s="7" t="n"/>
    </row>
    <row r="56">
      <c r="C56" t="inlineStr">
        <is>
          <t>energy per mass per time</t>
        </is>
      </c>
      <c r="D56" s="7" t="n"/>
    </row>
    <row r="57">
      <c r="C57" t="inlineStr">
        <is>
          <t>energy per volume</t>
        </is>
      </c>
      <c r="D57" s="7" t="n"/>
    </row>
    <row r="58">
      <c r="C58" t="inlineStr">
        <is>
          <t>force</t>
        </is>
      </c>
      <c r="D58" s="7" t="n"/>
    </row>
    <row r="59">
      <c r="C59" t="inlineStr">
        <is>
          <t>force area</t>
        </is>
      </c>
      <c r="D59" s="7" t="n"/>
    </row>
    <row r="60">
      <c r="C60" t="inlineStr">
        <is>
          <t>force length per length</t>
        </is>
      </c>
      <c r="D60" s="7" t="n"/>
    </row>
    <row r="61">
      <c r="C61" t="inlineStr">
        <is>
          <t>force per force</t>
        </is>
      </c>
      <c r="D61" s="7" t="n"/>
    </row>
    <row r="62">
      <c r="C62" t="inlineStr">
        <is>
          <t>force per length</t>
        </is>
      </c>
      <c r="D62" s="7" t="n"/>
    </row>
    <row r="63">
      <c r="C63" t="inlineStr">
        <is>
          <t>force per volume</t>
        </is>
      </c>
      <c r="D63" s="7" t="n"/>
    </row>
    <row r="64">
      <c r="C64" t="inlineStr">
        <is>
          <t>frequency</t>
        </is>
      </c>
      <c r="D64" s="7" t="n"/>
    </row>
    <row r="65">
      <c r="C65" t="inlineStr">
        <is>
          <t>frequency interval</t>
        </is>
      </c>
      <c r="D65" s="7" t="n"/>
    </row>
    <row r="66">
      <c r="C66" t="inlineStr">
        <is>
          <t>heat capacity</t>
        </is>
      </c>
      <c r="D66" s="7" t="n"/>
    </row>
    <row r="67">
      <c r="C67" t="inlineStr">
        <is>
          <t>heat flow rate</t>
        </is>
      </c>
      <c r="D67" s="7" t="n"/>
    </row>
    <row r="68">
      <c r="C68" t="inlineStr">
        <is>
          <t>heat transfer coefficient</t>
        </is>
      </c>
      <c r="D68" s="7" t="n"/>
    </row>
    <row r="69">
      <c r="C69" t="inlineStr">
        <is>
          <t>illuminance</t>
        </is>
      </c>
      <c r="D69" s="7" t="n"/>
    </row>
    <row r="70">
      <c r="C70" t="inlineStr">
        <is>
          <t>inductance</t>
        </is>
      </c>
      <c r="D70" s="7" t="n"/>
    </row>
    <row r="71">
      <c r="C71" t="inlineStr">
        <is>
          <t>isothermal compressibility</t>
        </is>
      </c>
      <c r="D71" s="7" t="n"/>
    </row>
    <row r="72">
      <c r="C72" t="inlineStr">
        <is>
          <t>kinematic viscosity</t>
        </is>
      </c>
      <c r="D72" s="7" t="n"/>
    </row>
    <row r="73">
      <c r="C73" t="inlineStr">
        <is>
          <t>length</t>
        </is>
      </c>
      <c r="D73" s="7" t="n"/>
    </row>
    <row r="74">
      <c r="C74" t="inlineStr">
        <is>
          <t>length per length</t>
        </is>
      </c>
      <c r="D74" s="7" t="n"/>
    </row>
    <row r="75">
      <c r="C75" t="inlineStr">
        <is>
          <t>length per mass</t>
        </is>
      </c>
      <c r="D75" s="7" t="n"/>
    </row>
    <row r="76">
      <c r="C76" t="inlineStr">
        <is>
          <t>length per pressure</t>
        </is>
      </c>
      <c r="D76" s="7" t="n"/>
    </row>
    <row r="77">
      <c r="C77" t="inlineStr">
        <is>
          <t>length per temperature</t>
        </is>
      </c>
      <c r="D77" s="7" t="n"/>
    </row>
    <row r="78">
      <c r="C78" t="inlineStr">
        <is>
          <t>length per time</t>
        </is>
      </c>
      <c r="D78" s="7" t="n"/>
    </row>
    <row r="79">
      <c r="C79" t="inlineStr">
        <is>
          <t>length per volume</t>
        </is>
      </c>
      <c r="D79" s="7" t="n"/>
    </row>
    <row r="80">
      <c r="C80" t="inlineStr">
        <is>
          <t>light exposure</t>
        </is>
      </c>
      <c r="D80" s="7" t="n"/>
    </row>
    <row r="81">
      <c r="C81" t="inlineStr">
        <is>
          <t>linear acceleration</t>
        </is>
      </c>
      <c r="D81" s="7" t="n"/>
    </row>
    <row r="82">
      <c r="C82" t="inlineStr">
        <is>
          <t>linear thermal expansion</t>
        </is>
      </c>
      <c r="D82" s="7" t="n"/>
    </row>
    <row r="83">
      <c r="C83" t="inlineStr">
        <is>
          <t>logarithmic power ratio</t>
        </is>
      </c>
      <c r="D83" s="7" t="n"/>
    </row>
    <row r="84">
      <c r="C84" t="inlineStr">
        <is>
          <t>logarithmic power ratio per length</t>
        </is>
      </c>
      <c r="D84" s="7" t="n"/>
    </row>
    <row r="85">
      <c r="C85" t="inlineStr">
        <is>
          <t>luminance</t>
        </is>
      </c>
      <c r="D85" s="7" t="n"/>
    </row>
    <row r="86">
      <c r="C86" t="inlineStr">
        <is>
          <t>luminous efficacy</t>
        </is>
      </c>
      <c r="D86" s="7" t="n"/>
    </row>
    <row r="87">
      <c r="C87" t="inlineStr">
        <is>
          <t>luminous flux</t>
        </is>
      </c>
      <c r="D87" s="7" t="n"/>
    </row>
    <row r="88">
      <c r="C88" t="inlineStr">
        <is>
          <t>luminous intensity</t>
        </is>
      </c>
      <c r="D88" s="7" t="n"/>
    </row>
    <row r="89">
      <c r="C89" t="inlineStr">
        <is>
          <t>magnetic dipole moment</t>
        </is>
      </c>
      <c r="D89" s="7" t="n"/>
    </row>
    <row r="90">
      <c r="C90" t="inlineStr">
        <is>
          <t>magnetic field strength</t>
        </is>
      </c>
      <c r="D90" s="7" t="n"/>
    </row>
    <row r="91">
      <c r="C91" t="inlineStr">
        <is>
          <t>magnetic flux</t>
        </is>
      </c>
      <c r="D91" s="7" t="n"/>
    </row>
    <row r="92">
      <c r="C92" t="inlineStr">
        <is>
          <t>magnetic flux density</t>
        </is>
      </c>
      <c r="D92" s="7" t="n"/>
    </row>
    <row r="93">
      <c r="C93" t="inlineStr">
        <is>
          <t>magnetic flux density per length</t>
        </is>
      </c>
      <c r="D93" s="7" t="n"/>
    </row>
    <row r="94">
      <c r="C94" t="inlineStr">
        <is>
          <t>magnetic permeability</t>
        </is>
      </c>
      <c r="D94" s="7" t="n"/>
    </row>
    <row r="95">
      <c r="C95" t="inlineStr">
        <is>
          <t>magnetic vector potential</t>
        </is>
      </c>
      <c r="D95" s="7" t="n"/>
    </row>
    <row r="96">
      <c r="C96" t="inlineStr">
        <is>
          <t>mass</t>
        </is>
      </c>
      <c r="D96" s="7" t="n"/>
    </row>
    <row r="97">
      <c r="C97" t="inlineStr">
        <is>
          <t>mass length</t>
        </is>
      </c>
      <c r="D97" s="7" t="n"/>
    </row>
    <row r="98">
      <c r="C98" t="inlineStr">
        <is>
          <t>mass per area</t>
        </is>
      </c>
      <c r="D98" s="7" t="n"/>
    </row>
    <row r="99">
      <c r="C99" t="inlineStr">
        <is>
          <t>mass per energy</t>
        </is>
      </c>
      <c r="D99" s="7" t="n"/>
    </row>
    <row r="100">
      <c r="C100" t="inlineStr">
        <is>
          <t>mass per length</t>
        </is>
      </c>
      <c r="D100" s="7" t="n"/>
    </row>
    <row r="101">
      <c r="C101" t="inlineStr">
        <is>
          <t>mass per mass</t>
        </is>
      </c>
      <c r="D101" s="7" t="n"/>
    </row>
    <row r="102">
      <c r="C102" t="inlineStr">
        <is>
          <t>mass per time</t>
        </is>
      </c>
      <c r="D102" s="7" t="n"/>
    </row>
    <row r="103">
      <c r="C103" t="inlineStr">
        <is>
          <t>mass per time per area</t>
        </is>
      </c>
      <c r="D103" s="7" t="n"/>
    </row>
    <row r="104">
      <c r="C104" t="inlineStr">
        <is>
          <t>mass per time per length</t>
        </is>
      </c>
      <c r="D104" s="7" t="n"/>
    </row>
    <row r="105">
      <c r="C105" t="inlineStr">
        <is>
          <t>mass per volume</t>
        </is>
      </c>
      <c r="D105" s="7" t="n"/>
    </row>
    <row r="106">
      <c r="C106" t="inlineStr">
        <is>
          <t>mass per volume per length</t>
        </is>
      </c>
      <c r="D106" s="7" t="n"/>
    </row>
    <row r="107">
      <c r="C107" t="inlineStr">
        <is>
          <t>mass per volume per pressure</t>
        </is>
      </c>
      <c r="D107" s="7" t="n"/>
    </row>
    <row r="108">
      <c r="C108" t="inlineStr">
        <is>
          <t>mass per volume per temperature</t>
        </is>
      </c>
      <c r="D108" s="7" t="n"/>
    </row>
    <row r="109">
      <c r="C109" t="inlineStr">
        <is>
          <t>mobility</t>
        </is>
      </c>
      <c r="D109" s="7" t="n"/>
    </row>
    <row r="110">
      <c r="C110" t="inlineStr">
        <is>
          <t>molar energy</t>
        </is>
      </c>
      <c r="D110" s="7" t="n"/>
    </row>
    <row r="111">
      <c r="C111" t="inlineStr">
        <is>
          <t>molar heat capacity</t>
        </is>
      </c>
      <c r="D111" s="7" t="n"/>
    </row>
    <row r="112">
      <c r="C112" t="inlineStr">
        <is>
          <t>molar volume</t>
        </is>
      </c>
      <c r="D112" s="7" t="n"/>
    </row>
    <row r="113">
      <c r="C113" t="inlineStr">
        <is>
          <t>molecular weight</t>
        </is>
      </c>
      <c r="D113" s="7" t="n"/>
    </row>
    <row r="114">
      <c r="C114" t="inlineStr">
        <is>
          <t>moment of force</t>
        </is>
      </c>
      <c r="D114" s="7" t="n"/>
    </row>
    <row r="115">
      <c r="C115" t="inlineStr">
        <is>
          <t>moment of inertia</t>
        </is>
      </c>
      <c r="D115" s="7" t="n"/>
    </row>
    <row r="116">
      <c r="C116" t="inlineStr">
        <is>
          <t>momentum</t>
        </is>
      </c>
      <c r="D116" s="7" t="n"/>
    </row>
    <row r="117">
      <c r="C117" t="inlineStr">
        <is>
          <t>normalized power</t>
        </is>
      </c>
      <c r="D117" s="7" t="n"/>
    </row>
    <row r="118">
      <c r="C118" t="inlineStr">
        <is>
          <t>permeability length</t>
        </is>
      </c>
      <c r="D118" s="7" t="n"/>
    </row>
    <row r="119">
      <c r="C119" t="inlineStr">
        <is>
          <t>permeability rock</t>
        </is>
      </c>
      <c r="D119" s="7" t="n"/>
    </row>
    <row r="120">
      <c r="C120" t="inlineStr">
        <is>
          <t>permittivity</t>
        </is>
      </c>
      <c r="D120" s="7" t="n"/>
    </row>
    <row r="121">
      <c r="C121" t="inlineStr">
        <is>
          <t>plane angle</t>
        </is>
      </c>
      <c r="D121" s="7" t="n"/>
    </row>
    <row r="122">
      <c r="C122" t="inlineStr">
        <is>
          <t>potential difference per power drop</t>
        </is>
      </c>
      <c r="D122" s="7" t="n"/>
    </row>
    <row r="123">
      <c r="C123" t="inlineStr">
        <is>
          <t>power</t>
        </is>
      </c>
      <c r="D123" s="7" t="n"/>
    </row>
    <row r="124">
      <c r="C124" t="inlineStr">
        <is>
          <t>power per area</t>
        </is>
      </c>
      <c r="D124" s="7" t="n"/>
    </row>
    <row r="125">
      <c r="C125" t="inlineStr">
        <is>
          <t>power per power</t>
        </is>
      </c>
      <c r="D125" s="7" t="n"/>
    </row>
    <row r="126">
      <c r="C126" t="inlineStr">
        <is>
          <t>power per volume</t>
        </is>
      </c>
      <c r="D126" s="7" t="n"/>
    </row>
    <row r="127">
      <c r="C127" t="inlineStr">
        <is>
          <t>pressure</t>
        </is>
      </c>
      <c r="D127" s="7" t="n"/>
    </row>
    <row r="128">
      <c r="C128" t="inlineStr">
        <is>
          <t>pressure per pressure</t>
        </is>
      </c>
      <c r="D128" s="7" t="n"/>
    </row>
    <row r="129">
      <c r="C129" t="inlineStr">
        <is>
          <t>pressure per time</t>
        </is>
      </c>
      <c r="D129" s="7" t="n"/>
    </row>
    <row r="130">
      <c r="C130" t="inlineStr">
        <is>
          <t>pressure per volume</t>
        </is>
      </c>
      <c r="D130" s="7" t="n"/>
    </row>
    <row r="131">
      <c r="C131" t="inlineStr">
        <is>
          <t>pressure squared</t>
        </is>
      </c>
      <c r="D131" s="7" t="n"/>
    </row>
    <row r="132">
      <c r="C132" t="inlineStr">
        <is>
          <t>pressure squared per force time per area</t>
        </is>
      </c>
      <c r="D132" s="7" t="n"/>
    </row>
    <row r="133">
      <c r="C133" t="inlineStr">
        <is>
          <t>pressure time per volume</t>
        </is>
      </c>
      <c r="D133" s="7" t="n"/>
    </row>
    <row r="134">
      <c r="C134" t="inlineStr">
        <is>
          <t>quantity of light</t>
        </is>
      </c>
      <c r="D134" s="7" t="n"/>
    </row>
    <row r="135">
      <c r="C135" t="inlineStr">
        <is>
          <t>radiance</t>
        </is>
      </c>
      <c r="D135" s="7" t="n"/>
    </row>
    <row r="136">
      <c r="C136" t="inlineStr">
        <is>
          <t>radiant intensity</t>
        </is>
      </c>
      <c r="D136" s="7" t="n"/>
    </row>
    <row r="137">
      <c r="C137" t="inlineStr">
        <is>
          <t>reciprocal area</t>
        </is>
      </c>
      <c r="D137" s="7" t="n"/>
    </row>
    <row r="138">
      <c r="C138" t="inlineStr">
        <is>
          <t>reciprocal electric potential difference</t>
        </is>
      </c>
      <c r="D138" s="7" t="n"/>
    </row>
    <row r="139">
      <c r="C139" t="inlineStr">
        <is>
          <t>reciprocal force</t>
        </is>
      </c>
      <c r="D139" s="7" t="n"/>
    </row>
    <row r="140">
      <c r="C140" t="inlineStr">
        <is>
          <t>reciprocal length</t>
        </is>
      </c>
      <c r="D140" s="7" t="n"/>
    </row>
    <row r="141">
      <c r="C141" t="inlineStr">
        <is>
          <t>reciprocal mass</t>
        </is>
      </c>
      <c r="D141" s="7" t="n"/>
    </row>
    <row r="142">
      <c r="C142" t="inlineStr">
        <is>
          <t>reciprocal mass time</t>
        </is>
      </c>
      <c r="D142" s="7" t="n"/>
    </row>
    <row r="143">
      <c r="C143" t="inlineStr">
        <is>
          <t>reciprocal pressure</t>
        </is>
      </c>
      <c r="D143" s="7" t="n"/>
    </row>
    <row r="144">
      <c r="C144" t="inlineStr">
        <is>
          <t>reciprocal time</t>
        </is>
      </c>
      <c r="D144" s="7" t="n"/>
    </row>
    <row r="145">
      <c r="C145" t="inlineStr">
        <is>
          <t>reciprocal time squared</t>
        </is>
      </c>
      <c r="D145" s="7" t="n"/>
    </row>
    <row r="146">
      <c r="C146" t="inlineStr">
        <is>
          <t>reciprocal volume</t>
        </is>
      </c>
      <c r="D146" s="7" t="n"/>
    </row>
    <row r="147">
      <c r="C147" t="inlineStr">
        <is>
          <t>reluctance</t>
        </is>
      </c>
      <c r="D147" s="7" t="n"/>
    </row>
    <row r="148">
      <c r="C148" t="inlineStr">
        <is>
          <t>second moment of area</t>
        </is>
      </c>
      <c r="D148" s="7" t="n"/>
    </row>
    <row r="149">
      <c r="C149" t="inlineStr">
        <is>
          <t>signaling event per time</t>
        </is>
      </c>
      <c r="D149" s="7" t="n"/>
    </row>
    <row r="150">
      <c r="C150" t="inlineStr">
        <is>
          <t>solid angle</t>
        </is>
      </c>
      <c r="D150" s="7" t="n"/>
    </row>
    <row r="151">
      <c r="C151" t="inlineStr">
        <is>
          <t>specific heat capacity</t>
        </is>
      </c>
      <c r="D151" s="7" t="n"/>
    </row>
    <row r="152">
      <c r="C152" t="inlineStr">
        <is>
          <t>temperature interval</t>
        </is>
      </c>
      <c r="D152" s="7" t="n"/>
    </row>
    <row r="153">
      <c r="C153" t="inlineStr">
        <is>
          <t>temperature interval per length</t>
        </is>
      </c>
      <c r="D153" s="7" t="n"/>
    </row>
    <row r="154">
      <c r="C154" t="inlineStr">
        <is>
          <t>temperature interval per pressure</t>
        </is>
      </c>
      <c r="D154" s="7" t="n"/>
    </row>
    <row r="155">
      <c r="C155" t="inlineStr">
        <is>
          <t>temperature interval per time</t>
        </is>
      </c>
      <c r="D155" s="7" t="n"/>
    </row>
    <row r="156">
      <c r="C156" t="inlineStr">
        <is>
          <t>thermal conductance</t>
        </is>
      </c>
      <c r="D156" s="7" t="n"/>
    </row>
    <row r="157">
      <c r="C157" t="inlineStr">
        <is>
          <t>thermal conductivity</t>
        </is>
      </c>
      <c r="D157" s="7" t="n"/>
    </row>
    <row r="158">
      <c r="C158" t="inlineStr">
        <is>
          <t>thermal diffusivity</t>
        </is>
      </c>
      <c r="D158" s="7" t="n"/>
    </row>
    <row r="159">
      <c r="C159" t="inlineStr">
        <is>
          <t>thermal insulance</t>
        </is>
      </c>
      <c r="D159" s="7" t="n"/>
    </row>
    <row r="160">
      <c r="C160" t="inlineStr">
        <is>
          <t>thermal resistance</t>
        </is>
      </c>
      <c r="D160" s="7" t="n"/>
    </row>
    <row r="161">
      <c r="C161" t="inlineStr">
        <is>
          <t>thermodynamic temperature</t>
        </is>
      </c>
      <c r="D161" s="7" t="n"/>
    </row>
    <row r="162">
      <c r="C162" t="inlineStr">
        <is>
          <t>thermodynamic temperature per thermodynamic temperature</t>
        </is>
      </c>
      <c r="D162" s="7" t="n"/>
    </row>
    <row r="163">
      <c r="C163" t="inlineStr">
        <is>
          <t>time</t>
        </is>
      </c>
      <c r="D163" s="7" t="n"/>
    </row>
    <row r="164">
      <c r="C164" t="inlineStr">
        <is>
          <t>time per length</t>
        </is>
      </c>
      <c r="D164" s="7" t="n"/>
    </row>
    <row r="165">
      <c r="C165" t="inlineStr">
        <is>
          <t>time per mass</t>
        </is>
      </c>
      <c r="D165" s="7" t="n"/>
    </row>
    <row r="166">
      <c r="C166" t="inlineStr">
        <is>
          <t>time per time</t>
        </is>
      </c>
      <c r="D166" s="7" t="n"/>
    </row>
    <row r="167">
      <c r="C167" t="inlineStr">
        <is>
          <t>time per volume</t>
        </is>
      </c>
      <c r="D167" s="7" t="n"/>
    </row>
    <row r="168">
      <c r="C168" t="inlineStr">
        <is>
          <t>vertical coordinate</t>
        </is>
      </c>
      <c r="D168" s="7" t="n"/>
    </row>
    <row r="169">
      <c r="C169" t="inlineStr">
        <is>
          <t>volume</t>
        </is>
      </c>
      <c r="D169" s="7" t="n"/>
    </row>
    <row r="170">
      <c r="C170" t="inlineStr">
        <is>
          <t>volume flow rate per volume flow rate</t>
        </is>
      </c>
      <c r="D170" s="7" t="n"/>
    </row>
    <row r="171">
      <c r="C171" t="inlineStr">
        <is>
          <t>volume per area</t>
        </is>
      </c>
      <c r="D171" s="7" t="n"/>
    </row>
    <row r="172">
      <c r="C172" t="inlineStr">
        <is>
          <t>volume per length</t>
        </is>
      </c>
      <c r="D172" s="7" t="n"/>
    </row>
    <row r="173">
      <c r="C173" t="inlineStr">
        <is>
          <t>volume per mass</t>
        </is>
      </c>
      <c r="D173" s="7" t="n"/>
    </row>
    <row r="174">
      <c r="C174" t="inlineStr">
        <is>
          <t>volume per pressure</t>
        </is>
      </c>
      <c r="D174" s="7" t="n"/>
    </row>
    <row r="175">
      <c r="C175" t="inlineStr">
        <is>
          <t>volume per rotation</t>
        </is>
      </c>
      <c r="D175" s="7" t="n"/>
    </row>
    <row r="176">
      <c r="C176" t="inlineStr">
        <is>
          <t>volume per time</t>
        </is>
      </c>
      <c r="D176" s="7" t="n"/>
    </row>
    <row r="177">
      <c r="C177" t="inlineStr">
        <is>
          <t>volume per time length</t>
        </is>
      </c>
      <c r="D177" s="7" t="n"/>
    </row>
    <row r="178">
      <c r="C178" t="inlineStr">
        <is>
          <t>volume per time per area</t>
        </is>
      </c>
      <c r="D178" s="7" t="n"/>
    </row>
    <row r="179">
      <c r="C179" t="inlineStr">
        <is>
          <t>volume per time per length</t>
        </is>
      </c>
      <c r="D179" s="7" t="n"/>
    </row>
    <row r="180">
      <c r="C180" t="inlineStr">
        <is>
          <t>volume per time per pressure</t>
        </is>
      </c>
      <c r="D180" s="7" t="n"/>
    </row>
    <row r="181">
      <c r="C181" t="inlineStr">
        <is>
          <t>volume per time per pressure length</t>
        </is>
      </c>
      <c r="D181" s="7" t="n"/>
    </row>
    <row r="182">
      <c r="C182" t="inlineStr">
        <is>
          <t>volume per time per time</t>
        </is>
      </c>
      <c r="D182" s="7" t="n"/>
    </row>
    <row r="183">
      <c r="C183" t="inlineStr">
        <is>
          <t>volume per time per volume</t>
        </is>
      </c>
      <c r="D183" s="7" t="n"/>
    </row>
    <row r="184">
      <c r="C184" t="inlineStr">
        <is>
          <t>volume per volume</t>
        </is>
      </c>
      <c r="D184" s="7" t="n"/>
    </row>
    <row r="185">
      <c r="C185" t="inlineStr">
        <is>
          <t>volumetric heat transfer coefficient</t>
        </is>
      </c>
      <c r="D185" s="8" t="n"/>
    </row>
    <row r="186">
      <c r="C186" t="inlineStr">
        <is>
          <t>volumetric thermal expansion</t>
        </is>
      </c>
      <c r="D186" s="8" t="n"/>
    </row>
    <row r="187">
      <c r="C187" t="inlineStr">
        <is>
          <t>force time per volume</t>
        </is>
      </c>
    </row>
  </sheetData>
  <pageMargins left="0.7" right="0.7" top="0.75" bottom="0.75" header="0.3" footer="0.3"/>
  <pageSetup orientation="portrait"/>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15"/>
  <sheetViews>
    <sheetView workbookViewId="0">
      <selection activeCell="A7" sqref="A7"/>
    </sheetView>
  </sheetViews>
  <sheetFormatPr baseColWidth="10" defaultColWidth="8.83203125" defaultRowHeight="16"/>
  <sheetData>
    <row r="1">
      <c r="A1" t="inlineStr">
        <is>
          <t>Measured Depth (ft)</t>
        </is>
      </c>
    </row>
    <row r="2">
      <c r="A2" t="inlineStr">
        <is>
          <t>RateOfPenetration (cm/min)</t>
        </is>
      </c>
    </row>
    <row r="3">
      <c r="A3" t="inlineStr">
        <is>
          <t>RotationShaft(RPM)</t>
        </is>
      </c>
    </row>
    <row r="4">
      <c r="A4" t="inlineStr">
        <is>
          <t>RotationTool(RPM)</t>
        </is>
      </c>
    </row>
    <row r="5">
      <c r="A5" t="inlineStr">
        <is>
          <t>Flow (L/min)</t>
        </is>
      </c>
    </row>
    <row r="6">
      <c r="A6" t="inlineStr">
        <is>
          <t>PressureFlush (bar)</t>
        </is>
      </c>
    </row>
    <row r="7">
      <c r="A7" t="inlineStr">
        <is>
          <t>PressurePullDown(bar)</t>
        </is>
      </c>
    </row>
    <row r="8">
      <c r="A8" t="inlineStr">
        <is>
          <t>RotationTach (RPM)</t>
        </is>
      </c>
    </row>
    <row r="9">
      <c r="A9" t="inlineStr">
        <is>
          <t>TorqueTach(%)</t>
        </is>
      </c>
    </row>
    <row r="10">
      <c r="A10" t="inlineStr">
        <is>
          <t>Gear(-)</t>
        </is>
      </c>
    </row>
    <row r="11">
      <c r="A11" t="inlineStr">
        <is>
          <t>AugerOD (in)</t>
        </is>
      </c>
    </row>
    <row r="12">
      <c r="A12" t="inlineStr">
        <is>
          <t>RockCoreSize(in)</t>
        </is>
      </c>
    </row>
    <row r="13">
      <c r="A13" t="inlineStr">
        <is>
          <t>StopDepth (-)</t>
        </is>
      </c>
    </row>
    <row r="14">
      <c r="A14" t="inlineStr">
        <is>
          <t>OffsetDepth (m)</t>
        </is>
      </c>
    </row>
    <row r="15">
      <c r="A15" t="inlineStr">
        <is>
          <t>Nvalue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2018-10-28T20:07:54Z</dcterms:created>
  <dcterms:modified xmlns:dcterms="http://purl.org/dc/terms/" xmlns:xsi="http://www.w3.org/2001/XMLSchema-instance" xsi:type="dcterms:W3CDTF">2026-10-04T09:51:26Z</dcterms:modified>
  <cp:lastModifiedBy>Dan Ponti</cp:lastModifiedBy>
</cp:coreProperties>
</file>