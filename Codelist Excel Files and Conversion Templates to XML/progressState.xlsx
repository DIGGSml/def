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GitHub/def/Codelist Excel Files and Conversion Templates to XML/"/>
    </mc:Choice>
  </mc:AlternateContent>
  <xr:revisionPtr revIDLastSave="0" documentId="13_ncr:11_{6375B485-8464-4B48-93AF-59145BAE8E42}" xr6:coauthVersionLast="47" xr6:coauthVersionMax="47" xr10:uidLastSave="{00000000-0000-0000-0000-000000000000}"/>
  <bookViews>
    <workbookView xWindow="9200" yWindow="3280" windowWidth="39400" windowHeight="24940" tabRatio="500" activeTab="2" xr2:uid="{00000000-000D-0000-FFFF-FFFF00000000}"/>
  </bookViews>
  <sheets>
    <sheet name="DictionaryName" sheetId="3" r:id="rId1"/>
    <sheet name="Definitions" sheetId="1" r:id="rId2"/>
    <sheet name="AssociatedElements" sheetId="2" r:id="rId3"/>
    <sheet name="AlternateNames" sheetId="6" r:id="rId4"/>
    <sheet name="Lis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2" l="1"/>
  <c r="A20" i="2"/>
  <c r="A19" i="2"/>
  <c r="A18" i="2"/>
  <c r="A2" i="2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2" i="6"/>
</calcChain>
</file>

<file path=xl/sharedStrings.xml><?xml version="1.0" encoding="utf-8"?>
<sst xmlns="http://schemas.openxmlformats.org/spreadsheetml/2006/main" count="375" uniqueCount="303">
  <si>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</si>
  <si>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</si>
  <si>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</si>
  <si>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</si>
  <si>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</si>
  <si>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</si>
  <si>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</si>
  <si>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</si>
  <si>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</si>
  <si>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</si>
  <si>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</si>
  <si>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</si>
  <si>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</si>
  <si>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</si>
  <si>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</si>
  <si>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</si>
  <si>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</si>
  <si>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</si>
  <si>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</si>
  <si>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</si>
  <si>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</si>
  <si>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</si>
  <si>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</si>
  <si>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</si>
  <si>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</si>
  <si>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</si>
  <si>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</si>
  <si>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</si>
  <si>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</si>
  <si>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</si>
  <si>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</si>
  <si>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</si>
  <si>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</si>
  <si>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</si>
  <si>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</si>
  <si>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</si>
  <si>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</si>
  <si>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</si>
  <si>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</si>
  <si>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</si>
  <si>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</si>
  <si>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</si>
  <si>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</si>
  <si>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</si>
  <si>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</si>
  <si>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</si>
  <si>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</si>
  <si>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</si>
  <si>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</si>
  <si>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</si>
  <si>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</si>
  <si>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</si>
  <si>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</si>
  <si>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</si>
  <si>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</si>
  <si>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</si>
  <si>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</si>
  <si>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</si>
  <si>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</si>
  <si>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</si>
  <si>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</si>
  <si>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</si>
  <si>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</si>
  <si>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</si>
  <si>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</si>
  <si>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</si>
  <si>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</si>
  <si>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</si>
  <si>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</si>
  <si>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</si>
  <si>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</si>
  <si>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</si>
  <si>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</si>
  <si>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</si>
  <si>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</si>
  <si>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</si>
  <si>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</si>
  <si>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</si>
  <si>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</si>
  <si>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</si>
  <si>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</si>
  <si>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</si>
  <si>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</si>
  <si>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</si>
  <si>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</si>
  <si>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</si>
  <si>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</si>
  <si>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</si>
  <si>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</si>
  <si>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</si>
  <si>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</si>
  <si>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</si>
  <si>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</si>
  <si>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</si>
  <si>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</si>
  <si>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</si>
  <si>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</si>
  <si>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</si>
  <si>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</si>
  <si>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</si>
  <si>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</si>
  <si>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</si>
  <si>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</si>
  <si>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</si>
  <si>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</si>
  <si>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</si>
  <si>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</si>
  <si>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</si>
  <si>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</si>
  <si>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</si>
  <si>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</si>
  <si>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</si>
  <si>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</si>
  <si>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</si>
  <si>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</si>
  <si>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</si>
  <si>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</si>
  <si>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</si>
  <si>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</si>
  <si>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</si>
  <si>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</si>
  <si>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</si>
  <si>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</si>
  <si>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</si>
  <si>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</si>
  <si>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</si>
  <si>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</si>
  <si>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</si>
  <si>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</si>
  <si>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</si>
  <si>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</si>
  <si>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</si>
  <si>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</si>
  <si>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</si>
  <si>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</si>
  <si>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</si>
  <si>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</si>
  <si>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</si>
  <si>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</si>
  <si>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</si>
  <si>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</si>
  <si>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</si>
  <si>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</si>
  <si>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</si>
  <si>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</si>
  <si>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</si>
  <si>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</si>
  <si>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</si>
  <si>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</si>
  <si>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</si>
  <si>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</si>
  <si>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</si>
  <si>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</si>
  <si>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</si>
  <si>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</si>
  <si>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</si>
  <si>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</si>
  <si>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</si>
  <si>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</si>
  <si>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</si>
  <si>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</si>
  <si>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</si>
  <si>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</si>
  <si>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</si>
  <si>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</si>
  <si>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</si>
  <si>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</si>
  <si>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</si>
  <si>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</si>
  <si>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</si>
  <si>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</si>
  <si>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</si>
  <si>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</si>
  <si>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</si>
  <si>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</si>
  <si>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</si>
  <si>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</si>
  <si>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</si>
  <si>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</si>
  <si>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</si>
  <si>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</si>
  <si>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</si>
  <si>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</si>
  <si>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</si>
  <si>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</si>
  <si>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</si>
  <si>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</si>
  <si>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</si>
  <si>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</si>
  <si>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</si>
  <si>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</si>
  <si>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</si>
  <si>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</si>
  <si>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</si>
  <si>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</si>
  <si>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</si>
  <si>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</si>
  <si>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</si>
  <si>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area per count</t>
  </si>
  <si>
    <t>diffusive time of flight</t>
  </si>
  <si>
    <t>thermodynamic temperature per thermodynamic temperature</t>
  </si>
  <si>
    <t>Leave this line blank</t>
  </si>
  <si>
    <t>Reference</t>
  </si>
  <si>
    <t>SourceElement</t>
  </si>
  <si>
    <t>ConditionalElement</t>
  </si>
  <si>
    <t>ID</t>
  </si>
  <si>
    <t>QuantityClass</t>
  </si>
  <si>
    <t>DataType2</t>
  </si>
  <si>
    <t>DictionaryFile</t>
  </si>
  <si>
    <t>vector</t>
  </si>
  <si>
    <t>language</t>
  </si>
  <si>
    <t>LFS</t>
  </si>
  <si>
    <t>codeSpace</t>
  </si>
  <si>
    <t>An alternate name for the definition code given in ID</t>
  </si>
  <si>
    <t>A URI to provide context for the name. Typically this might identify an authority, a language. a dictionary, or some other metadata value</t>
  </si>
  <si>
    <t xml:space="preserve"> </t>
  </si>
  <si>
    <t>amount of substance per mass</t>
  </si>
  <si>
    <t>use for cation exchange capacity</t>
  </si>
  <si>
    <t>force or mass per volume</t>
  </si>
  <si>
    <t>use for geotechnical densities</t>
  </si>
  <si>
    <t>gravitational gradient</t>
  </si>
  <si>
    <t>relative rate</t>
  </si>
  <si>
    <t>use for strain rate</t>
  </si>
  <si>
    <t>Column2</t>
  </si>
  <si>
    <t>activity [of radioactivity]</t>
  </si>
  <si>
    <t>(amount of substance per time) per area</t>
  </si>
  <si>
    <t>In EML schema but not in EML dictionary</t>
  </si>
  <si>
    <t>(energy per mass) per time</t>
  </si>
  <si>
    <t>use for gravity gradients</t>
  </si>
  <si>
    <t>(mass per time) per area</t>
  </si>
  <si>
    <t>(mass per time) per length</t>
  </si>
  <si>
    <t>(mass per volume) per length</t>
  </si>
  <si>
    <t>(mass per volume) per pressure</t>
  </si>
  <si>
    <t>(mass per volume) per temperature</t>
  </si>
  <si>
    <t>pressure squared per (force time per area)</t>
  </si>
  <si>
    <t>reciprocal (mass time)</t>
  </si>
  <si>
    <t>(volume per time) length</t>
  </si>
  <si>
    <t>(volume per time) per area</t>
  </si>
  <si>
    <t>(volume per time) per length</t>
  </si>
  <si>
    <t>(volume per time) per pressure</t>
  </si>
  <si>
    <t>(volume per time) per (pressure length)</t>
  </si>
  <si>
    <t>(volume per time) per time</t>
  </si>
  <si>
    <t>(volume per time) per volume</t>
  </si>
  <si>
    <t>reciprocal time(0.5)</t>
  </si>
  <si>
    <t>used for pressure filtration</t>
  </si>
  <si>
    <t>volume or mass loss</t>
  </si>
  <si>
    <t>submitted</t>
  </si>
  <si>
    <t>received</t>
  </si>
  <si>
    <t>pending</t>
  </si>
  <si>
    <t>logged</t>
  </si>
  <si>
    <t>rejected</t>
  </si>
  <si>
    <t>progress</t>
  </si>
  <si>
    <t>prep</t>
  </si>
  <si>
    <t>testing</t>
  </si>
  <si>
    <t>retest</t>
  </si>
  <si>
    <t>auth</t>
  </si>
  <si>
    <t>review</t>
  </si>
  <si>
    <t>approved</t>
  </si>
  <si>
    <t>complete</t>
  </si>
  <si>
    <t>void</t>
  </si>
  <si>
    <t>retained</t>
  </si>
  <si>
    <t>returned</t>
  </si>
  <si>
    <t>Submitted</t>
  </si>
  <si>
    <t>Received</t>
  </si>
  <si>
    <t>Pending</t>
  </si>
  <si>
    <t>Logged</t>
  </si>
  <si>
    <t>Rejected</t>
  </si>
  <si>
    <t>In Progress</t>
  </si>
  <si>
    <t>In Preparation</t>
  </si>
  <si>
    <t>In Testing</t>
  </si>
  <si>
    <t>Retest In Queue</t>
  </si>
  <si>
    <t>Pending Authorization</t>
  </si>
  <si>
    <t>Reviewed</t>
  </si>
  <si>
    <t>Complete</t>
  </si>
  <si>
    <t>Voided</t>
  </si>
  <si>
    <t>Retained</t>
  </si>
  <si>
    <t>Returned</t>
  </si>
  <si>
    <t>disposed</t>
  </si>
  <si>
    <t>Disposed</t>
  </si>
  <si>
    <t>The sample record is created and tests are assigned, but the physical sample has not yet been processed for testing may not have arrived.</t>
  </si>
  <si>
    <t>The initial data entry is complete, but the sample has not yet been physically verified for testing.</t>
  </si>
  <si>
    <t xml:space="preserve">The sample was received but deemed unsuitable for testing (e.g., contaminated, insufficient volume, or damaged container). </t>
  </si>
  <si>
    <t>Tests assigned to the testing schedule are in progress or partially completed</t>
  </si>
  <si>
    <t>The sample is undergoing physical processing, such as air-drying, grinding, or sieving through a 2mm mesh.</t>
  </si>
  <si>
    <t>The sample is currently in the active extraction or measurement phase for specific result properties</t>
  </si>
  <si>
    <t xml:space="preserve">The sample has been scheduled for a subsequent analysis, often due to an initial result falling outside expected quality control parameters. </t>
  </si>
  <si>
    <t>Testing is complete, and raw data is recorded, but a laboratory manager or supervisor has not yet reviewed it for accuracy</t>
  </si>
  <si>
    <t>Results have been checked for consistency and adherence to laboratory policy.</t>
  </si>
  <si>
    <t>Testing schedule has been submitted to the receiving laboratory or the sample(s) have been sent for testing</t>
  </si>
  <si>
    <t>Testing schedule has been received by the receiving laboratory or the sample(s) has been received for testing</t>
  </si>
  <si>
    <t>Approved</t>
  </si>
  <si>
    <t>Results have been approved and the final report is being prepared for release to the issuing entity.</t>
  </si>
  <si>
    <t xml:space="preserve">The requested test is cancelled or the sample was inadvertently destroyed/contaminated during the process. </t>
  </si>
  <si>
    <t>For requested tests, all testing criteria have been satisfied; the final report has been issued. For the testing schedule, all requested tests have been completed, rejected, or voided and all reports have been submitted.</t>
  </si>
  <si>
    <t>The analysis is finished, and the remaining sample is being stored for the required retention period.</t>
  </si>
  <si>
    <t>The analysis is finished, and the remaining sample has been returned to the issuing entity.</t>
  </si>
  <si>
    <t>The sample has been safely discarded following analysis or the completion of the retention period.</t>
  </si>
  <si>
    <t>state</t>
  </si>
  <si>
    <t>//diggs:testingProgress//diggs:state</t>
  </si>
  <si>
    <t>//diggs:scheduleProgress//diggs:state</t>
  </si>
  <si>
    <t>progressState</t>
  </si>
  <si>
    <t>DIGGS Progress Event State Code Definitions</t>
  </si>
  <si>
    <t>This dictionary contains standard code values for the state property of the diggs:ProgressEvent object when used within a program. These values serve to define the values used in reporting the status of a workflow chain. Certain terms are only applicable to specific contexts as specified in the sourceelementXpath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</si>
</sst>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b/>
      <sz val="12"/>
      <color rgb="FFFFFFFF"/>
      <name val="Calibri"/>
      <family val="2"/>
      <scheme val="minor"/>
    </font>
    <font>
      <sz val="12"/>
      <color rgb="FFC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ptos Narrow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wrapText="1"/>
    </xf>
    <xf numFmtId="0" fontId="8" fillId="2" borderId="1" xfId="0" applyFont="1" applyFill="1" applyBorder="1" applyAlignment="1">
      <alignment wrapText="1"/>
    </xf>
    <xf numFmtId="0" fontId="0" fillId="0" borderId="0" xfId="0" applyAlignment="1">
      <alignment vertical="center"/>
    </xf>
    <xf numFmtId="0" fontId="12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12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0" fillId="0" borderId="0" xfId="0" applyFill="1" applyAlignment="1">
      <alignment vertical="center" wrapText="1"/>
    </xf>
    <xf numFmtId="0" fontId="4" fillId="0" borderId="0" xfId="0" applyFont="1" applyFill="1" applyAlignment="1">
      <alignment vertical="center" wrapText="1"/>
    </xf>
    <xf numFmtId="0" fontId="12" fillId="0" borderId="0" xfId="0" applyFont="1" applyFill="1" applyAlignment="1">
      <alignment vertical="center" wrapText="1"/>
    </xf>
    <xf numFmtId="0" fontId="4" fillId="0" borderId="0" xfId="0" applyFont="1" applyFill="1" applyAlignment="1">
      <alignment horizontal="left" vertical="center"/>
    </xf>
    <xf numFmtId="0" fontId="0" fillId="0" borderId="0" xfId="0" applyNumberFormat="1" applyFill="1" applyAlignment="1"/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font>
        <color rgb="FF000000"/>
        <name val="Aptos Narrow"/>
        <family val="2"/>
        <scheme val="none"/>
      </font>
      <alignment horizontal="general" vertical="center" textRotation="0" wrapText="0" indent="0" justifyLastLine="0" shrinkToFit="0" readingOrder="0"/>
    </dxf>
    <dxf>
      <font>
        <color rgb="FF000000"/>
        <name val="Aptos Narrow"/>
        <family val="2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DBE5F1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FFFFFF"/>
        </right>
        <top/>
        <bottom style="thin">
          <color rgb="FFFFFFFF"/>
        </bottom>
      </border>
    </dxf>
    <dxf>
      <font>
        <color rgb="FF000000"/>
        <name val="Aptos Narrow"/>
        <family val="2"/>
        <scheme val="none"/>
      </font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textRotation="0" wrapText="1" indent="0" justifyLastLine="0" shrinkToFit="0" readingOrder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4" totalsRowShown="0" headerRowDxfId="24" dataDxfId="23">
  <autoFilter ref="A1:E4" xr:uid="{00000000-0009-0000-0100-000002000000}"/>
  <tableColumns count="5">
    <tableColumn id="1" xr3:uid="{00000000-0010-0000-0000-000001000000}" name="Start" dataDxfId="22"/>
    <tableColumn id="4" xr3:uid="{00000000-0010-0000-0000-000004000000}" name="Dictionary ID" dataDxfId="21"/>
    <tableColumn id="5" xr3:uid="{00000000-0010-0000-0000-000005000000}" name="DictionaryFile" dataDxfId="20"/>
    <tableColumn id="2" xr3:uid="{00000000-0010-0000-0000-000002000000}" name="DictionaryName" dataDxfId="19"/>
    <tableColumn id="3" xr3:uid="{00000000-0010-0000-0000-000003000000}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18" totalsRowShown="0" headerRowDxfId="17" dataDxfId="16">
  <autoFilter ref="A1:H18" xr:uid="{00000000-0009-0000-0100-000001000000}"/>
  <sortState xmlns:xlrd2="http://schemas.microsoft.com/office/spreadsheetml/2017/richdata2" ref="A2:H18">
    <sortCondition ref="A1:A18"/>
  </sortState>
  <tableColumns count="8">
    <tableColumn id="1" xr3:uid="{00000000-0010-0000-0100-000001000000}" name="Start" dataDxfId="15">
      <calculatedColumnFormula>IF(ISNA(VLOOKUP(B2,AssociatedElements!B$2:B2920,1,FALSE)),"Not used","")</calculatedColumnFormula>
    </tableColumn>
    <tableColumn id="10" xr3:uid="{00000000-0010-0000-0100-00000A000000}" name="ID" dataDxfId="14"/>
    <tableColumn id="7" xr3:uid="{00000000-0010-0000-0100-000007000000}" name="Name" dataDxfId="13"/>
    <tableColumn id="3" xr3:uid="{00000000-0010-0000-0100-000003000000}" name="Description" dataDxfId="12"/>
    <tableColumn id="4" xr3:uid="{00000000-0010-0000-0100-000004000000}" name="DataType" dataDxfId="11"/>
    <tableColumn id="5" xr3:uid="{00000000-0010-0000-0100-000005000000}" name="QuantityClass" dataDxfId="10"/>
    <tableColumn id="6" xr3:uid="{00000000-0010-0000-0100-000006000000}" name="Authority" dataDxfId="9"/>
    <tableColumn id="9" xr3:uid="{00000000-0010-0000-0100-000009000000}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21" totalsRowShown="0" headerRowDxfId="7">
  <autoFilter ref="A1:D21" xr:uid="{00000000-0009-0000-0100-000003000000}"/>
  <sortState xmlns:xlrd2="http://schemas.microsoft.com/office/spreadsheetml/2017/richdata2" ref="A2:C2">
    <sortCondition ref="C1:C2"/>
  </sortState>
  <tableColumns count="4">
    <tableColumn id="1" xr3:uid="{00000000-0010-0000-0200-000001000000}" name="Start" dataDxfId="6">
      <calculatedColumnFormula>IF(ISNA(VLOOKUP(B2,Definitions!B$2:B$1820,1,FALSE)),"Not listed","")</calculatedColumnFormula>
    </tableColumn>
    <tableColumn id="4" xr3:uid="{00000000-0010-0000-0200-000004000000}" name="ID" dataDxfId="5"/>
    <tableColumn id="2" xr3:uid="{00000000-0010-0000-0200-000002000000}" name="SourceElement" dataDxfId="4"/>
    <tableColumn id="3" xr3:uid="{00000000-0010-0000-0200-000003000000}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0CC37-04AB-8D4D-892F-F71979176D16}" name="AssociatedElements5" displayName="AssociatedElements5" ref="A1:D2" totalsRowShown="0" headerRowDxfId="3">
  <autoFilter ref="A1:D2" xr:uid="{00000000-0009-0000-0100-000003000000}"/>
  <sortState xmlns:xlrd2="http://schemas.microsoft.com/office/spreadsheetml/2017/richdata2" ref="A2:C2">
    <sortCondition ref="C1:C2"/>
  </sortState>
  <tableColumns count="4">
    <tableColumn id="1" xr3:uid="{02380BFF-37AF-9E4B-90BC-810D8EE9F845}" name="Start" dataDxfId="2">
      <calculatedColumnFormula>IF(ISNA(VLOOKUP(B2,Definitions!B$2:B$1820,1,FALSE)),"Not listed","")</calculatedColumnFormula>
    </tableColumn>
    <tableColumn id="4" xr3:uid="{5E6BF6FE-A198-8C42-A675-7E2A6AC3DAC7}" name="ID" dataDxfId="1"/>
    <tableColumn id="2" xr3:uid="{5B418AFD-E436-414C-98B3-82272B95D62A}" name="Name" dataDxfId="0"/>
    <tableColumn id="3" xr3:uid="{1FE3CE3E-155C-A44F-A7E6-27A5EC4A69F8}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D188" totalsRowShown="0">
  <autoFilter ref="A1:D188" xr:uid="{00000000-0009-0000-0100-000006000000}"/>
  <sortState xmlns:xlrd2="http://schemas.microsoft.com/office/spreadsheetml/2017/richdata2" ref="A2:C187">
    <sortCondition ref="C1:C187"/>
  </sortState>
  <tableColumns count="4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  <tableColumn id="5" xr3:uid="{6DBC15FA-55AF-F84A-8E98-E478F80C2A28}" name="Column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4"/>
  <sheetViews>
    <sheetView workbookViewId="0">
      <selection activeCell="E3" sqref="E3"/>
    </sheetView>
  </sheetViews>
  <sheetFormatPr baseColWidth="10" defaultColWidth="11" defaultRowHeight="16" x14ac:dyDescent="0.2"/>
  <cols>
    <col min="1" max="1" width="7.5" style="8" customWidth="1"/>
    <col min="2" max="2" width="41.33203125" style="8" customWidth="1"/>
    <col min="3" max="3" width="26.33203125" style="8" customWidth="1"/>
    <col min="4" max="4" width="35.6640625" style="8" customWidth="1"/>
    <col min="5" max="5" width="76" style="8" customWidth="1"/>
    <col min="6" max="16384" width="11" style="8"/>
  </cols>
  <sheetData>
    <row r="1" spans="1:5" s="10" customFormat="1" ht="18" thickBot="1" x14ac:dyDescent="0.25">
      <c r="A1" s="10" t="s">
        <v>13</v>
      </c>
      <c r="B1" s="10" t="s">
        <v>7</v>
      </c>
      <c r="C1" s="11" t="s">
        <v>208</v>
      </c>
      <c r="D1" s="10" t="s">
        <v>14</v>
      </c>
      <c r="E1" s="10" t="s">
        <v>0</v>
      </c>
    </row>
    <row r="2" spans="1:5" s="10" customFormat="1" ht="18" thickTop="1" x14ac:dyDescent="0.2">
      <c r="A2" s="1"/>
      <c r="B2" s="1"/>
      <c r="C2" s="1"/>
      <c r="D2" s="1"/>
      <c r="E2" s="1" t="s">
        <v>201</v>
      </c>
    </row>
    <row r="3" spans="1:5" s="2" customFormat="1" ht="154" customHeight="1" x14ac:dyDescent="0.2">
      <c r="B3" s="2" t="s">
        <v>297</v>
      </c>
      <c r="C3" s="12" t="s">
        <v>300</v>
      </c>
      <c r="D3" s="12" t="s">
        <v>301</v>
      </c>
      <c r="E3" s="2" t="s">
        <v>302</v>
      </c>
    </row>
    <row r="4" spans="1:5" ht="17" x14ac:dyDescent="0.2">
      <c r="A4" s="2"/>
      <c r="B4" s="2"/>
      <c r="D4" s="2"/>
      <c r="E4" s="2" t="s">
        <v>215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8"/>
  <sheetViews>
    <sheetView zoomScale="150" zoomScaleNormal="150" workbookViewId="0">
      <selection activeCell="D7" sqref="D7"/>
    </sheetView>
  </sheetViews>
  <sheetFormatPr baseColWidth="10" defaultColWidth="10.83203125" defaultRowHeight="16" x14ac:dyDescent="0.2"/>
  <cols>
    <col min="1" max="1" width="7" style="2" customWidth="1"/>
    <col min="2" max="2" width="25.83203125" style="2" customWidth="1"/>
    <col min="3" max="3" width="31.6640625" style="2" customWidth="1"/>
    <col min="4" max="4" width="84.6640625" style="2" customWidth="1"/>
    <col min="5" max="5" width="11.1640625" style="2" customWidth="1"/>
    <col min="6" max="6" width="25.664062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205</v>
      </c>
      <c r="C1" s="1" t="s">
        <v>8</v>
      </c>
      <c r="D1" s="1" t="s">
        <v>0</v>
      </c>
      <c r="E1" s="1" t="s">
        <v>165</v>
      </c>
      <c r="F1" s="1" t="s">
        <v>206</v>
      </c>
      <c r="G1" s="1" t="s">
        <v>9</v>
      </c>
      <c r="H1" s="1" t="s">
        <v>202</v>
      </c>
    </row>
    <row r="2" spans="1:8" ht="34" x14ac:dyDescent="0.2">
      <c r="A2" s="2" t="str">
        <f>IF(ISNA(VLOOKUP(B2,AssociatedElements!B$2:B2920,1,FALSE)),"Not used","")</f>
        <v/>
      </c>
      <c r="B2" s="13" t="s">
        <v>246</v>
      </c>
      <c r="C2" s="13" t="s">
        <v>262</v>
      </c>
      <c r="D2" s="14" t="s">
        <v>288</v>
      </c>
      <c r="E2" s="13" t="s">
        <v>4</v>
      </c>
      <c r="F2" s="13"/>
      <c r="G2" s="9"/>
    </row>
    <row r="3" spans="1:8" ht="34" x14ac:dyDescent="0.2">
      <c r="A3" s="2" t="str">
        <f>IF(ISNA(VLOOKUP(B3,AssociatedElements!B$2:B2921,1,FALSE)),"Not used","")</f>
        <v/>
      </c>
      <c r="B3" s="13" t="s">
        <v>247</v>
      </c>
      <c r="C3" s="13" t="s">
        <v>263</v>
      </c>
      <c r="D3" s="14" t="s">
        <v>289</v>
      </c>
      <c r="E3" s="13" t="s">
        <v>4</v>
      </c>
      <c r="F3" s="13"/>
      <c r="G3" s="9"/>
    </row>
    <row r="4" spans="1:8" ht="34" x14ac:dyDescent="0.2">
      <c r="A4" s="2" t="str">
        <f>IF(ISNA(VLOOKUP(B4,AssociatedElements!B$2:B2922,1,FALSE)),"Not used","")</f>
        <v/>
      </c>
      <c r="B4" s="2" t="s">
        <v>248</v>
      </c>
      <c r="C4" s="2" t="s">
        <v>264</v>
      </c>
      <c r="D4" s="2" t="s">
        <v>279</v>
      </c>
      <c r="E4" s="13" t="s">
        <v>4</v>
      </c>
      <c r="G4" s="9"/>
    </row>
    <row r="5" spans="1:8" ht="34" x14ac:dyDescent="0.2">
      <c r="A5" s="2" t="str">
        <f>IF(ISNA(VLOOKUP(B5,AssociatedElements!B$2:B2923,1,FALSE)),"Not used","")</f>
        <v/>
      </c>
      <c r="B5" s="13" t="s">
        <v>249</v>
      </c>
      <c r="C5" s="13" t="s">
        <v>265</v>
      </c>
      <c r="D5" s="14" t="s">
        <v>280</v>
      </c>
      <c r="E5" s="13" t="s">
        <v>4</v>
      </c>
      <c r="F5" s="13"/>
      <c r="G5" s="9"/>
    </row>
    <row r="6" spans="1:8" s="18" customFormat="1" ht="34" x14ac:dyDescent="0.2">
      <c r="A6" s="18" t="str">
        <f>IF(ISNA(VLOOKUP(B6,AssociatedElements!B$2:B2924,1,FALSE)),"Not used","")</f>
        <v/>
      </c>
      <c r="B6" s="18" t="s">
        <v>250</v>
      </c>
      <c r="C6" s="19" t="s">
        <v>266</v>
      </c>
      <c r="D6" s="19" t="s">
        <v>281</v>
      </c>
      <c r="E6" s="20" t="s">
        <v>4</v>
      </c>
      <c r="G6" s="21"/>
    </row>
    <row r="7" spans="1:8" ht="34" x14ac:dyDescent="0.2">
      <c r="A7" s="2" t="str">
        <f>IF(ISNA(VLOOKUP(B7,AssociatedElements!B$2:B2925,1,FALSE)),"Not used","")</f>
        <v/>
      </c>
      <c r="B7" s="2" t="s">
        <v>251</v>
      </c>
      <c r="C7" s="2" t="s">
        <v>267</v>
      </c>
      <c r="D7" s="2" t="s">
        <v>282</v>
      </c>
      <c r="E7" s="13" t="s">
        <v>4</v>
      </c>
      <c r="G7" s="9"/>
    </row>
    <row r="8" spans="1:8" ht="34" x14ac:dyDescent="0.2">
      <c r="A8" s="2" t="str">
        <f>IF(ISNA(VLOOKUP(B8,AssociatedElements!B$2:B2926,1,FALSE)),"Not used","")</f>
        <v/>
      </c>
      <c r="B8" s="2" t="s">
        <v>252</v>
      </c>
      <c r="C8" s="2" t="s">
        <v>268</v>
      </c>
      <c r="D8" s="2" t="s">
        <v>283</v>
      </c>
      <c r="E8" s="13" t="s">
        <v>4</v>
      </c>
      <c r="G8" s="9"/>
    </row>
    <row r="9" spans="1:8" ht="34" x14ac:dyDescent="0.2">
      <c r="A9" s="2" t="str">
        <f>IF(ISNA(VLOOKUP(B9,AssociatedElements!B$2:B2927,1,FALSE)),"Not used","")</f>
        <v/>
      </c>
      <c r="B9" s="2" t="s">
        <v>253</v>
      </c>
      <c r="C9" s="15" t="s">
        <v>269</v>
      </c>
      <c r="D9" s="15" t="s">
        <v>284</v>
      </c>
      <c r="E9" s="13" t="s">
        <v>4</v>
      </c>
      <c r="G9" s="9"/>
    </row>
    <row r="10" spans="1:8" ht="34" x14ac:dyDescent="0.2">
      <c r="A10" s="2" t="str">
        <f>IF(ISNA(VLOOKUP(B10,AssociatedElements!B$2:B2928,1,FALSE)),"Not used","")</f>
        <v/>
      </c>
      <c r="B10" s="13" t="s">
        <v>254</v>
      </c>
      <c r="C10" s="13" t="s">
        <v>270</v>
      </c>
      <c r="D10" s="14" t="s">
        <v>285</v>
      </c>
      <c r="E10" s="13" t="s">
        <v>4</v>
      </c>
      <c r="F10" s="13"/>
      <c r="G10" s="9"/>
    </row>
    <row r="11" spans="1:8" ht="34" x14ac:dyDescent="0.2">
      <c r="A11" s="2" t="str">
        <f>IF(ISNA(VLOOKUP(B11,AssociatedElements!B$2:B2929,1,FALSE)),"Not used","")</f>
        <v/>
      </c>
      <c r="B11" s="13" t="s">
        <v>255</v>
      </c>
      <c r="C11" s="13" t="s">
        <v>271</v>
      </c>
      <c r="D11" s="14" t="s">
        <v>286</v>
      </c>
      <c r="E11" s="13" t="s">
        <v>4</v>
      </c>
      <c r="F11" s="13"/>
      <c r="G11" s="9"/>
    </row>
    <row r="12" spans="1:8" ht="34" x14ac:dyDescent="0.2">
      <c r="A12" s="2" t="str">
        <f>IF(ISNA(VLOOKUP(B12,AssociatedElements!B$2:B2930,1,FALSE)),"Not used","")</f>
        <v/>
      </c>
      <c r="B12" s="13" t="s">
        <v>256</v>
      </c>
      <c r="C12" s="13" t="s">
        <v>272</v>
      </c>
      <c r="D12" s="14" t="s">
        <v>287</v>
      </c>
      <c r="E12" s="13" t="s">
        <v>4</v>
      </c>
      <c r="F12" s="13"/>
      <c r="G12" s="9"/>
    </row>
    <row r="13" spans="1:8" ht="34" x14ac:dyDescent="0.2">
      <c r="A13" s="2" t="str">
        <f>IF(ISNA(VLOOKUP(B13,AssociatedElements!B$2:B2931,1,FALSE)),"Not used","")</f>
        <v/>
      </c>
      <c r="B13" s="13" t="s">
        <v>257</v>
      </c>
      <c r="C13" s="13" t="s">
        <v>290</v>
      </c>
      <c r="D13" s="14" t="s">
        <v>291</v>
      </c>
      <c r="E13" s="13" t="s">
        <v>4</v>
      </c>
      <c r="F13" s="13"/>
      <c r="G13" s="9"/>
    </row>
    <row r="14" spans="1:8" ht="51" x14ac:dyDescent="0.2">
      <c r="A14" s="2" t="str">
        <f>IF(ISNA(VLOOKUP(B14,AssociatedElements!B$2:B2932,1,FALSE)),"Not used","")</f>
        <v/>
      </c>
      <c r="B14" s="13" t="s">
        <v>258</v>
      </c>
      <c r="C14" s="13" t="s">
        <v>273</v>
      </c>
      <c r="D14" s="14" t="s">
        <v>293</v>
      </c>
      <c r="E14" s="13" t="s">
        <v>4</v>
      </c>
      <c r="F14" s="13"/>
      <c r="G14" s="9"/>
    </row>
    <row r="15" spans="1:8" ht="34" x14ac:dyDescent="0.2">
      <c r="A15" s="2" t="str">
        <f>IF(ISNA(VLOOKUP(B15,AssociatedElements!B$2:B2933,1,FALSE)),"Not used","")</f>
        <v/>
      </c>
      <c r="B15" s="13" t="s">
        <v>259</v>
      </c>
      <c r="C15" s="16" t="s">
        <v>274</v>
      </c>
      <c r="D15" s="17" t="s">
        <v>292</v>
      </c>
      <c r="E15" s="13" t="s">
        <v>4</v>
      </c>
      <c r="F15" s="16"/>
      <c r="G15" s="9"/>
    </row>
    <row r="16" spans="1:8" ht="34" x14ac:dyDescent="0.2">
      <c r="A16" s="2" t="str">
        <f>IF(ISNA(VLOOKUP(B16,AssociatedElements!B$2:B2934,1,FALSE)),"Not used","")</f>
        <v/>
      </c>
      <c r="B16" s="13" t="s">
        <v>260</v>
      </c>
      <c r="C16" s="16" t="s">
        <v>275</v>
      </c>
      <c r="D16" s="17" t="s">
        <v>294</v>
      </c>
      <c r="E16" s="13" t="s">
        <v>4</v>
      </c>
      <c r="F16" s="16"/>
      <c r="G16" s="9"/>
    </row>
    <row r="17" spans="1:7" ht="34" x14ac:dyDescent="0.2">
      <c r="A17" s="2" t="str">
        <f>IF(ISNA(VLOOKUP(B17,AssociatedElements!B$2:B2935,1,FALSE)),"Not used","")</f>
        <v/>
      </c>
      <c r="B17" s="13" t="s">
        <v>261</v>
      </c>
      <c r="C17" s="16" t="s">
        <v>276</v>
      </c>
      <c r="D17" s="17" t="s">
        <v>295</v>
      </c>
      <c r="E17" s="13" t="s">
        <v>4</v>
      </c>
      <c r="F17" s="16"/>
      <c r="G17" s="9"/>
    </row>
    <row r="18" spans="1:7" ht="17" x14ac:dyDescent="0.2">
      <c r="A18" s="2" t="str">
        <f>IF(ISNA(VLOOKUP(B18,AssociatedElements!B$2:B2936,1,FALSE)),"Not used","")</f>
        <v/>
      </c>
      <c r="B18" s="13" t="s">
        <v>277</v>
      </c>
      <c r="C18" s="16" t="s">
        <v>278</v>
      </c>
      <c r="D18" s="17" t="s">
        <v>296</v>
      </c>
      <c r="E18" s="13" t="s">
        <v>4</v>
      </c>
      <c r="F18" s="16"/>
      <c r="G18" s="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21"/>
  <sheetViews>
    <sheetView tabSelected="1" zoomScale="120" zoomScaleNormal="120" workbookViewId="0">
      <pane ySplit="1" topLeftCell="A2" activePane="bottomLeft" state="frozen"/>
      <selection pane="bottomLeft" activeCell="D26" sqref="D26"/>
    </sheetView>
  </sheetViews>
  <sheetFormatPr baseColWidth="10" defaultColWidth="10.83203125" defaultRowHeight="16" x14ac:dyDescent="0.2"/>
  <cols>
    <col min="1" max="1" width="6.83203125" customWidth="1"/>
    <col min="2" max="2" width="31.6640625" customWidth="1"/>
    <col min="3" max="3" width="86.1640625" style="3" customWidth="1"/>
    <col min="4" max="4" width="93" customWidth="1"/>
  </cols>
  <sheetData>
    <row r="1" spans="1:4" s="6" customFormat="1" x14ac:dyDescent="0.2">
      <c r="A1" s="4" t="s">
        <v>13</v>
      </c>
      <c r="B1" s="4" t="s">
        <v>205</v>
      </c>
      <c r="C1" s="5" t="s">
        <v>203</v>
      </c>
      <c r="D1" s="6" t="s">
        <v>204</v>
      </c>
    </row>
    <row r="2" spans="1:4" ht="17" x14ac:dyDescent="0.2">
      <c r="A2" t="str">
        <f>IF(ISNA(VLOOKUP(B2,Definitions!B$2:B$1820,1,FALSE)),"Not listed","")</f>
        <v/>
      </c>
      <c r="B2" s="13" t="s">
        <v>246</v>
      </c>
      <c r="C2" s="3" t="s">
        <v>298</v>
      </c>
    </row>
    <row r="3" spans="1:4" ht="17" x14ac:dyDescent="0.2">
      <c r="A3" t="str">
        <f>IF(ISNA(VLOOKUP(B3,Definitions!B$2:B$1820,1,FALSE)),"Not listed","")</f>
        <v/>
      </c>
      <c r="B3" s="13" t="s">
        <v>247</v>
      </c>
      <c r="C3" s="3" t="s">
        <v>298</v>
      </c>
    </row>
    <row r="4" spans="1:4" ht="17" x14ac:dyDescent="0.2">
      <c r="A4" t="str">
        <f>IF(ISNA(VLOOKUP(B4,Definitions!B$2:B$1820,1,FALSE)),"Not listed","")</f>
        <v/>
      </c>
      <c r="B4" s="2" t="s">
        <v>248</v>
      </c>
      <c r="C4" s="3" t="s">
        <v>298</v>
      </c>
    </row>
    <row r="5" spans="1:4" ht="17" x14ac:dyDescent="0.2">
      <c r="A5" t="str">
        <f>IF(ISNA(VLOOKUP(B5,Definitions!B$2:B$1820,1,FALSE)),"Not listed","")</f>
        <v/>
      </c>
      <c r="B5" s="13" t="s">
        <v>249</v>
      </c>
      <c r="C5" s="3" t="s">
        <v>298</v>
      </c>
    </row>
    <row r="6" spans="1:4" ht="17" x14ac:dyDescent="0.2">
      <c r="A6" t="str">
        <f>IF(ISNA(VLOOKUP(B6,Definitions!B$2:B$1820,1,FALSE)),"Not listed","")</f>
        <v/>
      </c>
      <c r="B6" s="2" t="s">
        <v>250</v>
      </c>
      <c r="C6" s="3" t="s">
        <v>298</v>
      </c>
    </row>
    <row r="7" spans="1:4" ht="17" x14ac:dyDescent="0.2">
      <c r="A7" t="str">
        <f>IF(ISNA(VLOOKUP(B7,Definitions!B$2:B$1820,1,FALSE)),"Not listed","")</f>
        <v/>
      </c>
      <c r="B7" s="2" t="s">
        <v>252</v>
      </c>
      <c r="C7" s="3" t="s">
        <v>298</v>
      </c>
    </row>
    <row r="8" spans="1:4" ht="17" x14ac:dyDescent="0.2">
      <c r="A8" t="str">
        <f>IF(ISNA(VLOOKUP(B8,Definitions!B$2:B$1820,1,FALSE)),"Not listed","")</f>
        <v/>
      </c>
      <c r="B8" s="2" t="s">
        <v>253</v>
      </c>
      <c r="C8" s="3" t="s">
        <v>298</v>
      </c>
    </row>
    <row r="9" spans="1:4" ht="17" x14ac:dyDescent="0.2">
      <c r="A9" t="str">
        <f>IF(ISNA(VLOOKUP(B9,Definitions!B$2:B$1820,1,FALSE)),"Not listed","")</f>
        <v/>
      </c>
      <c r="B9" s="13" t="s">
        <v>254</v>
      </c>
      <c r="C9" s="3" t="s">
        <v>298</v>
      </c>
    </row>
    <row r="10" spans="1:4" ht="17" x14ac:dyDescent="0.2">
      <c r="A10" t="str">
        <f>IF(ISNA(VLOOKUP(B10,Definitions!B$2:B$1820,1,FALSE)),"Not listed","")</f>
        <v/>
      </c>
      <c r="B10" s="13" t="s">
        <v>255</v>
      </c>
      <c r="C10" s="3" t="s">
        <v>298</v>
      </c>
    </row>
    <row r="11" spans="1:4" ht="17" x14ac:dyDescent="0.2">
      <c r="A11" t="str">
        <f>IF(ISNA(VLOOKUP(B11,Definitions!B$2:B$1820,1,FALSE)),"Not listed","")</f>
        <v/>
      </c>
      <c r="B11" s="13" t="s">
        <v>256</v>
      </c>
      <c r="C11" s="3" t="s">
        <v>298</v>
      </c>
    </row>
    <row r="12" spans="1:4" ht="17" x14ac:dyDescent="0.2">
      <c r="A12" t="str">
        <f>IF(ISNA(VLOOKUP(B12,Definitions!B$2:B$1820,1,FALSE)),"Not listed","")</f>
        <v/>
      </c>
      <c r="B12" s="13" t="s">
        <v>257</v>
      </c>
      <c r="C12" s="3" t="s">
        <v>298</v>
      </c>
    </row>
    <row r="13" spans="1:4" ht="17" x14ac:dyDescent="0.2">
      <c r="A13" t="str">
        <f>IF(ISNA(VLOOKUP(B13,Definitions!B$2:B$1820,1,FALSE)),"Not listed","")</f>
        <v/>
      </c>
      <c r="B13" s="13" t="s">
        <v>258</v>
      </c>
      <c r="C13" s="3" t="s">
        <v>298</v>
      </c>
    </row>
    <row r="14" spans="1:4" ht="17" x14ac:dyDescent="0.2">
      <c r="A14" t="str">
        <f>IF(ISNA(VLOOKUP(B14,Definitions!B$2:B$1820,1,FALSE)),"Not listed","")</f>
        <v/>
      </c>
      <c r="B14" s="13" t="s">
        <v>259</v>
      </c>
      <c r="C14" s="3" t="s">
        <v>298</v>
      </c>
    </row>
    <row r="15" spans="1:4" ht="17" x14ac:dyDescent="0.2">
      <c r="A15" t="str">
        <f>IF(ISNA(VLOOKUP(B15,Definitions!B$2:B$1820,1,FALSE)),"Not listed","")</f>
        <v/>
      </c>
      <c r="B15" s="13" t="s">
        <v>260</v>
      </c>
      <c r="C15" s="3" t="s">
        <v>298</v>
      </c>
    </row>
    <row r="16" spans="1:4" ht="17" x14ac:dyDescent="0.2">
      <c r="A16" t="str">
        <f>IF(ISNA(VLOOKUP(B16,Definitions!B$2:B$1820,1,FALSE)),"Not listed","")</f>
        <v/>
      </c>
      <c r="B16" s="13" t="s">
        <v>261</v>
      </c>
      <c r="C16" s="3" t="s">
        <v>298</v>
      </c>
    </row>
    <row r="17" spans="1:3" ht="17" x14ac:dyDescent="0.2">
      <c r="A17" t="str">
        <f>IF(ISNA(VLOOKUP(B17,Definitions!B$2:B$1820,1,FALSE)),"Not listed","")</f>
        <v/>
      </c>
      <c r="B17" s="13" t="s">
        <v>277</v>
      </c>
      <c r="C17" s="3" t="s">
        <v>298</v>
      </c>
    </row>
    <row r="18" spans="1:3" ht="17" x14ac:dyDescent="0.2">
      <c r="A18" s="22" t="str">
        <f>IF(ISNA(VLOOKUP(B18,Definitions!B$2:B$1820,1,FALSE)),"Not listed","")</f>
        <v/>
      </c>
      <c r="B18" s="18" t="s">
        <v>246</v>
      </c>
      <c r="C18" s="3" t="s">
        <v>299</v>
      </c>
    </row>
    <row r="19" spans="1:3" ht="17" x14ac:dyDescent="0.2">
      <c r="A19" s="22" t="str">
        <f>IF(ISNA(VLOOKUP(B19,Definitions!B$2:B$1820,1,FALSE)),"Not listed","")</f>
        <v/>
      </c>
      <c r="B19" s="18" t="s">
        <v>247</v>
      </c>
      <c r="C19" s="3" t="s">
        <v>299</v>
      </c>
    </row>
    <row r="20" spans="1:3" ht="17" x14ac:dyDescent="0.2">
      <c r="A20" s="22" t="str">
        <f>IF(ISNA(VLOOKUP(B20,Definitions!B$2:B$1820,1,FALSE)),"Not listed","")</f>
        <v/>
      </c>
      <c r="B20" s="18" t="s">
        <v>251</v>
      </c>
      <c r="C20" s="3" t="s">
        <v>299</v>
      </c>
    </row>
    <row r="21" spans="1:3" ht="17" x14ac:dyDescent="0.2">
      <c r="A21" s="22" t="str">
        <f>IF(ISNA(VLOOKUP(B21,Definitions!B$2:B$1820,1,FALSE)),"Not listed","")</f>
        <v/>
      </c>
      <c r="B21" s="18" t="s">
        <v>258</v>
      </c>
      <c r="C21" s="3" t="s">
        <v>299</v>
      </c>
    </row>
  </sheetData>
  <sortState xmlns:xlrd2="http://schemas.microsoft.com/office/spreadsheetml/2017/richdata2" ref="A2:C2">
    <sortCondition ref="C2"/>
    <sortCondition ref="A2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295E2-AB35-E24B-99C3-70BA9A932410}"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 x14ac:dyDescent="0.2"/>
  <cols>
    <col min="1" max="1" width="6.83203125" customWidth="1"/>
    <col min="2" max="2" width="31.6640625" customWidth="1"/>
    <col min="3" max="3" width="86.1640625" style="3" customWidth="1"/>
    <col min="4" max="4" width="93" customWidth="1"/>
  </cols>
  <sheetData>
    <row r="1" spans="1:4" s="6" customFormat="1" x14ac:dyDescent="0.2">
      <c r="A1" s="4" t="s">
        <v>13</v>
      </c>
      <c r="B1" s="4" t="s">
        <v>205</v>
      </c>
      <c r="C1" s="5" t="s">
        <v>8</v>
      </c>
      <c r="D1" s="6" t="s">
        <v>212</v>
      </c>
    </row>
    <row r="2" spans="1:4" x14ac:dyDescent="0.2">
      <c r="A2" t="str">
        <f>IF(ISNA(VLOOKUP(B2,Definitions!B$2:B$1820,1,FALSE)),"Not listed","")</f>
        <v>Not listed</v>
      </c>
      <c r="B2" t="s">
        <v>211</v>
      </c>
      <c r="C2" s="3" t="s">
        <v>213</v>
      </c>
      <c r="D2" t="s">
        <v>214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8"/>
  <sheetViews>
    <sheetView topLeftCell="A164" zoomScale="130" zoomScaleNormal="130" workbookViewId="0">
      <selection activeCell="E174" sqref="E174"/>
    </sheetView>
  </sheetViews>
  <sheetFormatPr baseColWidth="10" defaultColWidth="11" defaultRowHeight="16" x14ac:dyDescent="0.2"/>
  <cols>
    <col min="2" max="2" width="21.1640625" customWidth="1"/>
    <col min="3" max="3" width="54.1640625" customWidth="1"/>
    <col min="4" max="4" width="39" customWidth="1"/>
  </cols>
  <sheetData>
    <row r="1" spans="1:4" x14ac:dyDescent="0.2">
      <c r="A1" t="s">
        <v>165</v>
      </c>
      <c r="B1" t="s">
        <v>207</v>
      </c>
      <c r="C1" t="s">
        <v>206</v>
      </c>
      <c r="D1" t="s">
        <v>223</v>
      </c>
    </row>
    <row r="2" spans="1:4" x14ac:dyDescent="0.2">
      <c r="B2" t="s">
        <v>179</v>
      </c>
      <c r="C2" t="s">
        <v>26</v>
      </c>
    </row>
    <row r="3" spans="1:4" x14ac:dyDescent="0.2">
      <c r="B3" t="s">
        <v>175</v>
      </c>
      <c r="C3" t="s">
        <v>224</v>
      </c>
    </row>
    <row r="4" spans="1:4" x14ac:dyDescent="0.2">
      <c r="B4" s="7" t="s">
        <v>174</v>
      </c>
      <c r="C4" t="s">
        <v>27</v>
      </c>
    </row>
    <row r="5" spans="1:4" x14ac:dyDescent="0.2">
      <c r="B5" s="7" t="s">
        <v>189</v>
      </c>
      <c r="C5" t="s">
        <v>28</v>
      </c>
    </row>
    <row r="6" spans="1:4" x14ac:dyDescent="0.2">
      <c r="B6" t="s">
        <v>168</v>
      </c>
      <c r="C6" t="s">
        <v>29</v>
      </c>
    </row>
    <row r="7" spans="1:4" x14ac:dyDescent="0.2">
      <c r="B7" t="s">
        <v>167</v>
      </c>
      <c r="C7" t="s">
        <v>216</v>
      </c>
      <c r="D7" t="s">
        <v>217</v>
      </c>
    </row>
    <row r="8" spans="1:4" x14ac:dyDescent="0.2">
      <c r="B8" t="s">
        <v>178</v>
      </c>
      <c r="C8" t="s">
        <v>30</v>
      </c>
    </row>
    <row r="9" spans="1:4" x14ac:dyDescent="0.2">
      <c r="B9" s="7" t="s">
        <v>1</v>
      </c>
      <c r="C9" t="s">
        <v>225</v>
      </c>
    </row>
    <row r="10" spans="1:4" x14ac:dyDescent="0.2">
      <c r="B10" t="s">
        <v>166</v>
      </c>
      <c r="C10" t="s">
        <v>31</v>
      </c>
    </row>
    <row r="11" spans="1:4" x14ac:dyDescent="0.2">
      <c r="B11" s="7" t="s">
        <v>177</v>
      </c>
      <c r="C11" t="s">
        <v>32</v>
      </c>
    </row>
    <row r="12" spans="1:4" x14ac:dyDescent="0.2">
      <c r="B12" t="s">
        <v>172</v>
      </c>
      <c r="C12" t="s">
        <v>33</v>
      </c>
    </row>
    <row r="13" spans="1:4" x14ac:dyDescent="0.2">
      <c r="B13" t="s">
        <v>173</v>
      </c>
      <c r="C13" t="s">
        <v>34</v>
      </c>
    </row>
    <row r="14" spans="1:4" x14ac:dyDescent="0.2">
      <c r="B14" t="s">
        <v>171</v>
      </c>
      <c r="C14" t="s">
        <v>35</v>
      </c>
    </row>
    <row r="15" spans="1:4" x14ac:dyDescent="0.2">
      <c r="B15" t="s">
        <v>170</v>
      </c>
      <c r="C15" t="s">
        <v>194</v>
      </c>
    </row>
    <row r="16" spans="1:4" x14ac:dyDescent="0.2">
      <c r="B16" t="s">
        <v>169</v>
      </c>
      <c r="C16" t="s">
        <v>195</v>
      </c>
    </row>
    <row r="17" spans="2:4" x14ac:dyDescent="0.2">
      <c r="B17" t="s">
        <v>176</v>
      </c>
      <c r="C17" t="s">
        <v>196</v>
      </c>
    </row>
    <row r="18" spans="2:4" x14ac:dyDescent="0.2">
      <c r="B18" t="s">
        <v>180</v>
      </c>
      <c r="C18" t="s">
        <v>36</v>
      </c>
    </row>
    <row r="19" spans="2:4" x14ac:dyDescent="0.2">
      <c r="B19" t="s">
        <v>210</v>
      </c>
      <c r="C19" t="s">
        <v>37</v>
      </c>
    </row>
    <row r="20" spans="2:4" x14ac:dyDescent="0.2">
      <c r="B20" s="7" t="s">
        <v>182</v>
      </c>
      <c r="C20" t="s">
        <v>38</v>
      </c>
    </row>
    <row r="21" spans="2:4" x14ac:dyDescent="0.2">
      <c r="B21" t="s">
        <v>184</v>
      </c>
      <c r="C21" t="s">
        <v>198</v>
      </c>
      <c r="D21" t="s">
        <v>226</v>
      </c>
    </row>
    <row r="22" spans="2:4" x14ac:dyDescent="0.2">
      <c r="B22" t="s">
        <v>183</v>
      </c>
      <c r="C22" t="s">
        <v>39</v>
      </c>
    </row>
    <row r="23" spans="2:4" x14ac:dyDescent="0.2">
      <c r="B23" t="s">
        <v>181</v>
      </c>
      <c r="C23" t="s">
        <v>15</v>
      </c>
    </row>
    <row r="24" spans="2:4" x14ac:dyDescent="0.2">
      <c r="B24" t="s">
        <v>192</v>
      </c>
      <c r="C24" t="s">
        <v>40</v>
      </c>
    </row>
    <row r="25" spans="2:4" x14ac:dyDescent="0.2">
      <c r="B25" t="s">
        <v>186</v>
      </c>
      <c r="C25" t="s">
        <v>41</v>
      </c>
    </row>
    <row r="26" spans="2:4" x14ac:dyDescent="0.2">
      <c r="B26" t="s">
        <v>187</v>
      </c>
      <c r="C26" t="s">
        <v>42</v>
      </c>
    </row>
    <row r="27" spans="2:4" x14ac:dyDescent="0.2">
      <c r="B27" s="7" t="s">
        <v>4</v>
      </c>
      <c r="C27" t="s">
        <v>43</v>
      </c>
    </row>
    <row r="28" spans="2:4" x14ac:dyDescent="0.2">
      <c r="B28" s="7" t="s">
        <v>4</v>
      </c>
      <c r="C28" t="s">
        <v>44</v>
      </c>
    </row>
    <row r="29" spans="2:4" x14ac:dyDescent="0.2">
      <c r="B29" t="s">
        <v>25</v>
      </c>
      <c r="C29" t="s">
        <v>199</v>
      </c>
      <c r="D29" t="s">
        <v>226</v>
      </c>
    </row>
    <row r="30" spans="2:4" x14ac:dyDescent="0.2">
      <c r="B30" t="s">
        <v>193</v>
      </c>
      <c r="C30" t="s">
        <v>45</v>
      </c>
    </row>
    <row r="31" spans="2:4" x14ac:dyDescent="0.2">
      <c r="B31" t="s">
        <v>191</v>
      </c>
      <c r="C31" t="s">
        <v>10</v>
      </c>
    </row>
    <row r="32" spans="2:4" x14ac:dyDescent="0.2">
      <c r="B32" t="s">
        <v>188</v>
      </c>
      <c r="C32" t="s">
        <v>46</v>
      </c>
    </row>
    <row r="33" spans="2:3" x14ac:dyDescent="0.2">
      <c r="B33" t="s">
        <v>185</v>
      </c>
      <c r="C33" t="s">
        <v>47</v>
      </c>
    </row>
    <row r="34" spans="2:3" x14ac:dyDescent="0.2">
      <c r="B34" t="s">
        <v>190</v>
      </c>
      <c r="C34" t="s">
        <v>48</v>
      </c>
    </row>
    <row r="35" spans="2:3" x14ac:dyDescent="0.2">
      <c r="B35" s="7" t="s">
        <v>209</v>
      </c>
      <c r="C35" t="s">
        <v>49</v>
      </c>
    </row>
    <row r="36" spans="2:3" x14ac:dyDescent="0.2">
      <c r="C36" t="s">
        <v>50</v>
      </c>
    </row>
    <row r="37" spans="2:3" x14ac:dyDescent="0.2">
      <c r="C37" t="s">
        <v>51</v>
      </c>
    </row>
    <row r="38" spans="2:3" x14ac:dyDescent="0.2">
      <c r="C38" t="s">
        <v>52</v>
      </c>
    </row>
    <row r="39" spans="2:3" x14ac:dyDescent="0.2">
      <c r="C39" t="s">
        <v>53</v>
      </c>
    </row>
    <row r="40" spans="2:3" x14ac:dyDescent="0.2">
      <c r="C40" t="s">
        <v>16</v>
      </c>
    </row>
    <row r="41" spans="2:3" x14ac:dyDescent="0.2">
      <c r="C41" t="s">
        <v>54</v>
      </c>
    </row>
    <row r="42" spans="2:3" x14ac:dyDescent="0.2">
      <c r="C42" t="s">
        <v>55</v>
      </c>
    </row>
    <row r="43" spans="2:3" x14ac:dyDescent="0.2">
      <c r="C43" t="s">
        <v>56</v>
      </c>
    </row>
    <row r="44" spans="2:3" x14ac:dyDescent="0.2">
      <c r="C44" t="s">
        <v>24</v>
      </c>
    </row>
    <row r="45" spans="2:3" x14ac:dyDescent="0.2">
      <c r="C45" t="s">
        <v>57</v>
      </c>
    </row>
    <row r="46" spans="2:3" x14ac:dyDescent="0.2">
      <c r="C46" t="s">
        <v>58</v>
      </c>
    </row>
    <row r="47" spans="2:3" x14ac:dyDescent="0.2">
      <c r="C47" t="s">
        <v>20</v>
      </c>
    </row>
    <row r="48" spans="2:3" x14ac:dyDescent="0.2">
      <c r="C48" t="s">
        <v>59</v>
      </c>
    </row>
    <row r="49" spans="3:4" x14ac:dyDescent="0.2">
      <c r="C49" t="s">
        <v>60</v>
      </c>
    </row>
    <row r="50" spans="3:4" x14ac:dyDescent="0.2">
      <c r="C50" t="s">
        <v>61</v>
      </c>
    </row>
    <row r="51" spans="3:4" x14ac:dyDescent="0.2">
      <c r="C51" t="s">
        <v>62</v>
      </c>
    </row>
    <row r="52" spans="3:4" x14ac:dyDescent="0.2">
      <c r="C52" t="s">
        <v>63</v>
      </c>
    </row>
    <row r="53" spans="3:4" x14ac:dyDescent="0.2">
      <c r="C53" t="s">
        <v>64</v>
      </c>
    </row>
    <row r="54" spans="3:4" x14ac:dyDescent="0.2">
      <c r="C54" t="s">
        <v>65</v>
      </c>
    </row>
    <row r="55" spans="3:4" x14ac:dyDescent="0.2">
      <c r="C55" t="s">
        <v>227</v>
      </c>
    </row>
    <row r="56" spans="3:4" x14ac:dyDescent="0.2">
      <c r="C56" t="s">
        <v>66</v>
      </c>
    </row>
    <row r="57" spans="3:4" x14ac:dyDescent="0.2">
      <c r="C57" t="s">
        <v>5</v>
      </c>
    </row>
    <row r="58" spans="3:4" x14ac:dyDescent="0.2">
      <c r="C58" t="s">
        <v>67</v>
      </c>
    </row>
    <row r="59" spans="3:4" x14ac:dyDescent="0.2">
      <c r="C59" t="s">
        <v>68</v>
      </c>
    </row>
    <row r="60" spans="3:4" x14ac:dyDescent="0.2">
      <c r="C60" t="s">
        <v>218</v>
      </c>
      <c r="D60" t="s">
        <v>219</v>
      </c>
    </row>
    <row r="61" spans="3:4" x14ac:dyDescent="0.2">
      <c r="C61" t="s">
        <v>18</v>
      </c>
    </row>
    <row r="62" spans="3:4" x14ac:dyDescent="0.2">
      <c r="C62" t="s">
        <v>69</v>
      </c>
    </row>
    <row r="63" spans="3:4" x14ac:dyDescent="0.2">
      <c r="C63" t="s">
        <v>6</v>
      </c>
    </row>
    <row r="64" spans="3:4" x14ac:dyDescent="0.2">
      <c r="C64" t="s">
        <v>70</v>
      </c>
    </row>
    <row r="65" spans="3:4" x14ac:dyDescent="0.2">
      <c r="C65" t="s">
        <v>71</v>
      </c>
    </row>
    <row r="66" spans="3:4" x14ac:dyDescent="0.2">
      <c r="C66" t="s">
        <v>220</v>
      </c>
      <c r="D66" t="s">
        <v>228</v>
      </c>
    </row>
    <row r="67" spans="3:4" x14ac:dyDescent="0.2">
      <c r="C67" t="s">
        <v>72</v>
      </c>
    </row>
    <row r="68" spans="3:4" x14ac:dyDescent="0.2">
      <c r="C68" t="s">
        <v>73</v>
      </c>
    </row>
    <row r="69" spans="3:4" x14ac:dyDescent="0.2">
      <c r="C69" t="s">
        <v>74</v>
      </c>
    </row>
    <row r="70" spans="3:4" x14ac:dyDescent="0.2">
      <c r="C70" t="s">
        <v>75</v>
      </c>
    </row>
    <row r="71" spans="3:4" x14ac:dyDescent="0.2">
      <c r="C71" t="s">
        <v>76</v>
      </c>
    </row>
    <row r="72" spans="3:4" x14ac:dyDescent="0.2">
      <c r="C72" t="s">
        <v>77</v>
      </c>
    </row>
    <row r="73" spans="3:4" x14ac:dyDescent="0.2">
      <c r="C73" t="s">
        <v>78</v>
      </c>
    </row>
    <row r="74" spans="3:4" x14ac:dyDescent="0.2">
      <c r="C74" t="s">
        <v>2</v>
      </c>
    </row>
    <row r="75" spans="3:4" x14ac:dyDescent="0.2">
      <c r="C75" t="s">
        <v>19</v>
      </c>
    </row>
    <row r="76" spans="3:4" x14ac:dyDescent="0.2">
      <c r="C76" t="s">
        <v>79</v>
      </c>
    </row>
    <row r="77" spans="3:4" x14ac:dyDescent="0.2">
      <c r="C77" t="s">
        <v>80</v>
      </c>
    </row>
    <row r="78" spans="3:4" x14ac:dyDescent="0.2">
      <c r="C78" t="s">
        <v>81</v>
      </c>
    </row>
    <row r="79" spans="3:4" x14ac:dyDescent="0.2">
      <c r="C79" t="s">
        <v>23</v>
      </c>
    </row>
    <row r="80" spans="3:4" x14ac:dyDescent="0.2">
      <c r="C80" t="s">
        <v>82</v>
      </c>
    </row>
    <row r="81" spans="3:3" x14ac:dyDescent="0.2">
      <c r="C81" t="s">
        <v>83</v>
      </c>
    </row>
    <row r="82" spans="3:3" x14ac:dyDescent="0.2">
      <c r="C82" t="s">
        <v>84</v>
      </c>
    </row>
    <row r="83" spans="3:3" x14ac:dyDescent="0.2">
      <c r="C83" t="s">
        <v>85</v>
      </c>
    </row>
    <row r="84" spans="3:3" x14ac:dyDescent="0.2">
      <c r="C84" t="s">
        <v>86</v>
      </c>
    </row>
    <row r="85" spans="3:3" x14ac:dyDescent="0.2">
      <c r="C85" t="s">
        <v>87</v>
      </c>
    </row>
    <row r="86" spans="3:3" x14ac:dyDescent="0.2">
      <c r="C86" t="s">
        <v>88</v>
      </c>
    </row>
    <row r="87" spans="3:3" x14ac:dyDescent="0.2">
      <c r="C87" t="s">
        <v>89</v>
      </c>
    </row>
    <row r="88" spans="3:3" x14ac:dyDescent="0.2">
      <c r="C88" t="s">
        <v>90</v>
      </c>
    </row>
    <row r="89" spans="3:3" x14ac:dyDescent="0.2">
      <c r="C89" t="s">
        <v>91</v>
      </c>
    </row>
    <row r="90" spans="3:3" x14ac:dyDescent="0.2">
      <c r="C90" t="s">
        <v>92</v>
      </c>
    </row>
    <row r="91" spans="3:3" x14ac:dyDescent="0.2">
      <c r="C91" t="s">
        <v>93</v>
      </c>
    </row>
    <row r="92" spans="3:3" x14ac:dyDescent="0.2">
      <c r="C92" t="s">
        <v>94</v>
      </c>
    </row>
    <row r="93" spans="3:3" x14ac:dyDescent="0.2">
      <c r="C93" t="s">
        <v>95</v>
      </c>
    </row>
    <row r="94" spans="3:3" x14ac:dyDescent="0.2">
      <c r="C94" t="s">
        <v>96</v>
      </c>
    </row>
    <row r="95" spans="3:3" x14ac:dyDescent="0.2">
      <c r="C95" t="s">
        <v>97</v>
      </c>
    </row>
    <row r="96" spans="3:3" x14ac:dyDescent="0.2">
      <c r="C96" t="s">
        <v>98</v>
      </c>
    </row>
    <row r="97" spans="3:4" x14ac:dyDescent="0.2">
      <c r="C97" t="s">
        <v>99</v>
      </c>
    </row>
    <row r="98" spans="3:4" x14ac:dyDescent="0.2">
      <c r="C98" t="s">
        <v>100</v>
      </c>
    </row>
    <row r="99" spans="3:4" x14ac:dyDescent="0.2">
      <c r="C99" t="s">
        <v>101</v>
      </c>
    </row>
    <row r="100" spans="3:4" x14ac:dyDescent="0.2">
      <c r="C100" t="s">
        <v>102</v>
      </c>
    </row>
    <row r="101" spans="3:4" x14ac:dyDescent="0.2">
      <c r="C101" t="s">
        <v>103</v>
      </c>
    </row>
    <row r="102" spans="3:4" x14ac:dyDescent="0.2">
      <c r="C102" t="s">
        <v>104</v>
      </c>
    </row>
    <row r="103" spans="3:4" x14ac:dyDescent="0.2">
      <c r="C103" t="s">
        <v>105</v>
      </c>
    </row>
    <row r="104" spans="3:4" x14ac:dyDescent="0.2">
      <c r="C104" t="s">
        <v>229</v>
      </c>
    </row>
    <row r="105" spans="3:4" x14ac:dyDescent="0.2">
      <c r="C105" t="s">
        <v>230</v>
      </c>
    </row>
    <row r="106" spans="3:4" x14ac:dyDescent="0.2">
      <c r="C106" t="s">
        <v>17</v>
      </c>
    </row>
    <row r="107" spans="3:4" x14ac:dyDescent="0.2">
      <c r="C107" t="s">
        <v>231</v>
      </c>
    </row>
    <row r="108" spans="3:4" x14ac:dyDescent="0.2">
      <c r="C108" t="s">
        <v>232</v>
      </c>
      <c r="D108" t="s">
        <v>226</v>
      </c>
    </row>
    <row r="109" spans="3:4" x14ac:dyDescent="0.2">
      <c r="C109" t="s">
        <v>233</v>
      </c>
      <c r="D109" t="s">
        <v>226</v>
      </c>
    </row>
    <row r="110" spans="3:4" x14ac:dyDescent="0.2">
      <c r="C110" t="s">
        <v>106</v>
      </c>
    </row>
    <row r="111" spans="3:4" x14ac:dyDescent="0.2">
      <c r="C111" t="s">
        <v>107</v>
      </c>
    </row>
    <row r="112" spans="3:4" x14ac:dyDescent="0.2">
      <c r="C112" t="s">
        <v>108</v>
      </c>
    </row>
    <row r="113" spans="3:3" x14ac:dyDescent="0.2">
      <c r="C113" t="s">
        <v>109</v>
      </c>
    </row>
    <row r="114" spans="3:3" x14ac:dyDescent="0.2">
      <c r="C114" t="s">
        <v>110</v>
      </c>
    </row>
    <row r="115" spans="3:3" x14ac:dyDescent="0.2">
      <c r="C115" t="s">
        <v>111</v>
      </c>
    </row>
    <row r="116" spans="3:3" x14ac:dyDescent="0.2">
      <c r="C116" t="s">
        <v>112</v>
      </c>
    </row>
    <row r="117" spans="3:3" x14ac:dyDescent="0.2">
      <c r="C117" t="s">
        <v>113</v>
      </c>
    </row>
    <row r="118" spans="3:3" x14ac:dyDescent="0.2">
      <c r="C118" t="s">
        <v>114</v>
      </c>
    </row>
    <row r="119" spans="3:3" x14ac:dyDescent="0.2">
      <c r="C119" t="s">
        <v>115</v>
      </c>
    </row>
    <row r="120" spans="3:3" x14ac:dyDescent="0.2">
      <c r="C120" t="s">
        <v>116</v>
      </c>
    </row>
    <row r="121" spans="3:3" x14ac:dyDescent="0.2">
      <c r="C121" t="s">
        <v>117</v>
      </c>
    </row>
    <row r="122" spans="3:3" x14ac:dyDescent="0.2">
      <c r="C122" t="s">
        <v>11</v>
      </c>
    </row>
    <row r="123" spans="3:3" x14ac:dyDescent="0.2">
      <c r="C123" t="s">
        <v>118</v>
      </c>
    </row>
    <row r="124" spans="3:3" x14ac:dyDescent="0.2">
      <c r="C124" t="s">
        <v>119</v>
      </c>
    </row>
    <row r="125" spans="3:3" x14ac:dyDescent="0.2">
      <c r="C125" t="s">
        <v>120</v>
      </c>
    </row>
    <row r="126" spans="3:3" x14ac:dyDescent="0.2">
      <c r="C126" t="s">
        <v>121</v>
      </c>
    </row>
    <row r="127" spans="3:3" x14ac:dyDescent="0.2">
      <c r="C127" t="s">
        <v>122</v>
      </c>
    </row>
    <row r="128" spans="3:3" x14ac:dyDescent="0.2">
      <c r="C128" t="s">
        <v>3</v>
      </c>
    </row>
    <row r="129" spans="3:4" x14ac:dyDescent="0.2">
      <c r="C129" t="s">
        <v>197</v>
      </c>
      <c r="D129" t="s">
        <v>226</v>
      </c>
    </row>
    <row r="130" spans="3:4" x14ac:dyDescent="0.2">
      <c r="C130" t="s">
        <v>123</v>
      </c>
    </row>
    <row r="131" spans="3:4" x14ac:dyDescent="0.2">
      <c r="C131" t="s">
        <v>124</v>
      </c>
    </row>
    <row r="132" spans="3:4" x14ac:dyDescent="0.2">
      <c r="C132" t="s">
        <v>125</v>
      </c>
    </row>
    <row r="133" spans="3:4" x14ac:dyDescent="0.2">
      <c r="C133" t="s">
        <v>234</v>
      </c>
    </row>
    <row r="134" spans="3:4" x14ac:dyDescent="0.2">
      <c r="C134" t="s">
        <v>126</v>
      </c>
    </row>
    <row r="135" spans="3:4" x14ac:dyDescent="0.2">
      <c r="C135" t="s">
        <v>127</v>
      </c>
    </row>
    <row r="136" spans="3:4" x14ac:dyDescent="0.2">
      <c r="C136" t="s">
        <v>128</v>
      </c>
    </row>
    <row r="137" spans="3:4" x14ac:dyDescent="0.2">
      <c r="C137" t="s">
        <v>129</v>
      </c>
    </row>
    <row r="138" spans="3:4" x14ac:dyDescent="0.2">
      <c r="C138" t="s">
        <v>130</v>
      </c>
    </row>
    <row r="139" spans="3:4" x14ac:dyDescent="0.2">
      <c r="C139" t="s">
        <v>131</v>
      </c>
    </row>
    <row r="140" spans="3:4" x14ac:dyDescent="0.2">
      <c r="C140" t="s">
        <v>132</v>
      </c>
    </row>
    <row r="141" spans="3:4" x14ac:dyDescent="0.2">
      <c r="C141" t="s">
        <v>133</v>
      </c>
    </row>
    <row r="142" spans="3:4" x14ac:dyDescent="0.2">
      <c r="C142" t="s">
        <v>134</v>
      </c>
    </row>
    <row r="143" spans="3:4" x14ac:dyDescent="0.2">
      <c r="C143" t="s">
        <v>235</v>
      </c>
    </row>
    <row r="144" spans="3:4" x14ac:dyDescent="0.2">
      <c r="C144" t="s">
        <v>135</v>
      </c>
    </row>
    <row r="145" spans="3:4" x14ac:dyDescent="0.2">
      <c r="C145" t="s">
        <v>136</v>
      </c>
    </row>
    <row r="146" spans="3:4" x14ac:dyDescent="0.2">
      <c r="C146" t="s">
        <v>137</v>
      </c>
    </row>
    <row r="147" spans="3:4" x14ac:dyDescent="0.2">
      <c r="C147" t="s">
        <v>221</v>
      </c>
      <c r="D147" t="s">
        <v>222</v>
      </c>
    </row>
    <row r="148" spans="3:4" x14ac:dyDescent="0.2">
      <c r="C148" t="s">
        <v>138</v>
      </c>
    </row>
    <row r="149" spans="3:4" x14ac:dyDescent="0.2">
      <c r="C149" t="s">
        <v>139</v>
      </c>
    </row>
    <row r="150" spans="3:4" x14ac:dyDescent="0.2">
      <c r="C150" t="s">
        <v>140</v>
      </c>
    </row>
    <row r="151" spans="3:4" x14ac:dyDescent="0.2">
      <c r="C151" t="s">
        <v>141</v>
      </c>
    </row>
    <row r="152" spans="3:4" x14ac:dyDescent="0.2">
      <c r="C152" t="s">
        <v>142</v>
      </c>
    </row>
    <row r="153" spans="3:4" x14ac:dyDescent="0.2">
      <c r="C153" t="s">
        <v>143</v>
      </c>
    </row>
    <row r="154" spans="3:4" x14ac:dyDescent="0.2">
      <c r="C154" t="s">
        <v>144</v>
      </c>
    </row>
    <row r="155" spans="3:4" x14ac:dyDescent="0.2">
      <c r="C155" t="s">
        <v>145</v>
      </c>
    </row>
    <row r="156" spans="3:4" x14ac:dyDescent="0.2">
      <c r="C156" t="s">
        <v>146</v>
      </c>
    </row>
    <row r="157" spans="3:4" x14ac:dyDescent="0.2">
      <c r="C157" t="s">
        <v>147</v>
      </c>
    </row>
    <row r="158" spans="3:4" x14ac:dyDescent="0.2">
      <c r="C158" t="s">
        <v>148</v>
      </c>
    </row>
    <row r="159" spans="3:4" x14ac:dyDescent="0.2">
      <c r="C159" t="s">
        <v>149</v>
      </c>
    </row>
    <row r="160" spans="3:4" x14ac:dyDescent="0.2">
      <c r="C160" t="s">
        <v>150</v>
      </c>
    </row>
    <row r="161" spans="3:4" x14ac:dyDescent="0.2">
      <c r="C161" t="s">
        <v>151</v>
      </c>
    </row>
    <row r="162" spans="3:4" x14ac:dyDescent="0.2">
      <c r="C162" t="s">
        <v>22</v>
      </c>
    </row>
    <row r="163" spans="3:4" x14ac:dyDescent="0.2">
      <c r="C163" t="s">
        <v>200</v>
      </c>
      <c r="D163" t="s">
        <v>226</v>
      </c>
    </row>
    <row r="164" spans="3:4" x14ac:dyDescent="0.2">
      <c r="C164" t="s">
        <v>25</v>
      </c>
    </row>
    <row r="165" spans="3:4" x14ac:dyDescent="0.2">
      <c r="C165" t="s">
        <v>21</v>
      </c>
    </row>
    <row r="166" spans="3:4" x14ac:dyDescent="0.2">
      <c r="C166" t="s">
        <v>152</v>
      </c>
    </row>
    <row r="167" spans="3:4" x14ac:dyDescent="0.2">
      <c r="C167" t="s">
        <v>153</v>
      </c>
    </row>
    <row r="168" spans="3:4" x14ac:dyDescent="0.2">
      <c r="C168" t="s">
        <v>154</v>
      </c>
    </row>
    <row r="169" spans="3:4" x14ac:dyDescent="0.2">
      <c r="C169" t="s">
        <v>155</v>
      </c>
    </row>
    <row r="170" spans="3:4" x14ac:dyDescent="0.2">
      <c r="C170" t="s">
        <v>156</v>
      </c>
    </row>
    <row r="171" spans="3:4" x14ac:dyDescent="0.2">
      <c r="C171" t="s">
        <v>157</v>
      </c>
    </row>
    <row r="172" spans="3:4" x14ac:dyDescent="0.2">
      <c r="C172" t="s">
        <v>158</v>
      </c>
    </row>
    <row r="173" spans="3:4" x14ac:dyDescent="0.2">
      <c r="C173" t="s">
        <v>159</v>
      </c>
    </row>
    <row r="174" spans="3:4" x14ac:dyDescent="0.2">
      <c r="C174" t="s">
        <v>160</v>
      </c>
    </row>
    <row r="175" spans="3:4" x14ac:dyDescent="0.2">
      <c r="C175" t="s">
        <v>161</v>
      </c>
    </row>
    <row r="176" spans="3:4" x14ac:dyDescent="0.2">
      <c r="C176" t="s">
        <v>162</v>
      </c>
    </row>
    <row r="177" spans="3:4" x14ac:dyDescent="0.2">
      <c r="C177" t="s">
        <v>236</v>
      </c>
    </row>
    <row r="178" spans="3:4" x14ac:dyDescent="0.2">
      <c r="C178" t="s">
        <v>237</v>
      </c>
    </row>
    <row r="179" spans="3:4" x14ac:dyDescent="0.2">
      <c r="C179" t="s">
        <v>238</v>
      </c>
    </row>
    <row r="180" spans="3:4" x14ac:dyDescent="0.2">
      <c r="C180" t="s">
        <v>239</v>
      </c>
    </row>
    <row r="181" spans="3:4" x14ac:dyDescent="0.2">
      <c r="C181" t="s">
        <v>240</v>
      </c>
    </row>
    <row r="182" spans="3:4" x14ac:dyDescent="0.2">
      <c r="C182" t="s">
        <v>241</v>
      </c>
    </row>
    <row r="183" spans="3:4" x14ac:dyDescent="0.2">
      <c r="C183" t="s">
        <v>242</v>
      </c>
    </row>
    <row r="184" spans="3:4" x14ac:dyDescent="0.2">
      <c r="C184" t="s">
        <v>12</v>
      </c>
    </row>
    <row r="185" spans="3:4" x14ac:dyDescent="0.2">
      <c r="C185" t="s">
        <v>163</v>
      </c>
    </row>
    <row r="186" spans="3:4" x14ac:dyDescent="0.2">
      <c r="C186" t="s">
        <v>164</v>
      </c>
    </row>
    <row r="187" spans="3:4" x14ac:dyDescent="0.2">
      <c r="C187" t="s">
        <v>243</v>
      </c>
      <c r="D187" t="s">
        <v>244</v>
      </c>
    </row>
    <row r="188" spans="3:4" x14ac:dyDescent="0.2">
      <c r="C188" t="s">
        <v>245</v>
      </c>
      <c r="D188" t="s">
        <v>244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DictionaryName</vt:lpstr>
      <vt:lpstr>Definitions</vt:lpstr>
      <vt:lpstr>AssociatedElements</vt:lpstr>
      <vt:lpstr>AlternateNames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Ponti, Daniel J</cp:lastModifiedBy>
  <dcterms:created xsi:type="dcterms:W3CDTF">2018-10-28T20:07:54Z</dcterms:created>
  <dcterms:modified xsi:type="dcterms:W3CDTF">2026-01-19T06:45:39Z</dcterms:modified>
</cp:coreProperties>
</file>