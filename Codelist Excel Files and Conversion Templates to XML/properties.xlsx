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327A5682-C449-DD43-8FB4-47B7F498E61A}" xr6:coauthVersionLast="47" xr6:coauthVersionMax="47" xr10:uidLastSave="{00000000-0000-0000-0000-000000000000}"/>
  <bookViews>
    <workbookView xWindow="10020" yWindow="2560" windowWidth="35840" windowHeight="20700" tabRatio="500" activeTab="1" xr2:uid="{00000000-000D-0000-FFFF-FFFF00000000}"/>
  </bookViews>
  <sheets>
    <sheet name="DictionaryName" sheetId="1" r:id="rId1"/>
    <sheet name="Definitions" sheetId="2" r:id="rId2"/>
    <sheet name="AssociatedElements" sheetId="3" r:id="rId3"/>
    <sheet name="Lists"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5" i="3" l="1"/>
  <c r="A316" i="3"/>
  <c r="A317" i="3"/>
  <c r="A318" i="3"/>
  <c r="A319" i="3"/>
  <c r="A320" i="3"/>
  <c r="A321" i="3"/>
  <c r="A322" i="3"/>
  <c r="A323" i="3"/>
  <c r="A324" i="3"/>
  <c r="A325" i="3"/>
  <c r="A326" i="3"/>
  <c r="A327" i="3"/>
  <c r="A328" i="3"/>
  <c r="A329" i="3"/>
  <c r="A330" i="3"/>
  <c r="A331" i="3"/>
  <c r="A332" i="3"/>
  <c r="A333" i="3"/>
  <c r="A334" i="3"/>
  <c r="A335" i="3"/>
  <c r="A336"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E188" i="4"/>
  <c r="E187" i="4"/>
  <c r="F186" i="4"/>
  <c r="E186" i="4"/>
  <c r="F185" i="4"/>
  <c r="E185" i="4"/>
  <c r="F184" i="4"/>
  <c r="E184" i="4"/>
  <c r="F183" i="4"/>
  <c r="E183" i="4"/>
  <c r="F182" i="4"/>
  <c r="E182" i="4"/>
  <c r="F181" i="4"/>
  <c r="E181" i="4"/>
  <c r="F180" i="4"/>
  <c r="E180" i="4"/>
  <c r="F179" i="4"/>
  <c r="E179" i="4"/>
  <c r="F178" i="4"/>
  <c r="E178" i="4"/>
  <c r="F177" i="4"/>
  <c r="E177" i="4"/>
  <c r="F176" i="4"/>
  <c r="E176" i="4"/>
  <c r="F175" i="4"/>
  <c r="E175" i="4"/>
  <c r="F174" i="4"/>
  <c r="E174" i="4"/>
  <c r="F173" i="4"/>
  <c r="E173" i="4"/>
  <c r="F172" i="4"/>
  <c r="E172" i="4"/>
  <c r="F171" i="4"/>
  <c r="E171" i="4"/>
  <c r="F170" i="4"/>
  <c r="E170" i="4"/>
  <c r="F169" i="4"/>
  <c r="E169" i="4"/>
  <c r="F168" i="4"/>
  <c r="E168" i="4"/>
  <c r="F167" i="4"/>
  <c r="E167" i="4"/>
  <c r="F166" i="4"/>
  <c r="E166" i="4"/>
  <c r="F165" i="4"/>
  <c r="E165" i="4"/>
  <c r="F164" i="4"/>
  <c r="E164" i="4"/>
  <c r="F163" i="4"/>
  <c r="E163" i="4"/>
  <c r="F162" i="4"/>
  <c r="E162" i="4"/>
  <c r="F161" i="4"/>
  <c r="E161" i="4"/>
  <c r="F160" i="4"/>
  <c r="E160" i="4"/>
  <c r="F159" i="4"/>
  <c r="E159" i="4"/>
  <c r="F158" i="4"/>
  <c r="E158" i="4"/>
  <c r="F157" i="4"/>
  <c r="E157" i="4"/>
  <c r="F156" i="4"/>
  <c r="E156" i="4"/>
  <c r="F155" i="4"/>
  <c r="E155" i="4"/>
  <c r="F154" i="4"/>
  <c r="E154" i="4"/>
  <c r="F153" i="4"/>
  <c r="E153" i="4"/>
  <c r="F152" i="4"/>
  <c r="E152" i="4"/>
  <c r="F151" i="4"/>
  <c r="E151" i="4"/>
  <c r="F150" i="4"/>
  <c r="E150" i="4"/>
  <c r="F149" i="4"/>
  <c r="E149" i="4"/>
  <c r="F148" i="4"/>
  <c r="E148" i="4"/>
  <c r="F147" i="4"/>
  <c r="E147" i="4"/>
  <c r="F146" i="4"/>
  <c r="E146" i="4"/>
  <c r="F145" i="4"/>
  <c r="E145" i="4"/>
  <c r="F144" i="4"/>
  <c r="E144" i="4"/>
  <c r="F143" i="4"/>
  <c r="E143" i="4"/>
  <c r="F142" i="4"/>
  <c r="E142" i="4"/>
  <c r="F141" i="4"/>
  <c r="E141" i="4"/>
  <c r="F140" i="4"/>
  <c r="E140" i="4"/>
  <c r="F139" i="4"/>
  <c r="E139" i="4"/>
  <c r="F138" i="4"/>
  <c r="E138" i="4"/>
  <c r="F137" i="4"/>
  <c r="E137" i="4"/>
  <c r="F136" i="4"/>
  <c r="E136" i="4"/>
  <c r="F135" i="4"/>
  <c r="E135" i="4"/>
  <c r="F134" i="4"/>
  <c r="E134" i="4"/>
  <c r="F133" i="4"/>
  <c r="E133" i="4"/>
  <c r="F132" i="4"/>
  <c r="E132" i="4"/>
  <c r="F131" i="4"/>
  <c r="E131" i="4"/>
  <c r="F130" i="4"/>
  <c r="E130" i="4"/>
  <c r="F129" i="4"/>
  <c r="E129" i="4"/>
  <c r="F128" i="4"/>
  <c r="E128" i="4"/>
  <c r="F127" i="4"/>
  <c r="E127" i="4"/>
  <c r="F126" i="4"/>
  <c r="E126" i="4"/>
  <c r="F125" i="4"/>
  <c r="E125" i="4"/>
  <c r="F124" i="4"/>
  <c r="E124" i="4"/>
  <c r="F123" i="4"/>
  <c r="E123" i="4"/>
  <c r="F122" i="4"/>
  <c r="E122" i="4"/>
  <c r="F121" i="4"/>
  <c r="E121" i="4"/>
  <c r="F120" i="4"/>
  <c r="E120" i="4"/>
  <c r="F119" i="4"/>
  <c r="E119" i="4"/>
  <c r="F118" i="4"/>
  <c r="E118" i="4"/>
  <c r="F117" i="4"/>
  <c r="E117" i="4"/>
  <c r="F116" i="4"/>
  <c r="E116" i="4"/>
  <c r="F115" i="4"/>
  <c r="E115" i="4"/>
  <c r="F114" i="4"/>
  <c r="E114" i="4"/>
  <c r="F113" i="4"/>
  <c r="E113" i="4"/>
  <c r="F112" i="4"/>
  <c r="E112" i="4"/>
  <c r="F111" i="4"/>
  <c r="E111" i="4"/>
  <c r="F110" i="4"/>
  <c r="E110" i="4"/>
  <c r="F109" i="4"/>
  <c r="E109" i="4"/>
  <c r="F108" i="4"/>
  <c r="E108" i="4"/>
  <c r="F107" i="4"/>
  <c r="E107" i="4"/>
  <c r="F106" i="4"/>
  <c r="E106" i="4"/>
  <c r="F105" i="4"/>
  <c r="E105" i="4"/>
  <c r="F104" i="4"/>
  <c r="E104" i="4"/>
  <c r="F103" i="4"/>
  <c r="E103" i="4"/>
  <c r="F102" i="4"/>
  <c r="E102" i="4"/>
  <c r="F101" i="4"/>
  <c r="E101" i="4"/>
  <c r="F100" i="4"/>
  <c r="E100" i="4"/>
  <c r="F99" i="4"/>
  <c r="E99" i="4"/>
  <c r="F98" i="4"/>
  <c r="E98" i="4"/>
  <c r="F97" i="4"/>
  <c r="E97" i="4"/>
  <c r="F96" i="4"/>
  <c r="E96" i="4"/>
  <c r="F95" i="4"/>
  <c r="E95" i="4"/>
  <c r="F94" i="4"/>
  <c r="E94" i="4"/>
  <c r="F93" i="4"/>
  <c r="E93" i="4"/>
  <c r="F92" i="4"/>
  <c r="E92" i="4"/>
  <c r="F91" i="4"/>
  <c r="E91" i="4"/>
  <c r="F90" i="4"/>
  <c r="E90" i="4"/>
  <c r="F89" i="4"/>
  <c r="E89" i="4"/>
  <c r="F88" i="4"/>
  <c r="E88" i="4"/>
  <c r="F87" i="4"/>
  <c r="E87" i="4"/>
  <c r="F86" i="4"/>
  <c r="E86" i="4"/>
  <c r="F85" i="4"/>
  <c r="E85" i="4"/>
  <c r="F84" i="4"/>
  <c r="E84" i="4"/>
  <c r="F83" i="4"/>
  <c r="E83" i="4"/>
  <c r="F82" i="4"/>
  <c r="E82" i="4"/>
  <c r="F81" i="4"/>
  <c r="E81" i="4"/>
  <c r="F80" i="4"/>
  <c r="E80" i="4"/>
  <c r="F79" i="4"/>
  <c r="E79" i="4"/>
  <c r="F78" i="4"/>
  <c r="E78" i="4"/>
  <c r="F77" i="4"/>
  <c r="E77" i="4"/>
  <c r="F76" i="4"/>
  <c r="E76" i="4"/>
  <c r="F75" i="4"/>
  <c r="E75" i="4"/>
  <c r="F74" i="4"/>
  <c r="E74" i="4"/>
  <c r="F73" i="4"/>
  <c r="E73" i="4"/>
  <c r="F72" i="4"/>
  <c r="E72" i="4"/>
  <c r="F71" i="4"/>
  <c r="E71" i="4"/>
  <c r="F70" i="4"/>
  <c r="E70" i="4"/>
  <c r="F69" i="4"/>
  <c r="E69" i="4"/>
  <c r="F68" i="4"/>
  <c r="E68" i="4"/>
  <c r="F67" i="4"/>
  <c r="E67" i="4"/>
  <c r="F66" i="4"/>
  <c r="E66" i="4"/>
  <c r="F65" i="4"/>
  <c r="E65" i="4"/>
  <c r="F64" i="4"/>
  <c r="E64" i="4"/>
  <c r="F63" i="4"/>
  <c r="E63" i="4"/>
  <c r="F62" i="4"/>
  <c r="E62" i="4"/>
  <c r="F61" i="4"/>
  <c r="E61" i="4"/>
  <c r="F60" i="4"/>
  <c r="E60" i="4"/>
  <c r="F59" i="4"/>
  <c r="E59" i="4"/>
  <c r="F58" i="4"/>
  <c r="E58" i="4"/>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2" i="2"/>
</calcChain>
</file>

<file path=xl/sharedStrings.xml><?xml version="1.0" encoding="utf-8"?>
<sst xmlns="http://schemas.openxmlformats.org/spreadsheetml/2006/main" count="2473" uniqueCount="968">
  <si>
    <t>Start</t>
  </si>
  <si>
    <t>ID</t>
  </si>
  <si>
    <t>Name</t>
  </si>
  <si>
    <t>Description</t>
  </si>
  <si>
    <t>DataType</t>
  </si>
  <si>
    <t>QuantityClass</t>
  </si>
  <si>
    <t>Authority</t>
  </si>
  <si>
    <t>Reference</t>
  </si>
  <si>
    <t>SLD Comment</t>
  </si>
  <si>
    <t>SLD Changed</t>
  </si>
  <si>
    <t>a_pressure</t>
  </si>
  <si>
    <t>A-Pressure</t>
  </si>
  <si>
    <t xml:space="preserve">The gauge gas pressure against the inside of the membrane when the center of the membrane has lifted above its support and moved laterally 0.05-mm (tolerance +0.02, -0.00 mm) into the soil surrounding the blade. </t>
  </si>
  <si>
    <t>double</t>
  </si>
  <si>
    <t>pressure</t>
  </si>
  <si>
    <t>aashto_group_index</t>
  </si>
  <si>
    <t>AASHTO Group Index</t>
  </si>
  <si>
    <t>The value of the AASHTO group index (GI) as defined by: GI= (F–35)[0.2+0.005(LL– 40)}+(F–15)(PI–10) where F is the percentage passing the 75 μm (0.075 mm) sieve, expressed as a whole number, LL is the liquid limit and PI is the plasticity index.</t>
  </si>
  <si>
    <t>string</t>
  </si>
  <si>
    <t>aashto_symbol</t>
  </si>
  <si>
    <t>AASHTO Symbol</t>
  </si>
  <si>
    <t>The group or appropriate subgroup classification as defined by AASHTO M145-91</t>
  </si>
  <si>
    <t>aggregate_abrasion_value</t>
  </si>
  <si>
    <t>Aggregate Abrasion Value</t>
  </si>
  <si>
    <t xml:space="preserve"> A measure of the resistance of aggregate to surface wear by abrasion.</t>
  </si>
  <si>
    <t>aggregate_crushing_value</t>
  </si>
  <si>
    <t>Aggregate Crushing Value</t>
  </si>
  <si>
    <t xml:space="preserve"> A relative measure of the resistance of an aggregate to crushing under a gradually applied compressive load.</t>
  </si>
  <si>
    <t>aggregate_elongation_index</t>
  </si>
  <si>
    <t>Aggregate Elongation Index</t>
  </si>
  <si>
    <t xml:space="preserve"> The ratio, (by weight) of particles whose greatest dimension (length) is 1.8 times their mean dimension to the total weight of the sample.</t>
  </si>
  <si>
    <t>aggregate_flakiness_index</t>
  </si>
  <si>
    <t>Aggregate Flakiness Index</t>
  </si>
  <si>
    <t>Percentage (by weight) of aggregate particles whose least dimension is less than 0.6 times their mean size, to the total sample weight.</t>
  </si>
  <si>
    <t>force per force</t>
  </si>
  <si>
    <t>x</t>
  </si>
  <si>
    <t>aggregate_impact_value</t>
  </si>
  <si>
    <t>Aggregate Impact Value</t>
  </si>
  <si>
    <t xml:space="preserve"> The resistance to impact of aggregates and is measured as the fraction  of aggregates passing to the total weight of the sample.</t>
  </si>
  <si>
    <t>aggregate_LA_abrasion_loss</t>
  </si>
  <si>
    <t>Aggregate Los Angeles Abrasion Loss</t>
  </si>
  <si>
    <t xml:space="preserve"> The actual measured loss (difference between the original weight and the final weight of the test sample), expressed as a percentage of the original weight of the test sample.</t>
  </si>
  <si>
    <t>aggregate_la_coefficient</t>
  </si>
  <si>
    <t>Aggregate Los Angeles Coefficient</t>
  </si>
  <si>
    <t xml:space="preserve"> The loss (difference between the original weight and the final weight of the test sample), expressed as an integer.</t>
  </si>
  <si>
    <t>integer</t>
  </si>
  <si>
    <t>aggregate_la_wear_ratio</t>
  </si>
  <si>
    <t>Aggregate Los Angeles Wear Ratio</t>
  </si>
  <si>
    <t xml:space="preserve"> The actual measured loss (difference between the original weight and the final weight of the test sample), expressed as an integer ratio of the original weight of the test sample. </t>
  </si>
  <si>
    <t>aggregate_polished_stone_value</t>
  </si>
  <si>
    <t>Aggregate Polished Stone Value</t>
  </si>
  <si>
    <t xml:space="preserve"> A measure of the resistance of an aggregate to polishing.</t>
  </si>
  <si>
    <t>aggregate_soundness_value</t>
  </si>
  <si>
    <t>Aggregate Soundness Value</t>
  </si>
  <si>
    <t xml:space="preserve">The amount of mass  ost by degradation as determined by sieving and weighing the samples after the test cycles. </t>
  </si>
  <si>
    <t>aggregate_water_absorption</t>
  </si>
  <si>
    <t>Aggregate Water Absorption</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</si>
  <si>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</si>
  <si>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b_pressure</t>
  </si>
  <si>
    <t>B-Pressure</t>
  </si>
  <si>
    <t xml:space="preserve"> The gauge gas pressure against the inside of the membrane when the center of the membrane has lifted above its support and moved laterally 1.10-mm (60.03 mm) into the soil surrounding the blade.</t>
  </si>
  <si>
    <t>bleed</t>
  </si>
  <si>
    <t>Bleed</t>
  </si>
  <si>
    <t xml:space="preserve"> The volume of clear water in a grout cylinder resulting from grout sedimentation, reported as a percentage of initial total column height.</t>
  </si>
  <si>
    <t>length per length</t>
  </si>
  <si>
    <t>blow_count</t>
  </si>
  <si>
    <t>Blow Count</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</si>
  <si>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</si>
  <si>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dimensionless</t>
  </si>
  <si>
    <t>bulk_density</t>
  </si>
  <si>
    <t>Density, Bulk (Natural)</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</si>
  <si>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</si>
  <si>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force or mass per volume</t>
  </si>
  <si>
    <t>c_pressure</t>
  </si>
  <si>
    <t>C-Pressure</t>
  </si>
  <si>
    <t xml:space="preserve"> The gauge gas pressure against the inside of the membrane when the center of the membrane returns to the A-pressure position during a controlled, gradual deflation following the B-pressure.</t>
  </si>
  <si>
    <t>cbr_0.1</t>
  </si>
  <si>
    <t>Corrected Cbr At 0.100 in Penetration</t>
  </si>
  <si>
    <t xml:space="preserve"> California Bearing Ratio is the ratio, expressed as a percentage, of the measured pressure for site soils at a penetration of 0.100 in divided by pressure to achieve equal penetration on a standard soil.</t>
  </si>
  <si>
    <t>cbr_0.2</t>
  </si>
  <si>
    <t>Corrected Cbr At 0.200 In Penetration</t>
  </si>
  <si>
    <t xml:space="preserve"> California Bearing Ratio is the ratio, expressed as a percentage, of the measured pressure for site soils at a penetration of 0.200 in divided by pressure to achieve equal penetration on a standard soil.</t>
  </si>
  <si>
    <t>chalk_crushing_value</t>
  </si>
  <si>
    <t>Chalk Crushing Value</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</si>
  <si>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</si>
  <si>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chloride_content</t>
  </si>
  <si>
    <t>Chloride Content</t>
  </si>
  <si>
    <t xml:space="preserve"> Chloride content by lab testing (corrosivity series)</t>
  </si>
  <si>
    <t>amount of substance per amount of substance</t>
  </si>
  <si>
    <t>clay_percent_2_micron</t>
  </si>
  <si>
    <t>Clay Fraction &lt; 2 Micron</t>
  </si>
  <si>
    <t>Represents the total amount of clay sized particles (&lt;2 microns) in a test samples, expressed as a percentage by weight, to the total sample</t>
  </si>
  <si>
    <t>clay_percent_5_micron</t>
  </si>
  <si>
    <t>Clay Fraction &lt; 5 Micron</t>
  </si>
  <si>
    <t>Represents the total amount of clay sized particles (&lt;5 microns) in a test samples, expressed as a percentage by weight, to the total sample</t>
  </si>
  <si>
    <t>coef_consolidation_horiz</t>
  </si>
  <si>
    <t>Coefficient of Horizontal Consolidation (Ch)</t>
  </si>
  <si>
    <t xml:space="preserve"> The horizontal coefficient of consolidation as derived from the dissipation test data from a cone penetration or dilatometer test. </t>
  </si>
  <si>
    <t>area per time</t>
  </si>
  <si>
    <t>coef_consolidation_vertical</t>
  </si>
  <si>
    <t>Coefficient of Vertical Consolidation(Cv)</t>
  </si>
  <si>
    <t xml:space="preserve"> The vertical coefficient of consolidation as derived from a one-dimensional consolidation test in the lab.</t>
  </si>
  <si>
    <t>coef_curvature</t>
  </si>
  <si>
    <t>Coefficient of Curvature</t>
  </si>
  <si>
    <t xml:space="preserve"> A coefficient describing the degree of curvature of the grain size distribution. Defined as (d30)^2/((d60)*(d10))</t>
  </si>
  <si>
    <t>coef_earth_pressure</t>
  </si>
  <si>
    <t>Coefficient of Earth Pressure, In Situ</t>
  </si>
  <si>
    <t xml:space="preserve"> The ratio of horizontal earth pressure to vertical pressure for a sample in the field. </t>
  </si>
  <si>
    <t>coef_permeability</t>
  </si>
  <si>
    <t>Coefficient of Permeability</t>
  </si>
  <si>
    <t xml:space="preserve"> The rate at which water flows through a soil is proportional to the hydraulic gradient and is expressed by Darcy's Law. Also known as the hydraulic conductivity. For lab tests, an average of measured values over several permeation trials.</t>
  </si>
  <si>
    <t>length per time</t>
  </si>
  <si>
    <t>coef_permeability_corrected</t>
  </si>
  <si>
    <t>Coefficient of Permeability, Corrected</t>
  </si>
  <si>
    <t xml:space="preserve"> Coefficient of permeability, corrected to 20 degrees C.</t>
  </si>
  <si>
    <t>coef_permeability_horiz</t>
  </si>
  <si>
    <t>Horizontal Coefficient of Permeability</t>
  </si>
  <si>
    <t xml:space="preserve"> Coefficient of permeability, measuring rate of horizontal flow</t>
  </si>
  <si>
    <t>coef_permeability_vert</t>
  </si>
  <si>
    <t>Vertical Coefficient of Permeability</t>
  </si>
  <si>
    <t xml:space="preserve"> Coefficient of permeability, measuring rate of vertical flow</t>
  </si>
  <si>
    <t>coef_uniformity</t>
  </si>
  <si>
    <t>Coefficient of Uniformity</t>
  </si>
  <si>
    <t xml:space="preserve"> The ratio of D60/D10</t>
  </si>
  <si>
    <t>cohesion_peak</t>
  </si>
  <si>
    <t>Peak Cohesion</t>
  </si>
  <si>
    <t xml:space="preserve"> Shear resistance at zero normal stress ?the portion of the shear strength of a soil indicated by the term c, in Coulomb's equation</t>
  </si>
  <si>
    <t>cohesion_residual</t>
  </si>
  <si>
    <t>Residual Cohesion</t>
  </si>
  <si>
    <t xml:space="preserve"> Shear resistance at zero normal stress at the residual (or large deformation) strength.</t>
  </si>
  <si>
    <t>colloid_percent</t>
  </si>
  <si>
    <t>Colloid Fraction</t>
  </si>
  <si>
    <t xml:space="preserve"> represents the total amount of &lt;1 micron size particles in a test sample, as a percentage of the total sample weight</t>
  </si>
  <si>
    <t>compression_index</t>
  </si>
  <si>
    <t>Compression Index</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</si>
  <si>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</si>
  <si>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compressive_strength_unconfined</t>
  </si>
  <si>
    <t>Unconfined Compressive Strength</t>
  </si>
  <si>
    <t xml:space="preserve"> Result of axial compression test using unconfined compression</t>
  </si>
  <si>
    <t>conductivity</t>
  </si>
  <si>
    <t>Conductivity</t>
  </si>
  <si>
    <t xml:space="preserve"> A measure of the conductive power of a specified material to the flow of an electric current.</t>
  </si>
  <si>
    <t>electric conductivity</t>
  </si>
  <si>
    <t>consistency_index</t>
  </si>
  <si>
    <t>Consistency Index</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</si>
  <si>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</si>
  <si>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constrained_vert_modulus</t>
  </si>
  <si>
    <t>Constrained Modulus, Vertical, Drained</t>
  </si>
  <si>
    <t>Measure of slope of stress-strain curve when specimen is confined. Usually the result from a 1-D consolidation test.</t>
  </si>
  <si>
    <t>d10</t>
  </si>
  <si>
    <t xml:space="preserve">The particle diameter at which 10% of the particles in a soil or granular material sample are finer by weight. </t>
  </si>
  <si>
    <t>length</t>
  </si>
  <si>
    <t>d15</t>
  </si>
  <si>
    <t xml:space="preserve">The particle diameter at which 15% of the particles in a soil or granular material sample are finer by weight. </t>
  </si>
  <si>
    <t>d30</t>
  </si>
  <si>
    <t xml:space="preserve">The particle diameter at which 30% of the particles in a soil or granular material sample are finer by weight. </t>
  </si>
  <si>
    <t>d50</t>
  </si>
  <si>
    <t xml:space="preserve">The particle diameter at which 50% of the particles in a soil or granular material sample are finer by weight. </t>
  </si>
  <si>
    <t>d60</t>
  </si>
  <si>
    <t xml:space="preserve">The particle diameter at which 60% of the particles in a soil or granular material sample are finer by weight. </t>
  </si>
  <si>
    <t>d85</t>
  </si>
  <si>
    <t xml:space="preserve">The particle diameter at which 85% of the particles in a soil or granular material sample are finer by weight. </t>
  </si>
  <si>
    <t>degree_of_saturation</t>
  </si>
  <si>
    <t>Degree of Saturation</t>
  </si>
  <si>
    <t xml:space="preserve"> Volume of water divided by the volume of voids, expressed as a unitless ratio.</t>
  </si>
  <si>
    <t>delay</t>
  </si>
  <si>
    <t>Delay Time</t>
  </si>
  <si>
    <t>Duration of delay before the start of a penetration increment</t>
  </si>
  <si>
    <t>time</t>
  </si>
  <si>
    <t>depth</t>
  </si>
  <si>
    <t>Depth</t>
  </si>
  <si>
    <t>Measured depth of the drill bit from the borehole centerline origin at time of measurement</t>
  </si>
  <si>
    <t>dilation_angle</t>
  </si>
  <si>
    <t>Dilation Angle</t>
  </si>
  <si>
    <t xml:space="preserve"> The diffrence between the observed friction angle of a soil during dilation and the friction angle at zero dilation</t>
  </si>
  <si>
    <t>plane angle</t>
  </si>
  <si>
    <t>dilatometer_modulus</t>
  </si>
  <si>
    <t>Dilatometer Modulus (Ed)</t>
  </si>
  <si>
    <t xml:space="preserve"> Dilatometer modulus (Ed), based on linear elastic theory, and the primary index used in the correlation for the constrained and Young's moduli.</t>
  </si>
  <si>
    <t>dmt_tip_bearing</t>
  </si>
  <si>
    <t>Dilatometer Tip Bearing</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</si>
  <si>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</si>
  <si>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dry_density</t>
  </si>
  <si>
    <t>Density, Dry</t>
  </si>
  <si>
    <t xml:space="preserve"> Weight or mass of solids divided by total volume. This is technically a unit weight not a density, the value can also be reported in true density units.</t>
  </si>
  <si>
    <t>dry_density_max</t>
  </si>
  <si>
    <t>Maximum Dry Density</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</si>
  <si>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</si>
  <si>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effective_stress_vertical</t>
  </si>
  <si>
    <t>Vertical Effective Stress</t>
  </si>
  <si>
    <t xml:space="preserve"> Vertical effective stress at the center of the membrane before the insertion of the DMT blade.</t>
  </si>
  <si>
    <t>elapsed_time</t>
  </si>
  <si>
    <t>Elapsed Time</t>
  </si>
  <si>
    <t>Amount of time since start of a measurement</t>
  </si>
  <si>
    <t>filtrate_volume</t>
  </si>
  <si>
    <t>Filtrate Volume</t>
  </si>
  <si>
    <t xml:space="preserve"> Volume of filtrate extruded in Pressure Filtration test</t>
  </si>
  <si>
    <t>volume per volume</t>
  </si>
  <si>
    <t>flame_ionization_measurement</t>
  </si>
  <si>
    <t>Flame Ionization Measurement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</si>
  <si>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</si>
  <si>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flow_cone_time</t>
  </si>
  <si>
    <t>Flow Cone Time</t>
  </si>
  <si>
    <t xml:space="preserve"> Time for grout specimen to exit flow cone</t>
  </si>
  <si>
    <t>flow_mass_rate</t>
  </si>
  <si>
    <t>Mass Flow Rate</t>
  </si>
  <si>
    <t>The rate of fluid flow, measuredd as mass/time</t>
  </si>
  <si>
    <t>mass per time</t>
  </si>
  <si>
    <t>flow_volume_rate</t>
  </si>
  <si>
    <t>Volume Flow Rate</t>
  </si>
  <si>
    <t>The rate of fluid flow, measuredd as volume/time</t>
  </si>
  <si>
    <t>volume per time</t>
  </si>
  <si>
    <t>friction_angle_cv</t>
  </si>
  <si>
    <t>Critical State Friction Angle</t>
  </si>
  <si>
    <t xml:space="preserve"> Angle of friction at constant volume</t>
  </si>
  <si>
    <t>friction_angle_peak</t>
  </si>
  <si>
    <t>Peak Angle of Internal Friction</t>
  </si>
  <si>
    <t xml:space="preserve"> Measure of frictional resistance of soil. Ratio of shear strength to normal stress.</t>
  </si>
  <si>
    <t>friction_angle_residual</t>
  </si>
  <si>
    <t>Residual Angle of Internal Friction</t>
  </si>
  <si>
    <t xml:space="preserve"> Angle between the axis of normal stress and the tangent to the Mohr envelope at a point representing the failure-stress condition following large deformation</t>
  </si>
  <si>
    <t>friction_ratio</t>
  </si>
  <si>
    <t>Friction Ratio</t>
  </si>
  <si>
    <t xml:space="preserve"> ratio of sleeve resistance to tip resistance</t>
  </si>
  <si>
    <t>frost_heave</t>
  </si>
  <si>
    <t>Frost Heave</t>
  </si>
  <si>
    <t xml:space="preserve"> Test establishes the degree of frost-susceptibility of unbound sub-base and base materials for pavements.</t>
  </si>
  <si>
    <t>gauge_pressure</t>
  </si>
  <si>
    <t>Gauge Pressure</t>
  </si>
  <si>
    <t>Pressure measured with a gauge</t>
  </si>
  <si>
    <t>gel_time</t>
  </si>
  <si>
    <t>Gel Time</t>
  </si>
  <si>
    <t xml:space="preserve"> The time it takes for a chemical grout to gel. If determined by rotational viscometer, this is the value where viscosity reaches 100 mpa*s.</t>
  </si>
  <si>
    <t>HFFD</t>
  </si>
  <si>
    <t xml:space="preserve"> Heavy fuel fluorescence detector value measured by sensor</t>
  </si>
  <si>
    <t>electric potential difference</t>
  </si>
  <si>
    <t>horiz_stress_index</t>
  </si>
  <si>
    <t>Horizontal Stress Index (Kd)</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</si>
  <si>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</si>
  <si>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inclination</t>
  </si>
  <si>
    <t>Inclination</t>
  </si>
  <si>
    <t xml:space="preserve"> Measured inclination angle (vertical = 0 degrees); bearing unspecified or specified as another property</t>
  </si>
  <si>
    <t>inclination_x</t>
  </si>
  <si>
    <t>X Inclination</t>
  </si>
  <si>
    <t xml:space="preserve"> Inclination measured in defined x direction (specified elsewhere)</t>
  </si>
  <si>
    <t>inclination_y</t>
  </si>
  <si>
    <t>Y Inclination</t>
  </si>
  <si>
    <t xml:space="preserve"> Inclination measured in defined y direction (specified elsewhere)</t>
  </si>
  <si>
    <t>insitu_horizontal_stress</t>
  </si>
  <si>
    <t>Insitu Horizontal Stress</t>
  </si>
  <si>
    <t xml:space="preserve"> The horizontal component of the original stress status before excavations or other perturbations. </t>
  </si>
  <si>
    <t>Is</t>
  </si>
  <si>
    <t>Uncorrected Point Load Test Index</t>
  </si>
  <si>
    <t xml:space="preserve"> The Point Load Test produces an uncorrected Point Load Test Index (Is), which can be correlated with the uniaxial compressive strength (UCS) of rock.</t>
  </si>
  <si>
    <t>Is50</t>
  </si>
  <si>
    <t>Size Corrected Point Load Test Index</t>
  </si>
  <si>
    <t xml:space="preserve"> The Point Load Test produces the Point Load Test Index (Is50), which can be correlated with the uniaxial compressive strength (UCS) of rock.</t>
  </si>
  <si>
    <t>LFFD</t>
  </si>
  <si>
    <t xml:space="preserve"> Light fuel fluorescence detector value measured by sensor</t>
  </si>
  <si>
    <t>limit_pressure</t>
  </si>
  <si>
    <t>Limit Pressure</t>
  </si>
  <si>
    <t xml:space="preserve"> The pressure at failure during a Pressuremeter test</t>
  </si>
  <si>
    <t>line_loss_coeff_A</t>
  </si>
  <si>
    <t>Line Loss Coefficient A</t>
  </si>
  <si>
    <t xml:space="preserve"> Coefficient A computed for line loss regression equation Ax^2 + Bx + C</t>
  </si>
  <si>
    <t>line_loss_coeff_B</t>
  </si>
  <si>
    <t>Line Loss Coefficient B</t>
  </si>
  <si>
    <t xml:space="preserve"> Coefficient B computed for line loss regression equation Ax^2 + Bx + C</t>
  </si>
  <si>
    <t>line_loss_coeff_C</t>
  </si>
  <si>
    <t>Line Loss Coefficient C</t>
  </si>
  <si>
    <t xml:space="preserve"> Coefficient C computed for line loss regression equation Ax^2 + Bx + C</t>
  </si>
  <si>
    <t>line_loss_r2</t>
  </si>
  <si>
    <t>Line Loss R2</t>
  </si>
  <si>
    <t xml:space="preserve"> The correlation coefficient of the line loss regression equation</t>
  </si>
  <si>
    <t>liquid_limit</t>
  </si>
  <si>
    <t>Liquid Limit</t>
  </si>
  <si>
    <t xml:space="preserve"> The liquid limit (LL) is the water content at which a soil changes from plastic to liquid behavior.</t>
  </si>
  <si>
    <t>liquid_limit_oven_dried</t>
  </si>
  <si>
    <t>Oven Dried Liquid Limit</t>
  </si>
  <si>
    <t xml:space="preserve"> Liquid limit determined if sample required oven drying before test</t>
  </si>
  <si>
    <t>liquidity_index</t>
  </si>
  <si>
    <t>Liquidity Index</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</si>
  <si>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</si>
  <si>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LOI</t>
  </si>
  <si>
    <t>Organic Content of Soil</t>
  </si>
  <si>
    <t xml:space="preserve"> The amount of organic matter in a soil that derives from peat, organic muck, plant material such as wood, roots, grass, or carbonaceous materials such as lignite, coal, etc.</t>
  </si>
  <si>
    <t>lugeon_value</t>
  </si>
  <si>
    <t>Lugeon Value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</si>
  <si>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</si>
  <si>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marsh_funnel_time</t>
  </si>
  <si>
    <t>Marsh Funnel Time</t>
  </si>
  <si>
    <t xml:space="preserve"> Time for grout speciment to exit marsh funnel</t>
  </si>
  <si>
    <t>mass</t>
  </si>
  <si>
    <t>Mass</t>
  </si>
  <si>
    <t>The mass of material observed</t>
  </si>
  <si>
    <t>mass_loss</t>
  </si>
  <si>
    <t>Mass Loss</t>
  </si>
  <si>
    <t>The amount of mass reduced between observation steps</t>
  </si>
  <si>
    <t>material_index</t>
  </si>
  <si>
    <t>Material Index     s</t>
  </si>
  <si>
    <t xml:space="preserve"> Unitless dilatometer material index, used to identify soil type and delineate stratigraphy.</t>
  </si>
  <si>
    <t>mcv</t>
  </si>
  <si>
    <t>Moisture Condition Value</t>
  </si>
  <si>
    <t xml:space="preserve"> The Moisture Condition Value (MCV) is determined from a moisture condition test, a physical test indicating how much compactive effort is needed to compact a sample of soil at a particular moisture content.</t>
  </si>
  <si>
    <t>mean_micro_deval_dry</t>
  </si>
  <si>
    <t>Mean Micro Deval Value, dry</t>
  </si>
  <si>
    <t>A measure of mass loss in dry aggregate</t>
  </si>
  <si>
    <t>mean_micro_deval_wet</t>
  </si>
  <si>
    <t>Mean Micro Deval Value, wet</t>
  </si>
  <si>
    <t>A measure of mass loss in wet aggregate</t>
  </si>
  <si>
    <t>menard_modulus</t>
  </si>
  <si>
    <t>Menard Modulus (E_M)</t>
  </si>
  <si>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</si>
  <si>
    <t>modulus_shear</t>
  </si>
  <si>
    <t>Shear Modulus</t>
  </si>
  <si>
    <t xml:space="preserve"> Shear modulus, denoted by G, is defined as the ratio of shear stress to the shear strain.</t>
  </si>
  <si>
    <t>modulus_youngs</t>
  </si>
  <si>
    <t>Young's Modulus</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</si>
  <si>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</si>
  <si>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mud_balance_density</t>
  </si>
  <si>
    <t>Mud Balance Density</t>
  </si>
  <si>
    <t xml:space="preserve"> Grout or mud density determined using a mud balance. While called a density, measurement is a force (weight) / voume but can also report this value in true density units (mass/volume)</t>
  </si>
  <si>
    <t>n_value</t>
  </si>
  <si>
    <t>N-Value (Raw)</t>
  </si>
  <si>
    <t xml:space="preserve"> Value from Standard Penetration Test (SPT) to define advancement in terms of blows required to drive a specific sampler I foot into the soil using a hammer that provides a specific impact energy.</t>
  </si>
  <si>
    <t>n1_60</t>
  </si>
  <si>
    <t>N1,60</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</si>
  <si>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</si>
  <si>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n60</t>
  </si>
  <si>
    <t>N60</t>
  </si>
  <si>
    <t xml:space="preserve"> Calculated value that corrects the value of the Standard Penetration Blow Count (N-value), to account for energy of the hammer (specifically normalized to 60% energy).</t>
  </si>
  <si>
    <t>non_plastic</t>
  </si>
  <si>
    <t>Non Plastic</t>
  </si>
  <si>
    <t xml:space="preserve"> A value of true for this property indiates that no plastic limit can be . In such cases the value of the plastic limit should be left empty or set to the null value, and the value of non_plastic set to true.</t>
  </si>
  <si>
    <t>boolean</t>
  </si>
  <si>
    <t>ocr</t>
  </si>
  <si>
    <t>Overconsolidation Ratio</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</si>
  <si>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</si>
  <si>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p_wave_velocity</t>
  </si>
  <si>
    <t>Primary Compression Wave Velocity</t>
  </si>
  <si>
    <t>The velocity of a p-wave (Vp). P-waves (primary waves) are compressional waves that are longitudinal in nature.</t>
  </si>
  <si>
    <t>p0_reading</t>
  </si>
  <si>
    <t>P0 Reading</t>
  </si>
  <si>
    <t>A-Reading corrected for the DA membrane stiffness at 0.05 mm expansion, the 0.05 mm expansion itself and the gauge pressure deviation from zero. This corrected pressure is referred to as p0. This is an intermediate result from a flat plate dilatometer test.</t>
  </si>
  <si>
    <t>p1_reading</t>
  </si>
  <si>
    <t>P1 Reading</t>
  </si>
  <si>
    <t>B-Reading corrected for the DB membrane stiffness at 1.10 mm expansion and the gauge pressure deviation from zero. This corrected pressure is referred to as p1. This is an intermediate result from a flat plate dilatometer test.</t>
  </si>
  <si>
    <t>p2_reading</t>
  </si>
  <si>
    <t>P2 Reading</t>
  </si>
  <si>
    <t>C-Reading corrected for the DA membrane stiffness at 0.05 mm expansion and the gauge pressure deviation from zero. This corrected pressure is referred to as p2. This is an intermediate result from a flat plate dilatometer test.</t>
  </si>
  <si>
    <t>pen_increment</t>
  </si>
  <si>
    <t>Penetration Increment</t>
  </si>
  <si>
    <t>The distance that a tool travels for a given number of hammer blows.</t>
  </si>
  <si>
    <t>percent_cobbles</t>
  </si>
  <si>
    <t>Percent Cobbles</t>
  </si>
  <si>
    <t>The percentage by weight of particles larger  than 3 inches (75 mm) and smaller than 12 inches (300 mm)</t>
  </si>
  <si>
    <t>percent_fines</t>
  </si>
  <si>
    <t>Percent Fines</t>
  </si>
  <si>
    <t>The percentage of particles that pass through the #200 sieve (&lt;0.075-mm).</t>
  </si>
  <si>
    <t>percent_gravel</t>
  </si>
  <si>
    <t>Percent Gravel</t>
  </si>
  <si>
    <t xml:space="preserve">The percentage of particles that are retained on the #4 and larger sizes (&gt;4.75 mm). </t>
  </si>
  <si>
    <t>percent_sand</t>
  </si>
  <si>
    <t>Percent Sand</t>
  </si>
  <si>
    <t>The percentage of particles thatpass the #4 sieve and are retained on the #200 sieve (&lt;4.75 mm and &gt;0.075-mm).</t>
  </si>
  <si>
    <t>percent_silt</t>
  </si>
  <si>
    <t>Percent Silt</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</si>
  <si>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</si>
  <si>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pH</t>
  </si>
  <si>
    <t>A meassure of how acidic or basic a soil or water is.</t>
  </si>
  <si>
    <t>pid_result</t>
  </si>
  <si>
    <t>Photoionization Detector Result</t>
  </si>
  <si>
    <t>Measures volatile organic compounds and other gases, expressed in parts per million or percent LEL</t>
  </si>
  <si>
    <t>plastic_limit</t>
  </si>
  <si>
    <t>Plastic Limit</t>
  </si>
  <si>
    <t>The plastic limit (PL) is the water content where soil transitions between brittle and plastic behavior. A unitless value.</t>
  </si>
  <si>
    <t>plasticity_index</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</si>
  <si>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</si>
  <si>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</si>
  <si>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point_load_test_index</t>
  </si>
  <si>
    <t>Point Load Test Index</t>
  </si>
  <si>
    <t>The Point Load Test produces the Point Load Test Index (Is50), which can be correlated with the uniaxial compressive strength (UCS) of rock.</t>
  </si>
  <si>
    <t>poisson_ratio</t>
  </si>
  <si>
    <t>Poisson Ratio</t>
  </si>
  <si>
    <t>Ratio of the transverse contraction of a body to its longitudinal extension when stretched. Typical values in minerals are from 0.15 to 0.3 (Carbonates:0.15, Sandstones:0.2, Shales:0.25).</t>
  </si>
  <si>
    <t>pore_pressure_equil</t>
  </si>
  <si>
    <t>Equilibrium Pore Water Pressure (U0)</t>
  </si>
  <si>
    <t>The value of pore pressure measured in the field after dissipation of induced excess pore pressure. Could also be from CPTu test</t>
  </si>
  <si>
    <t>pore_pressure_est</t>
  </si>
  <si>
    <t>Estimated Pore Water Pressure</t>
  </si>
  <si>
    <t>The pore-water pressure acting at the center of the membrane before the insertion of the DMT blade (often assumed as hydrostatic below the water table surface).</t>
  </si>
  <si>
    <t>pore_pressure_u1</t>
  </si>
  <si>
    <t>Pore Water Pressure (U1)</t>
  </si>
  <si>
    <t>Measured pore pressure from u1 transducer on tip.</t>
  </si>
  <si>
    <t>pore_pressure_u2</t>
  </si>
  <si>
    <t>Pore Water Pressure (U2)</t>
  </si>
  <si>
    <t>Measured pore pressure from u2 transducer behind tip.</t>
  </si>
  <si>
    <t>pore_pressure_u3</t>
  </si>
  <si>
    <t>Pore Water Pressure (U3)</t>
  </si>
  <si>
    <t>Measured pore pressure from u3 transducer behind sleeve.</t>
  </si>
  <si>
    <t>preconsolidation_pressure</t>
  </si>
  <si>
    <t>Preconsolidation Pressure</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</si>
  <si>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</si>
  <si>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pressure_filtration_coeff</t>
  </si>
  <si>
    <t>Pressure Filtration Coefficient</t>
  </si>
  <si>
    <t>Value derived from a pressure filtration test</t>
  </si>
  <si>
    <t>pumping_rate</t>
  </si>
  <si>
    <t>Pumping rate</t>
  </si>
  <si>
    <t>Flow of water produced by pumping; recorded in pump tests</t>
  </si>
  <si>
    <t>recompression_index</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</si>
  <si>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</si>
  <si>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</si>
  <si>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redox_potential</t>
  </si>
  <si>
    <t>Redox Potential</t>
  </si>
  <si>
    <t xml:space="preserve">A 'measure of the ability of chemical/biochemical systems to oxidize (lose electrons) or reduce (gain electrons). </t>
  </si>
  <si>
    <t>relative_density</t>
  </si>
  <si>
    <t>Density, Relative</t>
  </si>
  <si>
    <t xml:space="preserve">The density of a granular specimen relative to its maximum and minimum density (or void ratio) </t>
  </si>
  <si>
    <t>resistivity</t>
  </si>
  <si>
    <t>Electrical Resistivity</t>
  </si>
  <si>
    <t>A measure of the resisting power of a specified material to the flow of an electric current.</t>
  </si>
  <si>
    <t>electrical resistivity</t>
  </si>
  <si>
    <t>rock_porosity</t>
  </si>
  <si>
    <t>Rock Porosity</t>
  </si>
  <si>
    <t>The open space in a rock divided by the total rock volume.</t>
  </si>
  <si>
    <t>schmidt_hardness_value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</si>
  <si>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</si>
  <si>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</si>
  <si>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</si>
  <si>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Sensitivity</t>
  </si>
  <si>
    <t>the ratio of the strength of the soil in the undisturbed state to that of the soil in the remolded state.</t>
  </si>
  <si>
    <t>set_time</t>
  </si>
  <si>
    <t>Set Time</t>
  </si>
  <si>
    <t>Setting time for grout</t>
  </si>
  <si>
    <t>shear_strength_drained</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</si>
  <si>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</si>
  <si>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</si>
  <si>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shear_strength_undrained</t>
  </si>
  <si>
    <t>Peak Undrained Shear Strength</t>
  </si>
  <si>
    <t xml:space="preserve">The peak shear strength of an intact specimen when no volume change is allowed during the tests. The value can be measured in the lab and in the field. In both cases, the value can be calculated from different tests. </t>
  </si>
  <si>
    <t>shear_strength_undrained_residual</t>
  </si>
  <si>
    <t>Residual Undrained Shear Strength</t>
  </si>
  <si>
    <t xml:space="preserve">A measure of the shear strength of the soil for which the shear stress remains essentially constant with increasing shear displacement andwhen no volume change is allowed during the tests. </t>
  </si>
  <si>
    <t>shear_velocity</t>
  </si>
  <si>
    <t>Shear Velocity</t>
  </si>
  <si>
    <t>The velocity of a shear wave (Vs); a shear wave is a type of seismic wave in which the particle motion is perpendicular to the direction of propagation in a horizontal plane ; also called S-wave or secondary wave.</t>
  </si>
  <si>
    <t>shore_hardness_value</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</si>
  <si>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</si>
  <si>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</si>
  <si>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</si>
  <si>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t>
  </si>
  <si>
    <t>The amount specimen shrinkage, reported as a percentage of total volume</t>
  </si>
  <si>
    <t>shrinkage_limit</t>
  </si>
  <si>
    <t>Shrinkage Limit</t>
  </si>
  <si>
    <t>The shrinkage limit (SL) is the water content below which a soil undergoes no further volume change.</t>
  </si>
  <si>
    <t>shrinkage_ratio</t>
  </si>
  <si>
    <t>Shrinkage Ratio</t>
  </si>
  <si>
    <t xml:space="preserve">The ratio of a given volume change expressed as a percentage of the dry volume to the corresponding change in water content above the shrinkage limit. </t>
  </si>
  <si>
    <t>slake_durability_index</t>
  </si>
  <si>
    <t>Slake Durability Index</t>
  </si>
  <si>
    <t>The Slake Durability Index predicts the long-term durability of the rock specimens, to establish weathering and degradation characteristics of each rock type, and to assess the impact of water on the rock degradation.</t>
  </si>
  <si>
    <t>sleeve_friction</t>
  </si>
  <si>
    <t>Sleeve Friction</t>
  </si>
  <si>
    <t>Value of stress measured on sleeve of cone during penetration</t>
  </si>
  <si>
    <t>slump</t>
  </si>
  <si>
    <t>Slump</t>
  </si>
  <si>
    <t>Amount of slump of grout sample</t>
  </si>
  <si>
    <t>soil_moisture_content</t>
  </si>
  <si>
    <t>Soil Moisture Content</t>
  </si>
  <si>
    <t>Soil moisture content measured by sensor (eg CPT)</t>
  </si>
  <si>
    <t>soil_suction</t>
  </si>
  <si>
    <t>Soil Suction</t>
  </si>
  <si>
    <t>Soil suction value</t>
  </si>
  <si>
    <t>soil_type</t>
  </si>
  <si>
    <t>Soil Type</t>
  </si>
  <si>
    <t>A value derived from a dilatometer test, using the dilatometer modulus and material index.</t>
  </si>
  <si>
    <t>specific_gravity_apparent</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</si>
  <si>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</si>
  <si>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</si>
  <si>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specific_gravity_bulk</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</si>
  <si>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</si>
  <si>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</si>
  <si>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specific_gravity_solids</t>
  </si>
  <si>
    <t>Specific Gravity of Solids</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</si>
  <si>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</si>
  <si>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sulfate_content</t>
  </si>
  <si>
    <t>Sulfate Content</t>
  </si>
  <si>
    <t>Sulfate content by lab testing (corrosivity series)</t>
  </si>
  <si>
    <t>syneresis</t>
  </si>
  <si>
    <t>Syneresis</t>
  </si>
  <si>
    <t>The contraction of a gel accompanied by the separating out of liquid. It is calculated as a percent of volume or mass loss.</t>
  </si>
  <si>
    <t>syneresis_surface_area_normalized</t>
  </si>
  <si>
    <t>Surface Area Normalized Syneresis</t>
  </si>
  <si>
    <t>The syneresis value of a gel specimen divided by its surface area; accounts for variability in syneresis of a gel depending on the amount of the gel exposed to air. Calculated as mass loss divided by surface area</t>
  </si>
  <si>
    <t>mass per area</t>
  </si>
  <si>
    <t>t50</t>
  </si>
  <si>
    <t>T50</t>
  </si>
  <si>
    <t>Time until pore pressure reaches the halfway pressure (u50) between starting dynamic pore pressure and equilibrium pore pressure</t>
  </si>
  <si>
    <t>temperature</t>
  </si>
  <si>
    <t>Temperature</t>
  </si>
  <si>
    <t>Measured temperature</t>
  </si>
  <si>
    <t>thermodynamic temperature</t>
  </si>
  <si>
    <t>ten_percent_fines_value</t>
  </si>
  <si>
    <t>Ten Percent Fines Value</t>
  </si>
  <si>
    <t>A measure of the resistance of aggregate crushing.</t>
  </si>
  <si>
    <t>tensile_strength</t>
  </si>
  <si>
    <t>Tensile strength</t>
  </si>
  <si>
    <t>The maximum stress a material can withstand before breaking under tensile (pulling) forces</t>
  </si>
  <si>
    <t>thrust</t>
  </si>
  <si>
    <t>Thrust</t>
  </si>
  <si>
    <t>Thrust force required to advance the dilatometer to the test depth. This force is exclusive of soil or other friction along the push rods. This thrust is referred to as qd.</t>
  </si>
  <si>
    <t>force</t>
  </si>
  <si>
    <t>Time</t>
  </si>
  <si>
    <t>Time instant of measurement</t>
  </si>
  <si>
    <t>tip_resistance</t>
  </si>
  <si>
    <t>Tip Resistance</t>
  </si>
  <si>
    <t>A measure of stress measured at tip of cone during penetration</t>
  </si>
  <si>
    <t>tip_resistance_corrected</t>
  </si>
  <si>
    <t>Corrected Tip Resistance</t>
  </si>
  <si>
    <t>Tip resistance corrected for u2 pore pressure measurement</t>
  </si>
  <si>
    <t>torque</t>
  </si>
  <si>
    <t>Torque</t>
  </si>
  <si>
    <t>Torque: The rotational force applied by the drill rig.</t>
  </si>
  <si>
    <t>moment of force</t>
  </si>
  <si>
    <t>transducer_pressure</t>
  </si>
  <si>
    <t>Transducer Pressure</t>
  </si>
  <si>
    <t>Pressure measured with a transducer</t>
  </si>
  <si>
    <t>u50</t>
  </si>
  <si>
    <t>U50</t>
  </si>
  <si>
    <t>Pore pressure midway between dynamic pore pressure and equilibrium pore pressure</t>
  </si>
  <si>
    <t>uscs_group_name</t>
  </si>
  <si>
    <t>USCS Group Name</t>
  </si>
  <si>
    <t xml:space="preserve">The Unified Soil Classification group name, including any modifiers as defined in Figures 1,2 and 3 of ASTM D2487 or Figures 1 and 2 of ASTM D2488, eg "Silty sand" or "Gravelly silt with sand". </t>
  </si>
  <si>
    <t>uscs_symbol</t>
  </si>
  <si>
    <t>USCS Group Symbol</t>
  </si>
  <si>
    <t xml:space="preserve">The two-letter symbol of soil type of the Unified Soil Classification System, used in engineering and geology to describe the texture and grain size of a soil. </t>
  </si>
  <si>
    <t>uscs_symbol_425</t>
  </si>
  <si>
    <t>USCS Symbol Passing 425 Screen</t>
  </si>
  <si>
    <t>The two letter symbol of soil type of the Unified Soil Classification System of material passing 425 micron screen</t>
  </si>
  <si>
    <t>vertical_stress_total</t>
  </si>
  <si>
    <t>Total Vertical Stress</t>
  </si>
  <si>
    <t>Total vertical stress at the center of the membrane before the insertion of the DMT blade, generally calculated from unit weights estimated using the DMT results.</t>
  </si>
  <si>
    <t>volume</t>
  </si>
  <si>
    <t>Volume</t>
  </si>
  <si>
    <t>The amount of material observed</t>
  </si>
  <si>
    <t>volume_loss</t>
  </si>
  <si>
    <t>Volume Loss</t>
  </si>
  <si>
    <t>The amount of volume reduced between observation steps</t>
  </si>
  <si>
    <t>volumetric_shrinkage</t>
  </si>
  <si>
    <t>Volumetric Shrinkage</t>
  </si>
  <si>
    <t>The decrease in volume of a soil mass when the water content is reduced from a given percentage to the shrinkage limit and which is expressed as percentage of dry volume of the soil mass.</t>
  </si>
  <si>
    <t>washout_result</t>
  </si>
  <si>
    <t>Washout Result</t>
  </si>
  <si>
    <t>Descriptive result of a washout test</t>
  </si>
  <si>
    <t>water_content_natural</t>
  </si>
  <si>
    <t>Natural Water Content</t>
  </si>
  <si>
    <t>Also referred to as moisture content, this is the mass of water divided by the mass of the solids, expressed as a percentage. Use of this parameter is for natural conditions. Determined in a laboratory or via sensor.</t>
  </si>
  <si>
    <t>water_content_optimum</t>
  </si>
  <si>
    <t>Optimum Water Content</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</si>
  <si>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</si>
  <si>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</si>
  <si>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</si>
  <si>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Measured depth to water below datum, typically directly observed or computed from a pressure transducer</t>
  </si>
  <si>
    <t>water_elev</t>
  </si>
  <si>
    <t>Water Elevation</t>
  </si>
  <si>
    <t>Measured elevation of water level, typically directly observed or computed from a pressure transducer.</t>
  </si>
  <si>
    <t>easily_oxidized_carbon</t>
  </si>
  <si>
    <t>Easily Oxidized Carbon</t>
  </si>
  <si>
    <t>Amount of carbon (as a percent) in a soil that is easily oxidized as defined in AASHTO Standard T 194.</t>
  </si>
  <si>
    <t>total_carbon</t>
  </si>
  <si>
    <t>Total Carbon</t>
  </si>
  <si>
    <t>Amount of carbon in a soil (as a percent) as defined in AASHTO Standard T 194.</t>
  </si>
  <si>
    <t>easily_oxidized_matter</t>
  </si>
  <si>
    <t>Easily Oxidized Organic Matter</t>
  </si>
  <si>
    <t>Amount of easily oxidized organic matter (as a percent) in a soil  as defined in AASHTO Standard T 194.</t>
  </si>
  <si>
    <t>total_organic_matter</t>
  </si>
  <si>
    <t>Total Organic Matter</t>
  </si>
  <si>
    <t>Amount of organic matter (as a percent) in a soil as defined in AASHTO Standard T 194.</t>
  </si>
  <si>
    <t>free_swell_value</t>
  </si>
  <si>
    <t>Free Swell Value</t>
  </si>
  <si>
    <t>Determined by a one-dimensional swell or collapse test, this is the swell strain corresponding to a vertical stress of 1 kPa (20 lbf/ft2).</t>
  </si>
  <si>
    <t>swell_pressure</t>
  </si>
  <si>
    <t>Swell Pressure</t>
  </si>
  <si>
    <t>Determined by a one-dimensional swell or collapse test, this is stress corresponding to zero strain.</t>
  </si>
  <si>
    <t>d_value</t>
  </si>
  <si>
    <t>D Value</t>
  </si>
  <si>
    <t>The rapid method equivalent of percent compaction; the comparison of in-place density to laboratory derived maximum density.</t>
  </si>
  <si>
    <t>c_value</t>
  </si>
  <si>
    <t>C Value</t>
  </si>
  <si>
    <t>The comparison of field compactive effort to standard laboratory compactive effort.</t>
  </si>
  <si>
    <t>water_content_difference</t>
  </si>
  <si>
    <t>Water Content Difference</t>
  </si>
  <si>
    <t>The difference in water content between the field and the optimum water content of a soil.</t>
  </si>
  <si>
    <t>d84</t>
  </si>
  <si>
    <t>Grain diameter corresponding to 84 percent passing.  Intermediate value used to report other results.</t>
  </si>
  <si>
    <t>d90</t>
  </si>
  <si>
    <t>Grain diameter corresponding to 90 percent passing.  Intermediate value used to report other results.</t>
  </si>
  <si>
    <t>percent_coarse_gravel</t>
  </si>
  <si>
    <t>percent coarse gravel</t>
  </si>
  <si>
    <t>The percentage of particles that pass the 75 mm sieve and are retained on the 19mm sieve (&lt;75 mm and &gt;19mm).</t>
  </si>
  <si>
    <t>percent_fine_gravel</t>
  </si>
  <si>
    <t>percent fine gravel</t>
  </si>
  <si>
    <t>The percentage of particles that pass the 19 mm sieve and are retained on the 4.75mm sieve (&lt;19 mm and &gt;4.75mm).</t>
  </si>
  <si>
    <t>percent_coarse_sand</t>
  </si>
  <si>
    <t>percent coarse sand</t>
  </si>
  <si>
    <t>The percentage of particles thatpass the #4 sieve and are retained on the #10 sieve (&lt;4.75 mm and &gt;2 mm).</t>
  </si>
  <si>
    <t>percent_medium_sand</t>
  </si>
  <si>
    <t>percent medium sand</t>
  </si>
  <si>
    <t>The percentage of particles thatpass the #10 sieve and are retained on the #40 sieve (&lt;2 mm and &gt;0.425 mm).</t>
  </si>
  <si>
    <t>percent_fine_sand</t>
  </si>
  <si>
    <t>percent fine sand</t>
  </si>
  <si>
    <t>The percentage of particles thatpass the #40 sieve and are retained on the #200 sieve (&lt;0.425 mm and &gt;0.075 mm).</t>
  </si>
  <si>
    <t>aashto_percent_gravel</t>
  </si>
  <si>
    <t>percent gravel aashto</t>
  </si>
  <si>
    <t>The percentage of particles that pass the 75mm sieve and are retained on the #10 sieve (&lt;75 mm and &gt;0.075 mm).</t>
  </si>
  <si>
    <t>aashto_percent_coarse_sand</t>
  </si>
  <si>
    <t>percent coarse sand aashto</t>
  </si>
  <si>
    <t>The percentage of particles that pass the #10 sieve and are retained on the #40 sieve (&lt;2 mm and &gt;0.425 mm).</t>
  </si>
  <si>
    <t>aashto_percent_fine_sand</t>
  </si>
  <si>
    <t>percent fine sand aashto</t>
  </si>
  <si>
    <t>The percentage of particles that pass the #40 sieve and are retained on the #200 sieve (&lt;0.425 mm and &gt;0.075 mm).</t>
  </si>
  <si>
    <t>settlement</t>
  </si>
  <si>
    <t>Settlement</t>
  </si>
  <si>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</si>
  <si>
    <t>differential_settlement</t>
  </si>
  <si>
    <t>Differential settlement</t>
  </si>
  <si>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</si>
  <si>
    <t>settlement_reduction_ratio</t>
  </si>
  <si>
    <t>Settlement reduction ratio (measured)</t>
  </si>
  <si>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</si>
  <si>
    <t>pore_pressure</t>
  </si>
  <si>
    <t>Pore water pressure (monitored)</t>
  </si>
  <si>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</si>
  <si>
    <t>reinforcement_load_fraction</t>
  </si>
  <si>
    <t>Reinforcement load fraction</t>
  </si>
  <si>
    <t>The fraction of total applied load carried by the reinforcement rather than by the surrounding soil. Dimensionless, 0 to 1. Named by a diggs:PerformanceCriterion stating a minimum, which is how a design requirement on load sharing is expressed.</t>
  </si>
  <si>
    <t>critical_creep_load</t>
  </si>
  <si>
    <t>Critical Creep Load</t>
  </si>
  <si>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</si>
  <si>
    <t>modulus_of_subgrade_reaction</t>
  </si>
  <si>
    <t>Modulus of Subgrade Reaction</t>
  </si>
  <si>
    <t>The ratio of applied bearing pressure to plate settlement (k) derived from a plate-bearing load test - ASTM D1195/D1196's characteristic output. Force per unit volume (pressure/deflection), reported in units such as kN/m3 or pci.</t>
  </si>
  <si>
    <t>force per volume</t>
  </si>
  <si>
    <t>deformation_modulus_first_load</t>
  </si>
  <si>
    <t>Deformation Modulus, First Load (Ev1)</t>
  </si>
  <si>
    <t>The deformation modulus derived from the load-settlement curve of the FIRST loading cycle of a two-cycle plate-bearing load test, per DIN 18134. Reflects the initial condition of the ground or platform material, including particle rearrangement and closure of air voids.</t>
  </si>
  <si>
    <t>deformation_modulus_second_load</t>
  </si>
  <si>
    <t>Deformation Modulus, Second Load (Ev2)</t>
  </si>
  <si>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</si>
  <si>
    <t>defect_depth</t>
  </si>
  <si>
    <t>Defect Depth</t>
  </si>
  <si>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</si>
  <si>
    <t>effective_radius</t>
  </si>
  <si>
    <t>Effective Radius</t>
  </si>
  <si>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</si>
  <si>
    <t>lateral_deflection</t>
  </si>
  <si>
    <t>Lateral Deflection</t>
  </si>
  <si>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</si>
  <si>
    <t>magnesium_content</t>
  </si>
  <si>
    <t>Magnesium Content</t>
  </si>
  <si>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</si>
  <si>
    <t>Dictionary ID</t>
  </si>
  <si>
    <t>DictionaryFile</t>
  </si>
  <si>
    <t>DictionaryName</t>
  </si>
  <si>
    <t>Leave this line blank</t>
  </si>
  <si>
    <t>propertyClass</t>
  </si>
  <si>
    <t>properties</t>
  </si>
  <si>
    <t>DIGGS Measurement 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</si>
  <si>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</si>
  <si>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SourceElement</t>
  </si>
  <si>
    <t>ConditionalElement</t>
  </si>
  <si>
    <t>//diggs:propertyClass</t>
  </si>
  <si>
    <t>ancestor::diggs:measurement//diggs:procedure/diggs:FlatPlateDilatometerTest</t>
  </si>
  <si>
    <t>ancestor::diggs:measurement//diggs:procedure/diggs:ParticleSizeTest</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</si>
  <si>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</si>
  <si>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</si>
  <si>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</si>
  <si>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</si>
  <si>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</si>
  <si>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ancestor::diggs:measurement//diggs:procedure/diggs:LosAngelesAbrasionTest</t>
  </si>
  <si>
    <t>ancestor::diggs:measurement//diggs:procedure/diggs:AggregatePolishedStoneValueTest</t>
  </si>
  <si>
    <t>ancestor::diggs:measurement//diggs:procedure/diggs:AggregateSoundnessTest</t>
  </si>
  <si>
    <t>ancestor::diggs:measurement//diggs:procedure/diggs:AggregateWaterAbsorptionTest</t>
  </si>
  <si>
    <t>ancestor::diggs:measurement//diggs:procedure/diggs:BleedTest</t>
  </si>
  <si>
    <t>ancestor::diggs:measurement//diggs:procedure/diggs:DynamicProbeTest</t>
  </si>
  <si>
    <t>ancestor::diggs:measurement//diggs:procedure/diggs:InsituCBRTest</t>
  </si>
  <si>
    <t>ancestor::diggs:measurement//diggs:procedure/diggs:InsituDensityTest</t>
  </si>
  <si>
    <t>ancestor::diggs:measurement//diggs:procedure/diggs:LabCBRTest</t>
  </si>
  <si>
    <t>ancestor::diggs:measurement//diggs:procedure/diggs:LabDensityTest</t>
  </si>
  <si>
    <t>bulk_density_true</t>
  </si>
  <si>
    <t>ancestor::diggs:measurement//diggs:procedure/diggs:LabCompactionTest</t>
  </si>
  <si>
    <t>ancestor::diggs:measurement//diggs:procedure/diggs:ChalkCrushingValueTest</t>
  </si>
  <si>
    <t>ancestor::diggs:measurement//diggs:procedure/diggs:LabChemicalTest</t>
  </si>
  <si>
    <t>ancestor::diggs:measurement//diggs:procedure/diggs:PorePressureDissipationTest</t>
  </si>
  <si>
    <t>ancestor::diggs:measurement//diggs:procedure/diggs:ConsolidationTest</t>
  </si>
  <si>
    <t>ancestor::diggs:measurement//diggs:procedure/diggs:MaterialGradationTest</t>
  </si>
  <si>
    <t>ancestor::diggs:measurement//diggs:procedure/diggs:PressuremeterTest</t>
  </si>
  <si>
    <t>ancestor::diggs:measurement//diggs:procedure/diggs:InsituPermeabilityTest</t>
  </si>
  <si>
    <t>ancestor::diggs:measurement//diggs:procedure/diggs:LabPermeabilityTest</t>
  </si>
  <si>
    <t>ancestor::diggs:measurement//diggs:procedure/diggs:PumpingTest</t>
  </si>
  <si>
    <t>ancestor::diggs:measurement//diggs:procedure/diggs:StaticConePenetrationTest</t>
  </si>
  <si>
    <t>ancestor::diggs:measurement//diggs:procedure/diggs:DirectShearTest</t>
  </si>
  <si>
    <t>ancestor::diggs:measurement//diggs:procedure/diggs:TriaxialTest</t>
  </si>
  <si>
    <t>ancestor::diggs:measurement//diggs:procedure/diggs:InSituPenetrometerTest</t>
  </si>
  <si>
    <t>ancestor::diggs:measurement//diggs:procedure/diggs:LabPenetrometerTest</t>
  </si>
  <si>
    <t>ancestor::diggs:measurement//diggs:procedure/diggs:PocketPenetrometerTest</t>
  </si>
  <si>
    <t>ancestor::diggs:measurement//diggs:procedure/diggs:UnconfinedCompressiveStrengthTest</t>
  </si>
  <si>
    <t>ancestor::diggs:measurement//diggs:procedure/diggs:AtterbergLimitsTest</t>
  </si>
  <si>
    <t>ancestor::diggs:measurement//diggs:procedure/diggs:WaterContentTest</t>
  </si>
  <si>
    <t>ancestor::diggs:TemporalResult</t>
  </si>
  <si>
    <t>dry_density_max_true</t>
  </si>
  <si>
    <t>dry_density_true</t>
  </si>
  <si>
    <t>ancestor::diggs:measurement//diggs:procedure/diggs:OrganicMatterByWetCombustionTest</t>
  </si>
  <si>
    <t>ancestor::diggs:dissipationTimeSeries</t>
  </si>
  <si>
    <t>ancestor::diggs:lugeonStepTimeSeries</t>
  </si>
  <si>
    <t>ancestor::diggs:syneresisTimeSeries</t>
  </si>
  <si>
    <t>ancestor::diggs:measurement//diggs:procedure/diggs:PressureFiltrationTest</t>
  </si>
  <si>
    <t>ancestor::diggs:measurement//diggs:procedure/diggs:EnvironmentalScreeningTest</t>
  </si>
  <si>
    <t>ancestor::diggs:measurement//diggs:procedure/diggs:FlameIonizationDetectorTest</t>
  </si>
  <si>
    <t>ancestor::diggs:measurement//diggs:procedure/diggs:FlowConeTest</t>
  </si>
  <si>
    <t>ancestor::diggs:measurement//diggs:procedure/diggs:SwellOrCollapseTest</t>
  </si>
  <si>
    <t>ancestor::diggs:measurement//diggs:procedure/diggs:FrostSusceptibilityTest</t>
  </si>
  <si>
    <t>ancestor::diggs:measurement//diggs:procedure/diggs:TiltCupTest</t>
  </si>
  <si>
    <t>ancestor::diggs:measurement//diggs:procedure/diggs:ViscometerTest</t>
  </si>
  <si>
    <t>ancestor::diggs:measurement//diggs:procedure/diggs:PointLoadTest</t>
  </si>
  <si>
    <t>ancestor::diggs:measurement//diggs:procedure/diggs:LineLossTest</t>
  </si>
  <si>
    <t>ancestor::diggs:measurement//diggs:procedure/diggs:LossOnIgnitionTest</t>
  </si>
  <si>
    <t>ancestor::diggs:measurement//diggs:procedure/diggs:LugeonTest</t>
  </si>
  <si>
    <t>ancestor::diggs:measurement//diggs:procedure/diggs:MarshFunnelTest</t>
  </si>
  <si>
    <t>ancestor::diggs:measurement//diggs:procedure/diggs:MCVTest</t>
  </si>
  <si>
    <t>ancestor::diggs:measurement//diggs:procedure/diggs:MicroDevalTest</t>
  </si>
  <si>
    <t>ancestor::diggs:measurement//diggs:procedure/diggs:MudBalanceTest</t>
  </si>
  <si>
    <t>ancestor::diggs:measurement//diggs:procedure/diggs:DrivenPenetrationTest</t>
  </si>
  <si>
    <t>ancestor::diggs:measurement//diggs:procedure/diggs:LabVelocityTest</t>
  </si>
  <si>
    <t>ancestor::diggs:measurement//diggs:procedure/diggs:RedoxTest</t>
  </si>
  <si>
    <t>ancestor::diggs:measurement//diggs:procedure/diggs:PhotoIonizationDetectorTest</t>
  </si>
  <si>
    <t>ancestor::diggs:measurement//diggs:procedure/diggs:RelativeDensityTest</t>
  </si>
  <si>
    <t>ancestor::diggs:measurement//diggs:procedure/diggs:InSituResistivityTest</t>
  </si>
  <si>
    <t>ancestor::diggs:measurement//diggs:procedure/diggs:LabResistivityTest</t>
  </si>
  <si>
    <t>ancestor::diggs:measurement//diggs:procedure/diggs:RockPorosityDensityTest</t>
  </si>
  <si>
    <t>ancestor::diggs:measurement//diggs:procedure/diggs:SchmidtReboundHardnessTest</t>
  </si>
  <si>
    <t>ancestor::diggs:measurement//diggs:procedure/diggs:InsituVaneTest</t>
  </si>
  <si>
    <t>ancestor::diggs:measurement//diggs:procedure/diggs:LabVaneTest</t>
  </si>
  <si>
    <t>ancestor::diggs:measurement//diggs:procedure/diggs:SetTimeTest</t>
  </si>
  <si>
    <t>ancestor::diggs:measurement//diggs:procedure/diggs:ShoreScleroscopeHardnessTest</t>
  </si>
  <si>
    <t>ancestor::diggs:measurement//diggs:procedure/diggs:LinearShrinkageTest</t>
  </si>
  <si>
    <t>ancestor::diggs:measurement//diggs:procedure/diggs:ShrinkageTest</t>
  </si>
  <si>
    <t>ancestor::diggs:measurement//diggs:procedure/diggs:AggregateSlakeDurabilityTest</t>
  </si>
  <si>
    <t>ancestor::diggs:measurement//diggs:procedure/diggs:SlumpTest</t>
  </si>
  <si>
    <t>ancestor::diggs:measurement//diggs:procedure/diggs:SuctionTest</t>
  </si>
  <si>
    <t>ancestor::diggs:measurement//diggs:procedure/diggs:SpecificGravityTest</t>
  </si>
  <si>
    <t>ancestor::diggs:measurement//diggs:procedure/diggs:SyneresisTest</t>
  </si>
  <si>
    <t>ancestor::diggs:measurement//diggs:procedure/diggs:WaterLevelMonitoring</t>
  </si>
  <si>
    <t>ancestor::diggs:measurement//diggs:procedure/diggs:AggregateTenPercentFinesTest</t>
  </si>
  <si>
    <t>ancestor::diggs:measurement//diggs:procedure/diggs:TensileStrengthTest</t>
  </si>
  <si>
    <t>ancestor::SpatialResult</t>
  </si>
  <si>
    <t>ancestor::TestResult</t>
  </si>
  <si>
    <t>ancestor::diggs:measurement//diggs:procedure/diggs:WashoutTest</t>
  </si>
  <si>
    <t>ancestor::diggs:PerformanceCriterion</t>
  </si>
  <si>
    <t>ancestor::diggs:measurement//diggs:procedure/diggs:StaticLoadTest</t>
  </si>
  <si>
    <t>ancestor::diggs:measurement//diggs:procedure/diggs:PlateLoadTest</t>
  </si>
  <si>
    <t>ancestor::diggs:measurement//diggs:procedure/diggs:ZoneLoadTest</t>
  </si>
  <si>
    <t>ancestor::diggs:measurement//diggs:procedure/diggs:LowStrainIntegrityTest</t>
  </si>
  <si>
    <t>ancestor::diggs:measurement//diggs:procedure/diggs:ThermalIntegrityProfiling</t>
  </si>
  <si>
    <t>ancestor::diggs:measurement//diggs:procedure/diggs:LateralLoadTest</t>
  </si>
  <si>
    <t>DataType2</t>
  </si>
  <si>
    <t>Column2</t>
  </si>
  <si>
    <t>anyURI</t>
  </si>
  <si>
    <t>absorbed dose</t>
  </si>
  <si>
    <t>(amount of substance per time) per area</t>
  </si>
  <si>
    <t>base64binary</t>
  </si>
  <si>
    <t>activity [of radioactivity]</t>
  </si>
  <si>
    <t>(energy per mass) per time</t>
  </si>
  <si>
    <t>amount of substance</t>
  </si>
  <si>
    <t>(mass per time) per area</t>
  </si>
  <si>
    <t>byte</t>
  </si>
  <si>
    <t>(mass per time) per length</t>
  </si>
  <si>
    <t>date</t>
  </si>
  <si>
    <t>amount of substance per area</t>
  </si>
  <si>
    <t>(mass per volume) per length</t>
  </si>
  <si>
    <t>dateTime</t>
  </si>
  <si>
    <t>amount of substance per mass</t>
  </si>
  <si>
    <t>use for cation exchange capacity</t>
  </si>
  <si>
    <t>(volume per time) length</t>
  </si>
  <si>
    <t>decimal</t>
  </si>
  <si>
    <t>amount of substance per time</t>
  </si>
  <si>
    <t>(volume per time) per (pressure length)</t>
  </si>
  <si>
    <t>(volume per time) per area</t>
  </si>
  <si>
    <t>duration</t>
  </si>
  <si>
    <t>amount of substance per volume</t>
  </si>
  <si>
    <t>(volume per time) per length</t>
  </si>
  <si>
    <t>float</t>
  </si>
  <si>
    <t>angle per length</t>
  </si>
  <si>
    <t>(volume per time) per pressure</t>
  </si>
  <si>
    <t>gDay</t>
  </si>
  <si>
    <t>angle per volume</t>
  </si>
  <si>
    <t>(volume per time) per time</t>
  </si>
  <si>
    <t>gMonth</t>
  </si>
  <si>
    <t>angular acceleration</t>
  </si>
  <si>
    <t>(volume per time) per volume</t>
  </si>
  <si>
    <t>gMonthDay</t>
  </si>
  <si>
    <t>angular velocity</t>
  </si>
  <si>
    <t>API gamma ray</t>
  </si>
  <si>
    <t>gYear</t>
  </si>
  <si>
    <t>api gamma ray</t>
  </si>
  <si>
    <t>API gravity</t>
  </si>
  <si>
    <t>gYearMonth</t>
  </si>
  <si>
    <t>api gravity</t>
  </si>
  <si>
    <t>API neutron</t>
  </si>
  <si>
    <t>hexBinary</t>
  </si>
  <si>
    <t>api neutron</t>
  </si>
  <si>
    <t>area</t>
  </si>
  <si>
    <t>language</t>
  </si>
  <si>
    <t>area per amount of substance</t>
  </si>
  <si>
    <t>long</t>
  </si>
  <si>
    <t>area per area</t>
  </si>
  <si>
    <t>negativeInteger</t>
  </si>
  <si>
    <t>area per count</t>
  </si>
  <si>
    <t>In EML schema but not in EML dictionary</t>
  </si>
  <si>
    <t>nonNegativeInteger</t>
  </si>
  <si>
    <t>area per mass</t>
  </si>
  <si>
    <t>nonPositiveInteger</t>
  </si>
  <si>
    <t>normalizedString</t>
  </si>
  <si>
    <t>area per volume</t>
  </si>
  <si>
    <t>positiveInteger</t>
  </si>
  <si>
    <t>attenuation per frequency interval</t>
  </si>
  <si>
    <t>short</t>
  </si>
  <si>
    <t>capacitance</t>
  </si>
  <si>
    <t>data transfer speed</t>
  </si>
  <si>
    <t>diffusion coefficient</t>
  </si>
  <si>
    <t>diffusive time of flight</t>
  </si>
  <si>
    <t>token</t>
  </si>
  <si>
    <t>digital storage</t>
  </si>
  <si>
    <t>unsignedByte</t>
  </si>
  <si>
    <t>unsignedInt</t>
  </si>
  <si>
    <t>dipole moment</t>
  </si>
  <si>
    <t>unsignedLong</t>
  </si>
  <si>
    <t>dose equivalent</t>
  </si>
  <si>
    <t>unsignedShort</t>
  </si>
  <si>
    <t>dynamic viscosity</t>
  </si>
  <si>
    <t>vector</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</si>
  <si>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</si>
  <si>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</si>
  <si>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</si>
  <si>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</si>
  <si>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</si>
  <si>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</si>
  <si>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</si>
  <si>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</si>
  <si>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</si>
  <si>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</si>
  <si>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</si>
  <si>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</si>
  <si>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</si>
  <si>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</si>
  <si>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</si>
  <si>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</si>
  <si>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</si>
  <si>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</si>
  <si>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</si>
  <si>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</si>
  <si>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use for geotechnical densities</t>
  </si>
  <si>
    <t>force per length</t>
  </si>
  <si>
    <t>frequency</t>
  </si>
  <si>
    <t>frequency interval</t>
  </si>
  <si>
    <t>gravitational gradient</t>
  </si>
  <si>
    <t>use for gravity gradients</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</si>
  <si>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</si>
  <si>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</si>
  <si>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</si>
  <si>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</si>
  <si>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</si>
  <si>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</si>
  <si>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</si>
  <si>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</si>
  <si>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</si>
  <si>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</si>
  <si>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</si>
  <si>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</si>
  <si>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</si>
  <si>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</si>
  <si>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</si>
  <si>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</si>
  <si>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</si>
  <si>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</si>
  <si>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</si>
  <si>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</si>
  <si>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</si>
  <si>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</si>
  <si>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</si>
  <si>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</si>
  <si>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</si>
  <si>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</si>
  <si>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</si>
  <si>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 length</t>
  </si>
  <si>
    <t>mass per energy</t>
  </si>
  <si>
    <t>mass per length</t>
  </si>
  <si>
    <t>mass per mass</t>
  </si>
  <si>
    <t>mass per volume</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</si>
  <si>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</si>
  <si>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</si>
  <si>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</si>
  <si>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</si>
  <si>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</si>
  <si>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</si>
  <si>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</si>
  <si>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</si>
  <si>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</si>
  <si>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</si>
  <si>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</si>
  <si>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</si>
  <si>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</si>
  <si>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</si>
  <si>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</si>
  <si>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</si>
  <si>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</si>
  <si>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</si>
  <si>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</si>
  <si>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</si>
  <si>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</si>
  <si>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</si>
  <si>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</si>
  <si>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</si>
  <si>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</si>
  <si>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</si>
  <si>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</si>
  <si>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(mass time)</t>
  </si>
  <si>
    <t>reciprocal area</t>
  </si>
  <si>
    <t>reciprocal electric potential difference</t>
  </si>
  <si>
    <t>reciprocal force</t>
  </si>
  <si>
    <t>reciprocal length</t>
  </si>
  <si>
    <t>reciprocal mass</t>
  </si>
  <si>
    <t>reciprocal pressure</t>
  </si>
  <si>
    <t>reciprocal time</t>
  </si>
  <si>
    <t>reciprocal volume</t>
  </si>
  <si>
    <t>reluctance</t>
  </si>
  <si>
    <t>relative rate</t>
  </si>
  <si>
    <t>use for strain rate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</si>
  <si>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</si>
  <si>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</si>
  <si>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</si>
  <si>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</si>
  <si>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</si>
  <si>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</si>
  <si>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</si>
  <si>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</si>
  <si>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</si>
  <si>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</si>
  <si>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</si>
  <si>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</si>
  <si>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</si>
  <si>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length</t>
  </si>
  <si>
    <t>thermodynamic temperature per thermodynamic temperature</t>
  </si>
  <si>
    <t>time per mass</t>
  </si>
  <si>
    <t>time per time</t>
  </si>
  <si>
    <t>time per volume</t>
  </si>
  <si>
    <t>volume flow rate per volume flow rate</t>
  </si>
  <si>
    <t>volume per length</t>
  </si>
  <si>
    <t>volume per mass</t>
  </si>
  <si>
    <t>volume per pressure</t>
  </si>
  <si>
    <t>volume per area</t>
  </si>
  <si>
    <t>volume per rotation</t>
  </si>
  <si>
    <t>volumetric heat transfer coefficient</t>
  </si>
  <si>
    <t>volumetric thermal expansion</t>
  </si>
  <si>
    <t>reciprocal time(0.5)</t>
  </si>
  <si>
    <t>used for pressure filtration</t>
  </si>
  <si>
    <t>volume or mass loss</t>
  </si>
  <si>
    <t>reciprocal square root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</si>
</sst>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
      <sz val="12"/>
      <color rgb="FF000000"/>
      <name val="Arial"/>
      <family val="2"/>
    </font>
  </fonts>
  <fills count="6">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0" fillId="0" borderId="0"/>
    <xf numFmtId="0" fontId="2" fillId="0" borderId="0"/>
    <xf numFmtId="0" fontId="3" fillId="0" borderId="0"/>
  </cellStyleXfs>
  <cellXfs count="40">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5" fillId="5" borderId="0" xfId="0" applyFont="1" applyFill="1"/>
    <xf numFmtId="0" fontId="14" fillId="0" borderId="4" xfId="0" applyFont="1" applyBorder="1"/>
    <xf numFmtId="0" fontId="4" fillId="3" borderId="0" xfId="0" applyFont="1" applyFill="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5" xfId="0" applyFont="1" applyBorder="1" applyAlignment="1">
      <alignment vertical="center" wrapText="1"/>
    </xf>
    <xf numFmtId="0" fontId="17" fillId="0" borderId="0" xfId="0" applyFont="1" applyAlignment="1">
      <alignment vertical="center"/>
    </xf>
    <xf numFmtId="0" fontId="4" fillId="0" borderId="2" xfId="0" applyFont="1" applyBorder="1" applyAlignment="1">
      <alignment vertical="center" wrapText="1"/>
    </xf>
    <xf numFmtId="0" fontId="18" fillId="0" borderId="0" xfId="0" applyFont="1" applyAlignment="1">
      <alignment wrapText="1"/>
    </xf>
    <xf numFmtId="0" fontId="0" fillId="0" borderId="0" xfId="0" applyFont="1" applyAlignment="1">
      <alignment vertical="center" wrapText="1"/>
    </xf>
    <xf numFmtId="0" fontId="19" fillId="0" borderId="0" xfId="0" applyFont="1"/>
  </cellXfs>
  <cellStyles count="3">
    <cellStyle name="Followed Hyperlink" xfId="2" builtinId="9" hidden="1"/>
    <cellStyle name="Hyperlink" xfId="1" builtinId="8" hidden="1"/>
    <cellStyle name="Normal" xfId="0" builtinId="0"/>
  </cellStyles>
  <dxfs count="23">
    <dxf>
      <font>
        <strike val="0"/>
        <condense val="0"/>
        <extend val="0"/>
        <outline val="0"/>
        <shadow val="0"/>
        <vertAlign val="baseline"/>
        <sz val="12"/>
        <color theme="3"/>
        <name val="Calibri"/>
        <family val="2"/>
        <scheme val="minor"/>
      </font>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vertAlign val="baseline"/>
        <color theme="0"/>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strike val="0"/>
        <outline val="0"/>
        <shadow val="0"/>
        <vertAlign val="baseline"/>
        <sz val="12"/>
        <name val="Calibri"/>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vertical="center" wrapText="1"/>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10" dataDxfId="9">
  <autoFilter ref="A1:E3" xr:uid="{00000000-0009-0000-0100-000001000000}"/>
  <tableColumns count="5">
    <tableColumn id="1" xr3:uid="{00000000-0010-0000-0000-000001000000}" name="Start" dataDxfId="8"/>
    <tableColumn id="4" xr3:uid="{00000000-0010-0000-0000-000004000000}" name="Dictionary ID" dataDxfId="7"/>
    <tableColumn id="5" xr3:uid="{00000000-0010-0000-0000-000005000000}" name="DictionaryFile"/>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J213" totalsRowShown="0" headerRowDxfId="22" dataDxfId="21">
  <autoFilter ref="A1:J213" xr:uid="{00000000-0009-0000-0100-000002000000}"/>
  <sortState xmlns:xlrd2="http://schemas.microsoft.com/office/spreadsheetml/2017/richdata2" ref="A2:H180">
    <sortCondition ref="B1:B180"/>
  </sortState>
  <tableColumns count="10">
    <tableColumn id="1" xr3:uid="{00000000-0010-0000-0100-000001000000}" name="Start" dataDxfId="20">
      <calculatedColumnFormula>IF(ISNA(VLOOKUP(B2,AssociatedElements!B$2:B623,1,FALSE)),"Not used","")</calculatedColumnFormula>
    </tableColumn>
    <tableColumn id="10" xr3:uid="{00000000-0010-0000-0100-00000A000000}" name="ID" dataDxfId="19"/>
    <tableColumn id="7" xr3:uid="{00000000-0010-0000-0100-000007000000}" name="Name" dataDxfId="18"/>
    <tableColumn id="3" xr3:uid="{00000000-0010-0000-0100-000003000000}" name="Description" dataDxfId="17"/>
    <tableColumn id="4" xr3:uid="{00000000-0010-0000-0100-000004000000}" name="DataType" dataDxfId="16"/>
    <tableColumn id="5" xr3:uid="{00000000-0010-0000-0100-000005000000}" name="QuantityClass" dataDxfId="15"/>
    <tableColumn id="6" xr3:uid="{00000000-0010-0000-0100-000006000000}" name="Authority" dataDxfId="14"/>
    <tableColumn id="9" xr3:uid="{00000000-0010-0000-0100-000009000000}" name="Reference" dataDxfId="13"/>
    <tableColumn id="2" xr3:uid="{00000000-0010-0000-0100-000002000000}" name="SLD Comment" dataDxfId="12"/>
    <tableColumn id="8" xr3:uid="{00000000-0010-0000-0100-000008000000}" name="SLD Changed" dataDxfId="1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336" totalsRowShown="0" headerRowDxfId="4">
  <autoFilter ref="A1:D336"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IF(ISNA(VLOOKUP([1]AssociatedElements!B2,Definitions!B$2:B$1604,1,FALSE)),"Not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D188" totalsRowShown="0">
  <autoFilter ref="A1:D188" xr:uid="{00000000-0009-0000-0100-000004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00000000-0010-0000-0300-000004000000}"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customHeight="1" thickBot="1">
      <c r="A1" s="3" t="s">
        <v>0</v>
      </c>
      <c r="B1" s="3" t="s">
        <v>661</v>
      </c>
      <c r="C1" s="8" t="s">
        <v>662</v>
      </c>
      <c r="D1" s="3" t="s">
        <v>663</v>
      </c>
      <c r="E1" s="3" t="s">
        <v>3</v>
      </c>
    </row>
    <row r="2" spans="1:5" s="3" customFormat="1" ht="18" customHeight="1" thickTop="1">
      <c r="A2" s="1"/>
      <c r="B2" s="1"/>
      <c r="C2" s="1"/>
      <c r="D2" s="1"/>
      <c r="E2" s="1" t="s">
        <v>664</v>
      </c>
    </row>
    <row r="3" spans="1:5" s="2" customFormat="1" ht="136" customHeight="1">
      <c r="B3" s="10" t="s">
        <v>665</v>
      </c>
      <c r="C3" s="10" t="s">
        <v>666</v>
      </c>
      <c r="D3" s="10" t="s">
        <v>667</v>
      </c>
      <c r="E3" s="2" t="s">
        <v>668</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213"/>
  <sheetViews>
    <sheetView tabSelected="1" topLeftCell="A197" zoomScale="150" zoomScaleNormal="150" workbookViewId="0">
      <selection activeCell="F199" sqref="F199"/>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9" width="10.83203125" style="2" customWidth="1"/>
    <col min="10" max="16384" width="10.83203125" style="2"/>
  </cols>
  <sheetData>
    <row r="1" spans="1:10" s="1" customFormat="1" ht="34" customHeight="1">
      <c r="A1" s="1" t="s">
        <v>0</v>
      </c>
      <c r="B1" s="1" t="s">
        <v>1</v>
      </c>
      <c r="C1" s="1" t="s">
        <v>2</v>
      </c>
      <c r="D1" s="27" t="s">
        <v>3</v>
      </c>
      <c r="E1" s="1" t="s">
        <v>4</v>
      </c>
      <c r="F1" s="1" t="s">
        <v>5</v>
      </c>
      <c r="G1" s="1" t="s">
        <v>6</v>
      </c>
      <c r="H1" s="1" t="s">
        <v>7</v>
      </c>
      <c r="I1" s="1" t="s">
        <v>8</v>
      </c>
      <c r="J1" s="1" t="s">
        <v>9</v>
      </c>
    </row>
    <row r="2" spans="1:10" ht="68" customHeight="1">
      <c r="A2" s="2" t="str">
        <f>IF(ISNA(VLOOKUP(B2,AssociatedElements!B$2:B623,1,FALSE)),"Not used","")</f>
        <v/>
      </c>
      <c r="B2" s="10" t="s">
        <v>10</v>
      </c>
      <c r="C2" s="10" t="s">
        <v>11</v>
      </c>
      <c r="D2" s="13" t="s">
        <v>12</v>
      </c>
      <c r="E2" s="10" t="s">
        <v>13</v>
      </c>
      <c r="F2" s="10" t="s">
        <v>14</v>
      </c>
    </row>
    <row r="3" spans="1:10" ht="85" customHeight="1">
      <c r="A3" s="2" t="str">
        <f>IF(ISNA(VLOOKUP(B3,AssociatedElements!B$2:B624,1,FALSE)),"Not used","")</f>
        <v/>
      </c>
      <c r="B3" s="2" t="s">
        <v>15</v>
      </c>
      <c r="C3" s="2" t="s">
        <v>16</v>
      </c>
      <c r="D3" s="2" t="s">
        <v>17</v>
      </c>
      <c r="E3" s="2" t="s">
        <v>18</v>
      </c>
    </row>
    <row r="4" spans="1:10" ht="34" customHeight="1">
      <c r="A4" s="2" t="str">
        <f>IF(ISNA(VLOOKUP(B4,AssociatedElements!B$2:B625,1,FALSE)),"Not used","")</f>
        <v/>
      </c>
      <c r="B4" s="2" t="s">
        <v>19</v>
      </c>
      <c r="C4" s="2" t="s">
        <v>20</v>
      </c>
      <c r="D4" s="2" t="s">
        <v>21</v>
      </c>
      <c r="E4" s="2" t="s">
        <v>18</v>
      </c>
    </row>
    <row r="5" spans="1:10" ht="34" customHeight="1">
      <c r="A5" s="2" t="str">
        <f>IF(ISNA(VLOOKUP(B5,AssociatedElements!B$2:B626,1,FALSE)),"Not used","")</f>
        <v/>
      </c>
      <c r="B5" s="2" t="s">
        <v>22</v>
      </c>
      <c r="C5" s="2" t="s">
        <v>23</v>
      </c>
      <c r="D5" s="2" t="s">
        <v>24</v>
      </c>
      <c r="E5" s="2" t="s">
        <v>13</v>
      </c>
    </row>
    <row r="6" spans="1:10" ht="34" customHeight="1">
      <c r="A6" s="2" t="str">
        <f>IF(ISNA(VLOOKUP(B6,AssociatedElements!B$2:B627,1,FALSE)),"Not used","")</f>
        <v/>
      </c>
      <c r="B6" s="2" t="s">
        <v>25</v>
      </c>
      <c r="C6" s="2" t="s">
        <v>26</v>
      </c>
      <c r="D6" s="2" t="s">
        <v>27</v>
      </c>
      <c r="E6" s="2" t="s">
        <v>13</v>
      </c>
    </row>
    <row r="7" spans="1:10" ht="51" customHeight="1">
      <c r="A7" s="2" t="str">
        <f>IF(ISNA(VLOOKUP(B7,AssociatedElements!B$2:B628,1,FALSE)),"Not used","")</f>
        <v/>
      </c>
      <c r="B7" s="2" t="s">
        <v>28</v>
      </c>
      <c r="C7" s="2" t="s">
        <v>29</v>
      </c>
      <c r="D7" s="2" t="s">
        <v>30</v>
      </c>
      <c r="E7" s="2" t="s">
        <v>13</v>
      </c>
    </row>
    <row r="8" spans="1:10" ht="51" customHeight="1">
      <c r="A8" s="2" t="str">
        <f>IF(ISNA(VLOOKUP(B8,AssociatedElements!B$2:B629,1,FALSE)),"Not used","")</f>
        <v/>
      </c>
      <c r="B8" s="2" t="s">
        <v>31</v>
      </c>
      <c r="C8" s="2" t="s">
        <v>32</v>
      </c>
      <c r="D8" s="2" t="s">
        <v>33</v>
      </c>
      <c r="E8" s="2" t="s">
        <v>13</v>
      </c>
      <c r="F8" s="28" t="s">
        <v>34</v>
      </c>
      <c r="J8" s="2" t="s">
        <v>35</v>
      </c>
    </row>
    <row r="9" spans="1:10" ht="60.75" customHeight="1">
      <c r="A9" s="2" t="str">
        <f>IF(ISNA(VLOOKUP(B9,AssociatedElements!B$2:B630,1,FALSE)),"Not used","")</f>
        <v/>
      </c>
      <c r="B9" s="11" t="s">
        <v>36</v>
      </c>
      <c r="C9" s="11" t="s">
        <v>37</v>
      </c>
      <c r="D9" s="12" t="s">
        <v>38</v>
      </c>
      <c r="E9" s="11" t="s">
        <v>13</v>
      </c>
      <c r="F9" s="28" t="s">
        <v>34</v>
      </c>
      <c r="J9" s="2" t="s">
        <v>35</v>
      </c>
    </row>
    <row r="10" spans="1:10" ht="51" customHeight="1">
      <c r="A10" s="2" t="str">
        <f>IF(ISNA(VLOOKUP(B10,AssociatedElements!B$2:B631,1,FALSE)),"Not used","")</f>
        <v/>
      </c>
      <c r="B10" s="11" t="s">
        <v>39</v>
      </c>
      <c r="C10" s="11" t="s">
        <v>40</v>
      </c>
      <c r="D10" s="12" t="s">
        <v>41</v>
      </c>
      <c r="E10" s="11" t="s">
        <v>13</v>
      </c>
      <c r="F10" s="28" t="s">
        <v>34</v>
      </c>
      <c r="J10" s="2" t="s">
        <v>35</v>
      </c>
    </row>
    <row r="11" spans="1:10" ht="34" customHeight="1">
      <c r="A11" s="2" t="str">
        <f>IF(ISNA(VLOOKUP(B11,AssociatedElements!B$2:B632,1,FALSE)),"Not used","")</f>
        <v/>
      </c>
      <c r="B11" s="11" t="s">
        <v>42</v>
      </c>
      <c r="C11" s="11" t="s">
        <v>43</v>
      </c>
      <c r="D11" s="12" t="s">
        <v>44</v>
      </c>
      <c r="E11" s="11" t="s">
        <v>45</v>
      </c>
      <c r="F11" s="11"/>
    </row>
    <row r="12" spans="1:10" ht="51" customHeight="1">
      <c r="A12" s="2" t="str">
        <f>IF(ISNA(VLOOKUP(B12,AssociatedElements!B$2:B633,1,FALSE)),"Not used","")</f>
        <v/>
      </c>
      <c r="B12" s="11" t="s">
        <v>46</v>
      </c>
      <c r="C12" s="11" t="s">
        <v>47</v>
      </c>
      <c r="D12" s="12" t="s">
        <v>48</v>
      </c>
      <c r="E12" s="11" t="s">
        <v>45</v>
      </c>
      <c r="F12" s="11"/>
      <c r="G12" s="11"/>
      <c r="H12" s="11"/>
    </row>
    <row r="13" spans="1:10" ht="34" customHeight="1">
      <c r="A13" s="2" t="str">
        <f>IF(ISNA(VLOOKUP(B13,AssociatedElements!B$2:B634,1,FALSE)),"Not used","")</f>
        <v/>
      </c>
      <c r="B13" s="11" t="s">
        <v>49</v>
      </c>
      <c r="C13" s="11" t="s">
        <v>50</v>
      </c>
      <c r="D13" s="12" t="s">
        <v>51</v>
      </c>
      <c r="E13" s="11" t="s">
        <v>45</v>
      </c>
      <c r="F13" s="11"/>
      <c r="G13" s="11"/>
      <c r="H13" s="11"/>
    </row>
    <row r="14" spans="1:10" ht="34" customHeight="1">
      <c r="A14" s="2" t="str">
        <f>IF(ISNA(VLOOKUP(B14,AssociatedElements!B$2:B635,1,FALSE)),"Not used","")</f>
        <v/>
      </c>
      <c r="B14" s="2" t="s">
        <v>52</v>
      </c>
      <c r="C14" s="2" t="s">
        <v>53</v>
      </c>
      <c r="D14" s="2" t="s">
        <v>54</v>
      </c>
      <c r="E14" s="2" t="s">
        <v>13</v>
      </c>
      <c r="F14" s="28" t="s">
        <v>34</v>
      </c>
      <c r="J14" s="2" t="s">
        <v>35</v>
      </c>
    </row>
    <row r="15" spans="1:10" ht="85" customHeight="1">
      <c r="A15" s="2" t="str">
        <f>IF(ISNA(VLOOKUP(B15,AssociatedElements!B$2:B636,1,FALSE)),"Not used","")</f>
        <v/>
      </c>
      <c r="B15" s="11" t="s">
        <v>55</v>
      </c>
      <c r="C15" s="11" t="s">
        <v>56</v>
      </c>
      <c r="D15" s="12" t="s">
        <v>57</v>
      </c>
      <c r="E15" s="11" t="s">
        <v>13</v>
      </c>
      <c r="F15" s="28" t="s">
        <v>34</v>
      </c>
      <c r="G15" s="11"/>
      <c r="H15" s="11"/>
      <c r="J15" s="2" t="s">
        <v>35</v>
      </c>
    </row>
    <row r="16" spans="1:10" ht="68" customHeight="1">
      <c r="A16" s="2" t="str">
        <f>IF(ISNA(VLOOKUP(B16,AssociatedElements!B$2:B637,1,FALSE)),"Not used","")</f>
        <v/>
      </c>
      <c r="B16" s="11" t="s">
        <v>58</v>
      </c>
      <c r="C16" s="11" t="s">
        <v>59</v>
      </c>
      <c r="D16" s="12" t="s">
        <v>60</v>
      </c>
      <c r="E16" s="11" t="s">
        <v>13</v>
      </c>
      <c r="F16" s="11" t="s">
        <v>14</v>
      </c>
      <c r="G16" s="11"/>
      <c r="H16" s="11"/>
    </row>
    <row r="17" spans="1:10" ht="51" customHeight="1">
      <c r="A17" s="2" t="str">
        <f>IF(ISNA(VLOOKUP(B17,AssociatedElements!B$2:B638,1,FALSE)),"Not used","")</f>
        <v/>
      </c>
      <c r="B17" s="11" t="s">
        <v>61</v>
      </c>
      <c r="C17" s="11" t="s">
        <v>62</v>
      </c>
      <c r="D17" s="12" t="s">
        <v>63</v>
      </c>
      <c r="E17" s="11" t="s">
        <v>13</v>
      </c>
      <c r="F17" s="11" t="s">
        <v>64</v>
      </c>
      <c r="G17" s="11"/>
      <c r="H17" s="11"/>
    </row>
    <row r="18" spans="1:10" ht="102" customHeight="1">
      <c r="A18" s="2" t="str">
        <f>IF(ISNA(VLOOKUP(B18,AssociatedElements!B$2:B639,1,FALSE)),"Not used","")</f>
        <v/>
      </c>
      <c r="B18" s="11" t="s">
        <v>65</v>
      </c>
      <c r="C18" s="11" t="s">
        <v>66</v>
      </c>
      <c r="D18" s="12" t="s">
        <v>67</v>
      </c>
      <c r="E18" s="11" t="s">
        <v>45</v>
      </c>
      <c r="F18" s="11" t="s">
        <v>68</v>
      </c>
      <c r="G18" s="11"/>
      <c r="H18" s="11"/>
    </row>
    <row r="19" spans="1:10" ht="85" customHeight="1">
      <c r="A19" s="2" t="str">
        <f>IF(ISNA(VLOOKUP(B19,AssociatedElements!B$2:B640,1,FALSE)),"Not used","")</f>
        <v/>
      </c>
      <c r="B19" s="11" t="s">
        <v>69</v>
      </c>
      <c r="C19" s="11" t="s">
        <v>70</v>
      </c>
      <c r="D19" s="12" t="s">
        <v>71</v>
      </c>
      <c r="E19" s="11" t="s">
        <v>13</v>
      </c>
      <c r="F19" s="11" t="s">
        <v>72</v>
      </c>
      <c r="G19" s="11"/>
      <c r="H19" s="11"/>
    </row>
    <row r="20" spans="1:10" ht="68" customHeight="1">
      <c r="A20" s="2" t="str">
        <f>IF(ISNA(VLOOKUP(B20,AssociatedElements!B$2:B641,1,FALSE)),"Not used","")</f>
        <v/>
      </c>
      <c r="B20" s="11" t="s">
        <v>73</v>
      </c>
      <c r="C20" s="11" t="s">
        <v>74</v>
      </c>
      <c r="D20" s="12" t="s">
        <v>75</v>
      </c>
      <c r="E20" s="11" t="s">
        <v>13</v>
      </c>
      <c r="F20" s="11" t="s">
        <v>14</v>
      </c>
      <c r="G20" s="11"/>
      <c r="H20" s="11"/>
    </row>
    <row r="21" spans="1:10" ht="68" customHeight="1">
      <c r="A21" s="2" t="str">
        <f>IF(ISNA(VLOOKUP(B21,AssociatedElements!B$2:B642,1,FALSE)),"Not used","")</f>
        <v/>
      </c>
      <c r="B21" s="11" t="s">
        <v>76</v>
      </c>
      <c r="C21" s="11" t="s">
        <v>77</v>
      </c>
      <c r="D21" s="12" t="s">
        <v>78</v>
      </c>
      <c r="E21" s="11" t="s">
        <v>13</v>
      </c>
      <c r="F21" s="11" t="s">
        <v>68</v>
      </c>
      <c r="G21" s="11"/>
      <c r="H21" s="11"/>
    </row>
    <row r="22" spans="1:10" ht="68" customHeight="1">
      <c r="A22" s="2" t="str">
        <f>IF(ISNA(VLOOKUP(B22,AssociatedElements!B$2:B643,1,FALSE)),"Not used","")</f>
        <v/>
      </c>
      <c r="B22" s="11" t="s">
        <v>79</v>
      </c>
      <c r="C22" s="11" t="s">
        <v>80</v>
      </c>
      <c r="D22" s="12" t="s">
        <v>81</v>
      </c>
      <c r="E22" s="11" t="s">
        <v>13</v>
      </c>
      <c r="F22" s="11" t="s">
        <v>68</v>
      </c>
      <c r="G22" s="11"/>
      <c r="H22" s="11"/>
    </row>
    <row r="23" spans="1:10" ht="170" customHeight="1">
      <c r="A23" s="2" t="str">
        <f>IF(ISNA(VLOOKUP(B23,AssociatedElements!B$2:B644,1,FALSE)),"Not used","")</f>
        <v/>
      </c>
      <c r="B23" s="11" t="s">
        <v>82</v>
      </c>
      <c r="C23" s="11" t="s">
        <v>83</v>
      </c>
      <c r="D23" s="12" t="s">
        <v>84</v>
      </c>
      <c r="E23" s="11" t="s">
        <v>13</v>
      </c>
      <c r="F23" s="11"/>
      <c r="G23" s="11"/>
      <c r="H23" s="11"/>
    </row>
    <row r="24" spans="1:10" ht="34" customHeight="1">
      <c r="A24" s="2" t="str">
        <f>IF(ISNA(VLOOKUP(B24,AssociatedElements!B$2:B645,1,FALSE)),"Not used","")</f>
        <v/>
      </c>
      <c r="B24" s="11" t="s">
        <v>85</v>
      </c>
      <c r="C24" s="11" t="s">
        <v>86</v>
      </c>
      <c r="D24" s="12" t="s">
        <v>87</v>
      </c>
      <c r="E24" s="11" t="s">
        <v>13</v>
      </c>
      <c r="F24" s="11" t="s">
        <v>88</v>
      </c>
      <c r="G24" s="11"/>
      <c r="H24" s="11"/>
    </row>
    <row r="25" spans="1:10" ht="51" customHeight="1">
      <c r="A25" s="2" t="str">
        <f>IF(ISNA(VLOOKUP(B25,AssociatedElements!B$2:B646,1,FALSE)),"Not used","")</f>
        <v/>
      </c>
      <c r="B25" s="11" t="s">
        <v>89</v>
      </c>
      <c r="C25" s="11" t="s">
        <v>90</v>
      </c>
      <c r="D25" s="28" t="s">
        <v>91</v>
      </c>
      <c r="E25" s="33" t="s">
        <v>13</v>
      </c>
      <c r="F25" s="28" t="s">
        <v>34</v>
      </c>
      <c r="G25" s="11"/>
      <c r="H25" s="11"/>
      <c r="J25" s="2" t="s">
        <v>35</v>
      </c>
    </row>
    <row r="26" spans="1:10" ht="51" customHeight="1">
      <c r="A26" s="2" t="str">
        <f>IF(ISNA(VLOOKUP(B26,AssociatedElements!B$2:B647,1,FALSE)),"Not used","")</f>
        <v/>
      </c>
      <c r="B26" s="11" t="s">
        <v>92</v>
      </c>
      <c r="C26" s="11" t="s">
        <v>93</v>
      </c>
      <c r="D26" s="28" t="s">
        <v>94</v>
      </c>
      <c r="E26" s="33" t="s">
        <v>13</v>
      </c>
      <c r="F26" s="28" t="s">
        <v>34</v>
      </c>
      <c r="G26" s="11"/>
      <c r="H26" s="11"/>
      <c r="J26" s="2" t="s">
        <v>35</v>
      </c>
    </row>
    <row r="27" spans="1:10" ht="51" customHeight="1">
      <c r="A27" s="2" t="str">
        <f>IF(ISNA(VLOOKUP(B27,AssociatedElements!B$2:B648,1,FALSE)),"Not used","")</f>
        <v/>
      </c>
      <c r="B27" s="11" t="s">
        <v>95</v>
      </c>
      <c r="C27" s="11" t="s">
        <v>96</v>
      </c>
      <c r="D27" s="12" t="s">
        <v>97</v>
      </c>
      <c r="E27" s="11" t="s">
        <v>13</v>
      </c>
      <c r="F27" s="11" t="s">
        <v>98</v>
      </c>
      <c r="G27" s="11"/>
      <c r="H27" s="11"/>
    </row>
    <row r="28" spans="1:10" ht="34" customHeight="1">
      <c r="A28" s="2" t="str">
        <f>IF(ISNA(VLOOKUP(B28,AssociatedElements!B$2:B649,1,FALSE)),"Not used","")</f>
        <v/>
      </c>
      <c r="B28" s="11" t="s">
        <v>99</v>
      </c>
      <c r="C28" s="11" t="s">
        <v>100</v>
      </c>
      <c r="D28" s="12" t="s">
        <v>101</v>
      </c>
      <c r="E28" s="11" t="s">
        <v>13</v>
      </c>
      <c r="F28" s="11" t="s">
        <v>98</v>
      </c>
      <c r="G28" s="11"/>
      <c r="H28" s="11"/>
    </row>
    <row r="29" spans="1:10" ht="34" customHeight="1">
      <c r="A29" s="2" t="str">
        <f>IF(ISNA(VLOOKUP(B29,AssociatedElements!B$2:B650,1,FALSE)),"Not used","")</f>
        <v/>
      </c>
      <c r="B29" s="11" t="s">
        <v>102</v>
      </c>
      <c r="C29" s="11" t="s">
        <v>103</v>
      </c>
      <c r="D29" s="28" t="s">
        <v>104</v>
      </c>
      <c r="E29" s="11" t="s">
        <v>13</v>
      </c>
      <c r="F29" s="11"/>
      <c r="G29" s="11"/>
      <c r="H29" s="11"/>
    </row>
    <row r="30" spans="1:10" ht="34" customHeight="1">
      <c r="A30" s="2" t="str">
        <f>IF(ISNA(VLOOKUP(B30,AssociatedElements!B$2:B651,1,FALSE)),"Not used","")</f>
        <v/>
      </c>
      <c r="B30" s="11" t="s">
        <v>105</v>
      </c>
      <c r="C30" s="11" t="s">
        <v>106</v>
      </c>
      <c r="D30" s="28" t="s">
        <v>107</v>
      </c>
      <c r="E30" s="11" t="s">
        <v>13</v>
      </c>
      <c r="F30" s="11"/>
      <c r="G30" s="11"/>
      <c r="H30" s="11"/>
    </row>
    <row r="31" spans="1:10" ht="68" customHeight="1">
      <c r="A31" s="2" t="str">
        <f>IF(ISNA(VLOOKUP(B31,AssociatedElements!B$2:B652,1,FALSE)),"Not used","")</f>
        <v/>
      </c>
      <c r="B31" s="11" t="s">
        <v>108</v>
      </c>
      <c r="C31" s="11" t="s">
        <v>109</v>
      </c>
      <c r="D31" s="12" t="s">
        <v>110</v>
      </c>
      <c r="E31" s="11" t="s">
        <v>13</v>
      </c>
      <c r="F31" s="11" t="s">
        <v>111</v>
      </c>
      <c r="G31" s="11"/>
      <c r="H31" s="11"/>
    </row>
    <row r="32" spans="1:10" ht="34" customHeight="1">
      <c r="A32" s="2" t="str">
        <f>IF(ISNA(VLOOKUP(B32,AssociatedElements!B$2:B653,1,FALSE)),"Not used","")</f>
        <v/>
      </c>
      <c r="B32" s="11" t="s">
        <v>112</v>
      </c>
      <c r="C32" s="11" t="s">
        <v>113</v>
      </c>
      <c r="D32" s="12" t="s">
        <v>114</v>
      </c>
      <c r="E32" s="11" t="s">
        <v>13</v>
      </c>
      <c r="F32" s="11" t="s">
        <v>111</v>
      </c>
      <c r="G32" s="11"/>
      <c r="H32" s="11"/>
    </row>
    <row r="33" spans="1:10" ht="34" customHeight="1">
      <c r="A33" s="2" t="str">
        <f>IF(ISNA(VLOOKUP(B33,AssociatedElements!B$2:B654,1,FALSE)),"Not used","")</f>
        <v/>
      </c>
      <c r="B33" s="11" t="s">
        <v>115</v>
      </c>
      <c r="C33" s="11" t="s">
        <v>116</v>
      </c>
      <c r="D33" s="12" t="s">
        <v>117</v>
      </c>
      <c r="E33" s="11" t="s">
        <v>13</v>
      </c>
      <c r="F33" s="11" t="s">
        <v>111</v>
      </c>
      <c r="G33" s="11"/>
      <c r="H33" s="11"/>
    </row>
    <row r="34" spans="1:10" ht="17" customHeight="1">
      <c r="A34" s="2" t="str">
        <f>IF(ISNA(VLOOKUP(B34,AssociatedElements!B$2:B655,1,FALSE)),"Not used","")</f>
        <v/>
      </c>
      <c r="B34" s="11" t="s">
        <v>118</v>
      </c>
      <c r="C34" s="11" t="s">
        <v>119</v>
      </c>
      <c r="D34" s="12" t="s">
        <v>120</v>
      </c>
      <c r="E34" s="11" t="s">
        <v>13</v>
      </c>
      <c r="F34" s="11" t="s">
        <v>111</v>
      </c>
      <c r="G34" s="11"/>
      <c r="H34" s="11"/>
    </row>
    <row r="35" spans="1:10" ht="17" customHeight="1">
      <c r="A35" s="2" t="str">
        <f>IF(ISNA(VLOOKUP(B35,AssociatedElements!B$2:B656,1,FALSE)),"Not used","")</f>
        <v/>
      </c>
      <c r="B35" s="11" t="s">
        <v>121</v>
      </c>
      <c r="C35" s="11" t="s">
        <v>122</v>
      </c>
      <c r="D35" s="28" t="s">
        <v>123</v>
      </c>
      <c r="E35" s="11" t="s">
        <v>13</v>
      </c>
      <c r="F35" s="11"/>
    </row>
    <row r="36" spans="1:10" ht="51" customHeight="1">
      <c r="A36" s="2" t="str">
        <f>IF(ISNA(VLOOKUP(B36,AssociatedElements!B$2:B657,1,FALSE)),"Not used","")</f>
        <v/>
      </c>
      <c r="B36" s="11" t="s">
        <v>124</v>
      </c>
      <c r="C36" s="11" t="s">
        <v>125</v>
      </c>
      <c r="D36" s="12" t="s">
        <v>126</v>
      </c>
      <c r="E36" s="11" t="s">
        <v>13</v>
      </c>
      <c r="F36" s="11" t="s">
        <v>14</v>
      </c>
    </row>
    <row r="37" spans="1:10" ht="34" customHeight="1">
      <c r="A37" s="2" t="str">
        <f>IF(ISNA(VLOOKUP(B37,AssociatedElements!B$2:B658,1,FALSE)),"Not used","")</f>
        <v/>
      </c>
      <c r="B37" s="11" t="s">
        <v>127</v>
      </c>
      <c r="C37" s="11" t="s">
        <v>128</v>
      </c>
      <c r="D37" s="12" t="s">
        <v>129</v>
      </c>
      <c r="E37" s="11" t="s">
        <v>13</v>
      </c>
      <c r="F37" s="11" t="s">
        <v>14</v>
      </c>
    </row>
    <row r="38" spans="1:10" ht="34" customHeight="1">
      <c r="A38" s="2" t="str">
        <f>IF(ISNA(VLOOKUP(B38,AssociatedElements!B$2:B659,1,FALSE)),"Not used","")</f>
        <v/>
      </c>
      <c r="B38" s="11" t="s">
        <v>130</v>
      </c>
      <c r="C38" s="11" t="s">
        <v>131</v>
      </c>
      <c r="D38" s="12" t="s">
        <v>132</v>
      </c>
      <c r="E38" s="11" t="s">
        <v>13</v>
      </c>
      <c r="F38" s="28" t="s">
        <v>34</v>
      </c>
      <c r="J38" s="2" t="s">
        <v>35</v>
      </c>
    </row>
    <row r="39" spans="1:10" ht="187" customHeight="1">
      <c r="A39" s="2" t="str">
        <f>IF(ISNA(VLOOKUP(B39,AssociatedElements!B$2:B660,1,FALSE)),"Not used","")</f>
        <v/>
      </c>
      <c r="B39" s="11" t="s">
        <v>133</v>
      </c>
      <c r="C39" s="11" t="s">
        <v>134</v>
      </c>
      <c r="D39" s="12" t="s">
        <v>135</v>
      </c>
      <c r="E39" s="11" t="s">
        <v>13</v>
      </c>
      <c r="F39" s="32"/>
    </row>
    <row r="40" spans="1:10" ht="34" customHeight="1">
      <c r="A40" s="2" t="str">
        <f>IF(ISNA(VLOOKUP(B40,AssociatedElements!B$2:B661,1,FALSE)),"Not used","")</f>
        <v/>
      </c>
      <c r="B40" s="11" t="s">
        <v>136</v>
      </c>
      <c r="C40" s="11" t="s">
        <v>137</v>
      </c>
      <c r="D40" s="12" t="s">
        <v>138</v>
      </c>
      <c r="E40" s="11" t="s">
        <v>13</v>
      </c>
      <c r="F40" s="11" t="s">
        <v>14</v>
      </c>
    </row>
    <row r="41" spans="1:10" ht="34" customHeight="1">
      <c r="A41" s="2" t="str">
        <f>IF(ISNA(VLOOKUP(B41,AssociatedElements!B$2:B662,1,FALSE)),"Not used","")</f>
        <v/>
      </c>
      <c r="B41" s="11" t="s">
        <v>139</v>
      </c>
      <c r="C41" s="11" t="s">
        <v>140</v>
      </c>
      <c r="D41" s="12" t="s">
        <v>141</v>
      </c>
      <c r="E41" s="11" t="s">
        <v>13</v>
      </c>
      <c r="F41" s="11" t="s">
        <v>142</v>
      </c>
    </row>
    <row r="42" spans="1:10" ht="85" customHeight="1">
      <c r="A42" s="2" t="str">
        <f>IF(ISNA(VLOOKUP(B42,AssociatedElements!B$2:B663,1,FALSE)),"Not used","")</f>
        <v/>
      </c>
      <c r="B42" s="11" t="s">
        <v>143</v>
      </c>
      <c r="C42" s="11" t="s">
        <v>144</v>
      </c>
      <c r="D42" s="12" t="s">
        <v>145</v>
      </c>
      <c r="E42" s="11" t="s">
        <v>45</v>
      </c>
      <c r="F42" s="11"/>
    </row>
    <row r="43" spans="1:10" ht="34" customHeight="1">
      <c r="A43" s="2" t="str">
        <f>IF(ISNA(VLOOKUP(B43,AssociatedElements!B$2:B664,1,FALSE)),"Not used","")</f>
        <v/>
      </c>
      <c r="B43" s="11" t="s">
        <v>146</v>
      </c>
      <c r="C43" s="11" t="s">
        <v>147</v>
      </c>
      <c r="D43" s="23" t="s">
        <v>148</v>
      </c>
      <c r="E43" s="11" t="s">
        <v>13</v>
      </c>
      <c r="F43" s="11" t="s">
        <v>14</v>
      </c>
    </row>
    <row r="44" spans="1:10" ht="34" customHeight="1">
      <c r="A44" s="2" t="str">
        <f>IF(ISNA(VLOOKUP(B44,AssociatedElements!B$2:B665,1,FALSE)),"Not used","")</f>
        <v/>
      </c>
      <c r="B44" s="11" t="s">
        <v>149</v>
      </c>
      <c r="C44" s="11" t="s">
        <v>149</v>
      </c>
      <c r="D44" s="23" t="s">
        <v>150</v>
      </c>
      <c r="E44" s="11" t="s">
        <v>13</v>
      </c>
      <c r="F44" s="11" t="s">
        <v>151</v>
      </c>
    </row>
    <row r="45" spans="1:10" ht="34" customHeight="1">
      <c r="A45" s="2" t="str">
        <f>IF(ISNA(VLOOKUP(B45,AssociatedElements!B$2:B666,1,FALSE)),"Not used","")</f>
        <v/>
      </c>
      <c r="B45" s="11" t="s">
        <v>152</v>
      </c>
      <c r="C45" s="11" t="s">
        <v>152</v>
      </c>
      <c r="D45" s="23" t="s">
        <v>153</v>
      </c>
      <c r="E45" s="11" t="s">
        <v>13</v>
      </c>
      <c r="F45" s="11" t="s">
        <v>151</v>
      </c>
    </row>
    <row r="46" spans="1:10" ht="34" customHeight="1">
      <c r="A46" s="2" t="str">
        <f>IF(ISNA(VLOOKUP(B46,AssociatedElements!B$2:B667,1,FALSE)),"Not used","")</f>
        <v/>
      </c>
      <c r="B46" s="11" t="s">
        <v>154</v>
      </c>
      <c r="C46" s="11" t="s">
        <v>154</v>
      </c>
      <c r="D46" s="25" t="s">
        <v>155</v>
      </c>
      <c r="E46" s="11" t="s">
        <v>13</v>
      </c>
      <c r="F46" s="11" t="s">
        <v>151</v>
      </c>
    </row>
    <row r="47" spans="1:10" ht="34" customHeight="1">
      <c r="A47" s="2" t="str">
        <f>IF(ISNA(VLOOKUP(B47,AssociatedElements!B$2:B668,1,FALSE)),"Not used","")</f>
        <v/>
      </c>
      <c r="B47" s="11" t="s">
        <v>156</v>
      </c>
      <c r="C47" s="11" t="s">
        <v>156</v>
      </c>
      <c r="D47" s="25" t="s">
        <v>157</v>
      </c>
      <c r="E47" s="11" t="s">
        <v>13</v>
      </c>
      <c r="F47" s="11" t="s">
        <v>151</v>
      </c>
    </row>
    <row r="48" spans="1:10" ht="34" customHeight="1">
      <c r="A48" s="2" t="str">
        <f>IF(ISNA(VLOOKUP(B48,AssociatedElements!B$2:B669,1,FALSE)),"Not used","")</f>
        <v/>
      </c>
      <c r="B48" s="11" t="s">
        <v>158</v>
      </c>
      <c r="C48" s="11" t="s">
        <v>158</v>
      </c>
      <c r="D48" s="25" t="s">
        <v>159</v>
      </c>
      <c r="E48" s="11" t="s">
        <v>13</v>
      </c>
      <c r="F48" s="11" t="s">
        <v>151</v>
      </c>
    </row>
    <row r="49" spans="1:10" ht="34" customHeight="1">
      <c r="A49" s="2" t="str">
        <f>IF(ISNA(VLOOKUP(B49,AssociatedElements!B$2:B670,1,FALSE)),"Not used","")</f>
        <v/>
      </c>
      <c r="B49" s="11" t="s">
        <v>160</v>
      </c>
      <c r="C49" s="11" t="s">
        <v>160</v>
      </c>
      <c r="D49" s="12" t="s">
        <v>161</v>
      </c>
      <c r="E49" s="11" t="s">
        <v>13</v>
      </c>
      <c r="F49" s="11" t="s">
        <v>151</v>
      </c>
    </row>
    <row r="50" spans="1:10" ht="34" customHeight="1">
      <c r="A50" s="2" t="str">
        <f>IF(ISNA(VLOOKUP(B50,AssociatedElements!B$2:B671,1,FALSE)),"Not used","")</f>
        <v/>
      </c>
      <c r="B50" s="11" t="s">
        <v>162</v>
      </c>
      <c r="C50" s="11" t="s">
        <v>163</v>
      </c>
      <c r="D50" s="28" t="s">
        <v>164</v>
      </c>
      <c r="E50" s="11" t="s">
        <v>13</v>
      </c>
      <c r="J50" s="2" t="s">
        <v>35</v>
      </c>
    </row>
    <row r="51" spans="1:10" ht="17" customHeight="1">
      <c r="A51" s="2" t="str">
        <f>IF(ISNA(VLOOKUP(B51,AssociatedElements!B$2:B672,1,FALSE)),"Not used","")</f>
        <v/>
      </c>
      <c r="B51" s="11" t="s">
        <v>165</v>
      </c>
      <c r="C51" s="11" t="s">
        <v>166</v>
      </c>
      <c r="D51" s="12" t="s">
        <v>167</v>
      </c>
      <c r="E51" s="11" t="s">
        <v>13</v>
      </c>
      <c r="F51" s="11" t="s">
        <v>168</v>
      </c>
    </row>
    <row r="52" spans="1:10" ht="34" customHeight="1">
      <c r="A52" s="2" t="str">
        <f>IF(ISNA(VLOOKUP(B52,AssociatedElements!B$2:B673,1,FALSE)),"Not used","")</f>
        <v/>
      </c>
      <c r="B52" s="2" t="s">
        <v>169</v>
      </c>
      <c r="C52" s="2" t="s">
        <v>170</v>
      </c>
      <c r="D52" s="2" t="s">
        <v>171</v>
      </c>
      <c r="E52" s="2" t="s">
        <v>13</v>
      </c>
      <c r="F52" s="2" t="s">
        <v>151</v>
      </c>
    </row>
    <row r="53" spans="1:10" ht="34" customHeight="1">
      <c r="A53" s="2" t="str">
        <f>IF(ISNA(VLOOKUP(B53,AssociatedElements!B$2:B674,1,FALSE)),"Not used","")</f>
        <v/>
      </c>
      <c r="B53" s="11" t="s">
        <v>172</v>
      </c>
      <c r="C53" s="11" t="s">
        <v>173</v>
      </c>
      <c r="D53" s="12" t="s">
        <v>174</v>
      </c>
      <c r="E53" s="11" t="s">
        <v>13</v>
      </c>
      <c r="F53" s="11" t="s">
        <v>175</v>
      </c>
    </row>
    <row r="54" spans="1:10" ht="51" customHeight="1">
      <c r="A54" s="2" t="str">
        <f>IF(ISNA(VLOOKUP(B54,AssociatedElements!B$2:B675,1,FALSE)),"Not used","")</f>
        <v/>
      </c>
      <c r="B54" s="11" t="s">
        <v>176</v>
      </c>
      <c r="C54" s="11" t="s">
        <v>177</v>
      </c>
      <c r="D54" s="34" t="s">
        <v>178</v>
      </c>
      <c r="E54" s="11" t="s">
        <v>13</v>
      </c>
      <c r="F54" s="11"/>
      <c r="J54" s="2" t="s">
        <v>35</v>
      </c>
    </row>
    <row r="55" spans="1:10" ht="119" customHeight="1">
      <c r="A55" s="2" t="str">
        <f>IF(ISNA(VLOOKUP(B55,AssociatedElements!B$2:B676,1,FALSE)),"Not used","")</f>
        <v/>
      </c>
      <c r="B55" s="11" t="s">
        <v>179</v>
      </c>
      <c r="C55" s="11" t="s">
        <v>180</v>
      </c>
      <c r="D55" s="12" t="s">
        <v>181</v>
      </c>
      <c r="E55" s="11" t="s">
        <v>13</v>
      </c>
      <c r="F55" s="11" t="s">
        <v>14</v>
      </c>
    </row>
    <row r="56" spans="1:10" ht="51" customHeight="1">
      <c r="A56" s="2" t="str">
        <f>IF(ISNA(VLOOKUP(B56,AssociatedElements!B$2:B677,1,FALSE)),"Not used","")</f>
        <v/>
      </c>
      <c r="B56" s="11" t="s">
        <v>182</v>
      </c>
      <c r="C56" s="11" t="s">
        <v>183</v>
      </c>
      <c r="D56" s="12" t="s">
        <v>184</v>
      </c>
      <c r="E56" s="11" t="s">
        <v>13</v>
      </c>
      <c r="F56" s="11" t="s">
        <v>72</v>
      </c>
    </row>
    <row r="57" spans="1:10" ht="119" customHeight="1">
      <c r="A57" s="2" t="str">
        <f>IF(ISNA(VLOOKUP(B57,AssociatedElements!B$2:B678,1,FALSE)),"Not used","")</f>
        <v/>
      </c>
      <c r="B57" s="11" t="s">
        <v>185</v>
      </c>
      <c r="C57" s="11" t="s">
        <v>186</v>
      </c>
      <c r="D57" s="12" t="s">
        <v>187</v>
      </c>
      <c r="E57" s="11" t="s">
        <v>13</v>
      </c>
      <c r="F57" s="11" t="s">
        <v>72</v>
      </c>
    </row>
    <row r="58" spans="1:10" ht="34" customHeight="1">
      <c r="A58" s="2" t="str">
        <f>IF(ISNA(VLOOKUP(B58,AssociatedElements!B$2:B679,1,FALSE)),"Not used","")</f>
        <v/>
      </c>
      <c r="B58" s="11" t="s">
        <v>188</v>
      </c>
      <c r="C58" s="11" t="s">
        <v>189</v>
      </c>
      <c r="D58" s="12" t="s">
        <v>190</v>
      </c>
      <c r="E58" s="11" t="s">
        <v>13</v>
      </c>
      <c r="F58" s="11" t="s">
        <v>14</v>
      </c>
    </row>
    <row r="59" spans="1:10" ht="17" customHeight="1">
      <c r="A59" s="2" t="str">
        <f>IF(ISNA(VLOOKUP(B59,AssociatedElements!B$2:B680,1,FALSE)),"Not used","")</f>
        <v/>
      </c>
      <c r="B59" s="2" t="s">
        <v>191</v>
      </c>
      <c r="C59" s="31" t="s">
        <v>192</v>
      </c>
      <c r="D59" s="31" t="s">
        <v>193</v>
      </c>
      <c r="E59" s="28" t="s">
        <v>13</v>
      </c>
      <c r="F59" s="2" t="s">
        <v>168</v>
      </c>
    </row>
    <row r="60" spans="1:10" ht="17" customHeight="1">
      <c r="A60" s="2" t="str">
        <f>IF(ISNA(VLOOKUP(B60,AssociatedElements!B$2:B681,1,FALSE)),"Not used","")</f>
        <v/>
      </c>
      <c r="B60" s="11" t="s">
        <v>194</v>
      </c>
      <c r="C60" s="11" t="s">
        <v>195</v>
      </c>
      <c r="D60" s="12" t="s">
        <v>196</v>
      </c>
      <c r="E60" s="11" t="s">
        <v>13</v>
      </c>
      <c r="F60" s="11" t="s">
        <v>197</v>
      </c>
    </row>
    <row r="61" spans="1:10" ht="85" customHeight="1">
      <c r="A61" s="2" t="str">
        <f>IF(ISNA(VLOOKUP(B61,AssociatedElements!B$2:B682,1,FALSE)),"Not used","")</f>
        <v/>
      </c>
      <c r="B61" s="11" t="s">
        <v>198</v>
      </c>
      <c r="C61" s="11" t="s">
        <v>199</v>
      </c>
      <c r="D61" s="12" t="s">
        <v>200</v>
      </c>
      <c r="E61" s="11" t="s">
        <v>13</v>
      </c>
      <c r="F61" s="11"/>
    </row>
    <row r="62" spans="1:10" ht="17" customHeight="1">
      <c r="A62" s="2" t="str">
        <f>IF(ISNA(VLOOKUP(B62,AssociatedElements!B$2:B683,1,FALSE)),"Not used","")</f>
        <v/>
      </c>
      <c r="B62" s="11" t="s">
        <v>201</v>
      </c>
      <c r="C62" s="11" t="s">
        <v>202</v>
      </c>
      <c r="D62" s="12" t="s">
        <v>203</v>
      </c>
      <c r="E62" s="11" t="s">
        <v>13</v>
      </c>
      <c r="F62" s="11" t="s">
        <v>168</v>
      </c>
    </row>
    <row r="63" spans="1:10" ht="17" customHeight="1">
      <c r="A63" s="2" t="str">
        <f>IF(ISNA(VLOOKUP(B63,AssociatedElements!B$2:B684,1,FALSE)),"Not used","")</f>
        <v/>
      </c>
      <c r="B63" s="2" t="s">
        <v>204</v>
      </c>
      <c r="C63" s="2" t="s">
        <v>205</v>
      </c>
      <c r="D63" s="2" t="s">
        <v>206</v>
      </c>
      <c r="E63" s="2" t="s">
        <v>13</v>
      </c>
      <c r="F63" s="2" t="s">
        <v>207</v>
      </c>
    </row>
    <row r="64" spans="1:10" ht="17" customHeight="1">
      <c r="A64" s="2" t="str">
        <f>IF(ISNA(VLOOKUP(B64,AssociatedElements!B$2:B685,1,FALSE)),"Not used","")</f>
        <v/>
      </c>
      <c r="B64" s="2" t="s">
        <v>208</v>
      </c>
      <c r="C64" s="2" t="s">
        <v>209</v>
      </c>
      <c r="D64" s="2" t="s">
        <v>210</v>
      </c>
      <c r="E64" s="2" t="s">
        <v>13</v>
      </c>
      <c r="F64" s="2" t="s">
        <v>211</v>
      </c>
    </row>
    <row r="65" spans="1:6" ht="17" customHeight="1">
      <c r="A65" s="2" t="str">
        <f>IF(ISNA(VLOOKUP(B65,AssociatedElements!B$2:B686,1,FALSE)),"Not used","")</f>
        <v/>
      </c>
      <c r="B65" s="11" t="s">
        <v>212</v>
      </c>
      <c r="C65" s="11" t="s">
        <v>213</v>
      </c>
      <c r="D65" s="12" t="s">
        <v>214</v>
      </c>
      <c r="E65" s="11" t="s">
        <v>13</v>
      </c>
      <c r="F65" s="11" t="s">
        <v>175</v>
      </c>
    </row>
    <row r="66" spans="1:6" ht="34" customHeight="1">
      <c r="A66" s="2" t="str">
        <f>IF(ISNA(VLOOKUP(B66,AssociatedElements!B$2:B687,1,FALSE)),"Not used","")</f>
        <v/>
      </c>
      <c r="B66" s="11" t="s">
        <v>215</v>
      </c>
      <c r="C66" s="11" t="s">
        <v>216</v>
      </c>
      <c r="D66" s="12" t="s">
        <v>217</v>
      </c>
      <c r="E66" s="11" t="s">
        <v>13</v>
      </c>
      <c r="F66" s="11" t="s">
        <v>175</v>
      </c>
    </row>
    <row r="67" spans="1:6" ht="51" customHeight="1">
      <c r="A67" s="2" t="str">
        <f>IF(ISNA(VLOOKUP(B67,AssociatedElements!B$2:B688,1,FALSE)),"Not used","")</f>
        <v/>
      </c>
      <c r="B67" s="11" t="s">
        <v>218</v>
      </c>
      <c r="C67" s="11" t="s">
        <v>219</v>
      </c>
      <c r="D67" s="12" t="s">
        <v>220</v>
      </c>
      <c r="E67" s="11" t="s">
        <v>13</v>
      </c>
      <c r="F67" s="11" t="s">
        <v>175</v>
      </c>
    </row>
    <row r="68" spans="1:6" ht="17" customHeight="1">
      <c r="A68" s="2" t="str">
        <f>IF(ISNA(VLOOKUP(B68,AssociatedElements!B$2:B689,1,FALSE)),"Not used","")</f>
        <v/>
      </c>
      <c r="B68" s="11" t="s">
        <v>221</v>
      </c>
      <c r="C68" s="11" t="s">
        <v>222</v>
      </c>
      <c r="D68" s="12" t="s">
        <v>223</v>
      </c>
      <c r="E68" s="11" t="s">
        <v>13</v>
      </c>
      <c r="F68" s="11" t="s">
        <v>68</v>
      </c>
    </row>
    <row r="69" spans="1:6" ht="34" customHeight="1">
      <c r="A69" s="2" t="str">
        <f>IF(ISNA(VLOOKUP(B69,AssociatedElements!B$2:B690,1,FALSE)),"Not used","")</f>
        <v/>
      </c>
      <c r="B69" s="11" t="s">
        <v>224</v>
      </c>
      <c r="C69" s="11" t="s">
        <v>225</v>
      </c>
      <c r="D69" s="12" t="s">
        <v>226</v>
      </c>
      <c r="E69" s="11" t="s">
        <v>13</v>
      </c>
      <c r="F69" s="11" t="s">
        <v>151</v>
      </c>
    </row>
    <row r="70" spans="1:6" ht="17" customHeight="1">
      <c r="A70" s="2" t="str">
        <f>IF(ISNA(VLOOKUP(B70,AssociatedElements!B$2:B691,1,FALSE)),"Not used","")</f>
        <v/>
      </c>
      <c r="B70" s="2" t="s">
        <v>227</v>
      </c>
      <c r="C70" s="31" t="s">
        <v>228</v>
      </c>
      <c r="D70" s="31" t="s">
        <v>229</v>
      </c>
      <c r="E70" s="28" t="s">
        <v>13</v>
      </c>
      <c r="F70" s="2" t="s">
        <v>14</v>
      </c>
    </row>
    <row r="71" spans="1:6" ht="51" customHeight="1">
      <c r="A71" s="2" t="str">
        <f>IF(ISNA(VLOOKUP(B71,AssociatedElements!B$2:B692,1,FALSE)),"Not used","")</f>
        <v/>
      </c>
      <c r="B71" s="11" t="s">
        <v>230</v>
      </c>
      <c r="C71" s="11" t="s">
        <v>231</v>
      </c>
      <c r="D71" s="12" t="s">
        <v>232</v>
      </c>
      <c r="E71" s="11" t="s">
        <v>13</v>
      </c>
      <c r="F71" s="11" t="s">
        <v>168</v>
      </c>
    </row>
    <row r="72" spans="1:6" ht="17" customHeight="1">
      <c r="A72" s="2" t="str">
        <f>IF(ISNA(VLOOKUP(B72,AssociatedElements!B$2:B693,1,FALSE)),"Not used","")</f>
        <v/>
      </c>
      <c r="B72" s="11" t="s">
        <v>233</v>
      </c>
      <c r="C72" s="11" t="s">
        <v>233</v>
      </c>
      <c r="D72" s="12" t="s">
        <v>234</v>
      </c>
      <c r="E72" s="11" t="s">
        <v>13</v>
      </c>
      <c r="F72" s="11" t="s">
        <v>235</v>
      </c>
    </row>
    <row r="73" spans="1:6" ht="85" customHeight="1">
      <c r="A73" s="2" t="str">
        <f>IF(ISNA(VLOOKUP(B73,AssociatedElements!B$2:B694,1,FALSE)),"Not used","")</f>
        <v/>
      </c>
      <c r="B73" s="11" t="s">
        <v>236</v>
      </c>
      <c r="C73" s="11" t="s">
        <v>237</v>
      </c>
      <c r="D73" s="12" t="s">
        <v>238</v>
      </c>
      <c r="E73" s="11" t="s">
        <v>13</v>
      </c>
      <c r="F73" s="11" t="s">
        <v>68</v>
      </c>
    </row>
    <row r="74" spans="1:6" ht="34" customHeight="1">
      <c r="A74" s="2" t="str">
        <f>IF(ISNA(VLOOKUP(B74,AssociatedElements!B$2:B695,1,FALSE)),"Not used","")</f>
        <v/>
      </c>
      <c r="B74" s="11" t="s">
        <v>239</v>
      </c>
      <c r="C74" s="11" t="s">
        <v>240</v>
      </c>
      <c r="D74" s="12" t="s">
        <v>241</v>
      </c>
      <c r="E74" s="11" t="s">
        <v>13</v>
      </c>
      <c r="F74" s="11" t="s">
        <v>175</v>
      </c>
    </row>
    <row r="75" spans="1:6" ht="34" customHeight="1">
      <c r="A75" s="2" t="str">
        <f>IF(ISNA(VLOOKUP(B75,AssociatedElements!B$2:B696,1,FALSE)),"Not used","")</f>
        <v/>
      </c>
      <c r="B75" s="11" t="s">
        <v>242</v>
      </c>
      <c r="C75" s="11" t="s">
        <v>243</v>
      </c>
      <c r="D75" s="12" t="s">
        <v>244</v>
      </c>
      <c r="E75" s="11" t="s">
        <v>13</v>
      </c>
      <c r="F75" s="11" t="s">
        <v>175</v>
      </c>
    </row>
    <row r="76" spans="1:6" ht="34" customHeight="1">
      <c r="A76" s="2" t="str">
        <f>IF(ISNA(VLOOKUP(B76,AssociatedElements!B$2:B697,1,FALSE)),"Not used","")</f>
        <v/>
      </c>
      <c r="B76" s="11" t="s">
        <v>245</v>
      </c>
      <c r="C76" s="11" t="s">
        <v>246</v>
      </c>
      <c r="D76" s="12" t="s">
        <v>247</v>
      </c>
      <c r="E76" s="11" t="s">
        <v>13</v>
      </c>
      <c r="F76" s="11" t="s">
        <v>175</v>
      </c>
    </row>
    <row r="77" spans="1:6" ht="34" customHeight="1">
      <c r="A77" s="2" t="str">
        <f>IF(ISNA(VLOOKUP(B77,AssociatedElements!B$2:B698,1,FALSE)),"Not used","")</f>
        <v/>
      </c>
      <c r="B77" s="11" t="s">
        <v>248</v>
      </c>
      <c r="C77" s="11" t="s">
        <v>249</v>
      </c>
      <c r="D77" s="12" t="s">
        <v>250</v>
      </c>
      <c r="E77" s="11" t="s">
        <v>13</v>
      </c>
      <c r="F77" s="11" t="s">
        <v>14</v>
      </c>
    </row>
    <row r="78" spans="1:6" ht="51" customHeight="1">
      <c r="A78" s="2" t="str">
        <f>IF(ISNA(VLOOKUP(B78,AssociatedElements!B$2:B699,1,FALSE)),"Not used","")</f>
        <v/>
      </c>
      <c r="B78" s="11" t="s">
        <v>251</v>
      </c>
      <c r="C78" s="11" t="s">
        <v>252</v>
      </c>
      <c r="D78" s="12" t="s">
        <v>253</v>
      </c>
      <c r="E78" s="11" t="s">
        <v>13</v>
      </c>
      <c r="F78" s="11" t="s">
        <v>14</v>
      </c>
    </row>
    <row r="79" spans="1:6" ht="51" customHeight="1">
      <c r="A79" s="2" t="str">
        <f>IF(ISNA(VLOOKUP(B79,AssociatedElements!B$2:B700,1,FALSE)),"Not used","")</f>
        <v/>
      </c>
      <c r="B79" s="11" t="s">
        <v>254</v>
      </c>
      <c r="C79" s="11" t="s">
        <v>255</v>
      </c>
      <c r="D79" s="12" t="s">
        <v>256</v>
      </c>
      <c r="E79" s="11" t="s">
        <v>13</v>
      </c>
      <c r="F79" s="11" t="s">
        <v>14</v>
      </c>
    </row>
    <row r="80" spans="1:6" ht="17" customHeight="1">
      <c r="A80" s="2" t="str">
        <f>IF(ISNA(VLOOKUP(B80,AssociatedElements!B$2:B701,1,FALSE)),"Not used","")</f>
        <v/>
      </c>
      <c r="B80" s="11" t="s">
        <v>257</v>
      </c>
      <c r="C80" s="11" t="s">
        <v>257</v>
      </c>
      <c r="D80" s="12" t="s">
        <v>258</v>
      </c>
      <c r="E80" s="11" t="s">
        <v>13</v>
      </c>
      <c r="F80" s="11" t="s">
        <v>235</v>
      </c>
    </row>
    <row r="81" spans="1:10" ht="17" customHeight="1">
      <c r="A81" s="2" t="str">
        <f>IF(ISNA(VLOOKUP(B81,AssociatedElements!B$2:B702,1,FALSE)),"Not used","")</f>
        <v/>
      </c>
      <c r="B81" s="11" t="s">
        <v>259</v>
      </c>
      <c r="C81" s="11" t="s">
        <v>260</v>
      </c>
      <c r="D81" s="12" t="s">
        <v>261</v>
      </c>
      <c r="E81" s="11" t="s">
        <v>13</v>
      </c>
      <c r="F81" s="11" t="s">
        <v>14</v>
      </c>
    </row>
    <row r="82" spans="1:10" ht="34" customHeight="1">
      <c r="A82" s="2" t="str">
        <f>IF(ISNA(VLOOKUP(B82,AssociatedElements!B$2:B703,1,FALSE)),"Not used","")</f>
        <v/>
      </c>
      <c r="B82" s="11" t="s">
        <v>262</v>
      </c>
      <c r="C82" s="11" t="s">
        <v>263</v>
      </c>
      <c r="D82" s="12" t="s">
        <v>264</v>
      </c>
      <c r="E82" s="11" t="s">
        <v>13</v>
      </c>
      <c r="F82" s="11"/>
    </row>
    <row r="83" spans="1:10" ht="34" customHeight="1">
      <c r="A83" s="2" t="str">
        <f>IF(ISNA(VLOOKUP(B83,AssociatedElements!B$2:B704,1,FALSE)),"Not used","")</f>
        <v/>
      </c>
      <c r="B83" s="11" t="s">
        <v>265</v>
      </c>
      <c r="C83" s="11" t="s">
        <v>266</v>
      </c>
      <c r="D83" s="12" t="s">
        <v>267</v>
      </c>
      <c r="E83" s="11" t="s">
        <v>13</v>
      </c>
      <c r="F83" s="11"/>
    </row>
    <row r="84" spans="1:10" ht="34" customHeight="1">
      <c r="A84" s="2" t="str">
        <f>IF(ISNA(VLOOKUP(B84,AssociatedElements!B$2:B705,1,FALSE)),"Not used","")</f>
        <v/>
      </c>
      <c r="B84" s="11" t="s">
        <v>268</v>
      </c>
      <c r="C84" s="11" t="s">
        <v>269</v>
      </c>
      <c r="D84" s="12" t="s">
        <v>270</v>
      </c>
      <c r="E84" s="11" t="s">
        <v>13</v>
      </c>
      <c r="F84" s="11"/>
    </row>
    <row r="85" spans="1:10" ht="17" customHeight="1">
      <c r="A85" s="2" t="str">
        <f>IF(ISNA(VLOOKUP(B85,AssociatedElements!B$2:B706,1,FALSE)),"Not used","")</f>
        <v/>
      </c>
      <c r="B85" s="11" t="s">
        <v>271</v>
      </c>
      <c r="C85" s="11" t="s">
        <v>272</v>
      </c>
      <c r="D85" s="12" t="s">
        <v>273</v>
      </c>
      <c r="E85" s="11" t="s">
        <v>13</v>
      </c>
      <c r="F85" s="11"/>
    </row>
    <row r="86" spans="1:10" ht="34" customHeight="1">
      <c r="A86" s="2" t="str">
        <f>IF(ISNA(VLOOKUP(B86,AssociatedElements!B$2:B707,1,FALSE)),"Not used","")</f>
        <v/>
      </c>
      <c r="B86" s="11" t="s">
        <v>274</v>
      </c>
      <c r="C86" s="11" t="s">
        <v>275</v>
      </c>
      <c r="D86" s="12" t="s">
        <v>276</v>
      </c>
      <c r="E86" s="11" t="s">
        <v>45</v>
      </c>
      <c r="F86" s="11"/>
    </row>
    <row r="87" spans="1:10" ht="34" customHeight="1">
      <c r="A87" s="2" t="str">
        <f>IF(ISNA(VLOOKUP(B87,AssociatedElements!B$2:B708,1,FALSE)),"Not used","")</f>
        <v/>
      </c>
      <c r="B87" s="11" t="s">
        <v>277</v>
      </c>
      <c r="C87" s="11" t="s">
        <v>278</v>
      </c>
      <c r="D87" s="12" t="s">
        <v>279</v>
      </c>
      <c r="E87" s="11" t="s">
        <v>45</v>
      </c>
      <c r="F87" s="11"/>
    </row>
    <row r="88" spans="1:10" ht="85" customHeight="1">
      <c r="A88" s="2" t="str">
        <f>IF(ISNA(VLOOKUP(B88,AssociatedElements!B$2:B709,1,FALSE)),"Not used","")</f>
        <v/>
      </c>
      <c r="B88" s="11" t="s">
        <v>280</v>
      </c>
      <c r="C88" s="11" t="s">
        <v>281</v>
      </c>
      <c r="D88" s="12" t="s">
        <v>282</v>
      </c>
      <c r="E88" s="11" t="s">
        <v>13</v>
      </c>
      <c r="F88" s="11"/>
    </row>
    <row r="89" spans="1:10" ht="51" customHeight="1">
      <c r="A89" s="2" t="str">
        <f>IF(ISNA(VLOOKUP(B89,AssociatedElements!B$2:B710,1,FALSE)),"Not used","")</f>
        <v/>
      </c>
      <c r="B89" s="11" t="s">
        <v>283</v>
      </c>
      <c r="C89" s="11" t="s">
        <v>284</v>
      </c>
      <c r="D89" s="12" t="s">
        <v>285</v>
      </c>
      <c r="E89" s="11" t="s">
        <v>13</v>
      </c>
      <c r="F89" s="28" t="s">
        <v>34</v>
      </c>
      <c r="J89" s="2" t="s">
        <v>35</v>
      </c>
    </row>
    <row r="90" spans="1:10" ht="85" customHeight="1">
      <c r="A90" s="2" t="str">
        <f>IF(ISNA(VLOOKUP(B90,AssociatedElements!B$2:B711,1,FALSE)),"Not used","")</f>
        <v/>
      </c>
      <c r="B90" s="11" t="s">
        <v>286</v>
      </c>
      <c r="C90" s="11" t="s">
        <v>287</v>
      </c>
      <c r="D90" s="12" t="s">
        <v>288</v>
      </c>
      <c r="E90" s="11" t="s">
        <v>13</v>
      </c>
      <c r="F90" s="11" t="s">
        <v>98</v>
      </c>
    </row>
    <row r="91" spans="1:10" ht="17" customHeight="1">
      <c r="A91" s="2" t="str">
        <f>IF(ISNA(VLOOKUP(B91,AssociatedElements!B$2:B712,1,FALSE)),"Not used","")</f>
        <v/>
      </c>
      <c r="B91" s="11" t="s">
        <v>289</v>
      </c>
      <c r="C91" s="11" t="s">
        <v>290</v>
      </c>
      <c r="D91" s="12" t="s">
        <v>291</v>
      </c>
      <c r="E91" s="11" t="s">
        <v>13</v>
      </c>
      <c r="F91" s="11" t="s">
        <v>168</v>
      </c>
    </row>
    <row r="92" spans="1:10" ht="17" customHeight="1">
      <c r="A92" s="2" t="str">
        <f>IF(ISNA(VLOOKUP(B92,AssociatedElements!B$2:B713,1,FALSE)),"Not used","")</f>
        <v/>
      </c>
      <c r="B92" s="2" t="s">
        <v>292</v>
      </c>
      <c r="C92" s="2" t="s">
        <v>293</v>
      </c>
      <c r="D92" s="2" t="s">
        <v>294</v>
      </c>
      <c r="E92" s="2" t="s">
        <v>13</v>
      </c>
      <c r="F92" s="2" t="s">
        <v>292</v>
      </c>
    </row>
    <row r="93" spans="1:10" ht="17" customHeight="1">
      <c r="A93" s="2" t="str">
        <f>IF(ISNA(VLOOKUP(B93,AssociatedElements!B$2:B714,1,FALSE)),"Not used","")</f>
        <v/>
      </c>
      <c r="B93" s="2" t="s">
        <v>295</v>
      </c>
      <c r="C93" s="2" t="s">
        <v>296</v>
      </c>
      <c r="D93" s="2" t="s">
        <v>297</v>
      </c>
      <c r="E93" s="2" t="s">
        <v>13</v>
      </c>
      <c r="F93" s="2" t="s">
        <v>292</v>
      </c>
    </row>
    <row r="94" spans="1:10" ht="34" customHeight="1">
      <c r="A94" s="2" t="str">
        <f>IF(ISNA(VLOOKUP(B94,AssociatedElements!B$2:B715,1,FALSE)),"Not used","")</f>
        <v/>
      </c>
      <c r="B94" s="11" t="s">
        <v>298</v>
      </c>
      <c r="C94" s="11" t="s">
        <v>299</v>
      </c>
      <c r="D94" s="12" t="s">
        <v>300</v>
      </c>
      <c r="E94" s="11" t="s">
        <v>13</v>
      </c>
      <c r="F94" s="11"/>
    </row>
    <row r="95" spans="1:10" ht="68" customHeight="1">
      <c r="A95" s="2" t="str">
        <f>IF(ISNA(VLOOKUP(B95,AssociatedElements!B$2:B716,1,FALSE)),"Not used","")</f>
        <v/>
      </c>
      <c r="B95" s="11" t="s">
        <v>301</v>
      </c>
      <c r="C95" s="11" t="s">
        <v>302</v>
      </c>
      <c r="D95" s="12" t="s">
        <v>303</v>
      </c>
      <c r="E95" s="11" t="s">
        <v>13</v>
      </c>
      <c r="F95" s="11"/>
    </row>
    <row r="96" spans="1:10" ht="17" customHeight="1">
      <c r="A96" s="2" t="str">
        <f>IF(ISNA(VLOOKUP(B96,AssociatedElements!B$2:B717,1,FALSE)),"Not used","")</f>
        <v/>
      </c>
      <c r="B96" s="2" t="s">
        <v>304</v>
      </c>
      <c r="C96" s="2" t="s">
        <v>305</v>
      </c>
      <c r="D96" s="2" t="s">
        <v>306</v>
      </c>
      <c r="E96" s="2" t="s">
        <v>13</v>
      </c>
    </row>
    <row r="97" spans="1:10" ht="17" customHeight="1">
      <c r="A97" s="2" t="str">
        <f>IF(ISNA(VLOOKUP(B97,AssociatedElements!B$2:B718,1,FALSE)),"Not used","")</f>
        <v/>
      </c>
      <c r="B97" s="2" t="s">
        <v>307</v>
      </c>
      <c r="C97" s="24" t="s">
        <v>308</v>
      </c>
      <c r="D97" s="24" t="s">
        <v>309</v>
      </c>
      <c r="E97" s="2" t="s">
        <v>13</v>
      </c>
    </row>
    <row r="98" spans="1:10" ht="34" customHeight="1">
      <c r="A98" s="2" t="str">
        <f>IF(ISNA(VLOOKUP(B98,AssociatedElements!B$2:B719,1,FALSE)),"Not used","")</f>
        <v/>
      </c>
      <c r="B98" t="s">
        <v>310</v>
      </c>
      <c r="C98" t="s">
        <v>311</v>
      </c>
      <c r="D98" t="s">
        <v>312</v>
      </c>
      <c r="E98" t="s">
        <v>13</v>
      </c>
      <c r="F98" t="s">
        <v>14</v>
      </c>
    </row>
    <row r="99" spans="1:10" ht="119" customHeight="1">
      <c r="A99" s="2" t="str">
        <f>IF(ISNA(VLOOKUP(B99,AssociatedElements!B$2:B720,1,FALSE)),"Not used","")</f>
        <v/>
      </c>
      <c r="B99" s="11" t="s">
        <v>313</v>
      </c>
      <c r="C99" s="11" t="s">
        <v>314</v>
      </c>
      <c r="D99" s="12" t="s">
        <v>315</v>
      </c>
      <c r="E99" s="11" t="s">
        <v>13</v>
      </c>
      <c r="F99" s="11" t="s">
        <v>14</v>
      </c>
    </row>
    <row r="100" spans="1:10" ht="51" customHeight="1">
      <c r="A100" s="2" t="str">
        <f>IF(ISNA(VLOOKUP(B100,AssociatedElements!B$2:B721,1,FALSE)),"Not used","")</f>
        <v/>
      </c>
      <c r="B100" s="11" t="s">
        <v>316</v>
      </c>
      <c r="C100" s="11" t="s">
        <v>317</v>
      </c>
      <c r="D100" s="12" t="s">
        <v>318</v>
      </c>
      <c r="E100" s="11" t="s">
        <v>13</v>
      </c>
      <c r="F100" s="11" t="s">
        <v>14</v>
      </c>
    </row>
    <row r="101" spans="1:10" ht="68" customHeight="1">
      <c r="A101" s="2" t="str">
        <f>IF(ISNA(VLOOKUP(B101,AssociatedElements!B$2:B722,1,FALSE)),"Not used","")</f>
        <v/>
      </c>
      <c r="B101" s="11" t="s">
        <v>319</v>
      </c>
      <c r="C101" s="11" t="s">
        <v>320</v>
      </c>
      <c r="D101" s="12" t="s">
        <v>321</v>
      </c>
      <c r="E101" s="11" t="s">
        <v>13</v>
      </c>
      <c r="F101" s="11" t="s">
        <v>72</v>
      </c>
    </row>
    <row r="102" spans="1:10" ht="85" customHeight="1">
      <c r="A102" s="2" t="str">
        <f>IF(ISNA(VLOOKUP(B102,AssociatedElements!B$2:B723,1,FALSE)),"Not used","")</f>
        <v/>
      </c>
      <c r="B102" s="11" t="s">
        <v>322</v>
      </c>
      <c r="C102" s="11" t="s">
        <v>323</v>
      </c>
      <c r="D102" s="12" t="s">
        <v>324</v>
      </c>
      <c r="E102" s="11" t="s">
        <v>45</v>
      </c>
      <c r="F102" s="11"/>
    </row>
    <row r="103" spans="1:10" ht="51" customHeight="1">
      <c r="A103" s="2" t="str">
        <f>IF(ISNA(VLOOKUP(B103,AssociatedElements!B$2:B724,1,FALSE)),"Not used","")</f>
        <v/>
      </c>
      <c r="B103" s="11" t="s">
        <v>325</v>
      </c>
      <c r="C103" s="11" t="s">
        <v>326</v>
      </c>
      <c r="D103" s="12" t="s">
        <v>327</v>
      </c>
      <c r="E103" s="11" t="s">
        <v>45</v>
      </c>
      <c r="F103" s="11"/>
    </row>
    <row r="104" spans="1:10" ht="68" customHeight="1">
      <c r="A104" s="2" t="str">
        <f>IF(ISNA(VLOOKUP(B104,AssociatedElements!B$2:B725,1,FALSE)),"Not used","")</f>
        <v/>
      </c>
      <c r="B104" s="11" t="s">
        <v>328</v>
      </c>
      <c r="C104" s="11" t="s">
        <v>329</v>
      </c>
      <c r="D104" s="12" t="s">
        <v>330</v>
      </c>
      <c r="E104" s="11" t="s">
        <v>45</v>
      </c>
      <c r="F104" s="11"/>
    </row>
    <row r="105" spans="1:10" ht="102" customHeight="1">
      <c r="A105" s="2" t="str">
        <f>IF(ISNA(VLOOKUP(B105,AssociatedElements!B$2:B726,1,FALSE)),"Not used","")</f>
        <v/>
      </c>
      <c r="B105" s="11" t="s">
        <v>331</v>
      </c>
      <c r="C105" s="11" t="s">
        <v>332</v>
      </c>
      <c r="D105" s="12" t="s">
        <v>333</v>
      </c>
      <c r="E105" s="11" t="s">
        <v>334</v>
      </c>
      <c r="F105" s="11"/>
    </row>
    <row r="106" spans="1:10" ht="34" customHeight="1">
      <c r="A106" s="2" t="str">
        <f>IF(ISNA(VLOOKUP(B106,AssociatedElements!B$2:B727,1,FALSE)),"Not used","")</f>
        <v/>
      </c>
      <c r="B106" s="11" t="s">
        <v>335</v>
      </c>
      <c r="C106" s="11" t="s">
        <v>336</v>
      </c>
      <c r="D106" s="12" t="s">
        <v>337</v>
      </c>
      <c r="E106" s="11" t="s">
        <v>13</v>
      </c>
      <c r="F106" s="11"/>
    </row>
    <row r="107" spans="1:10" ht="85" customHeight="1">
      <c r="A107" s="2" t="str">
        <f>IF(ISNA(VLOOKUP(B107,AssociatedElements!B$2:B728,1,FALSE)),"Not used","")</f>
        <v/>
      </c>
      <c r="B107" s="2" t="s">
        <v>338</v>
      </c>
      <c r="C107" s="2" t="s">
        <v>339</v>
      </c>
      <c r="D107" s="16" t="s">
        <v>340</v>
      </c>
      <c r="E107" s="2" t="s">
        <v>13</v>
      </c>
      <c r="F107" s="2" t="s">
        <v>111</v>
      </c>
    </row>
    <row r="108" spans="1:10" ht="68" customHeight="1">
      <c r="A108" s="2" t="str">
        <f>IF(ISNA(VLOOKUP(B108,AssociatedElements!B$2:B729,1,FALSE)),"Not used","")</f>
        <v/>
      </c>
      <c r="B108" s="11" t="s">
        <v>341</v>
      </c>
      <c r="C108" s="15" t="s">
        <v>342</v>
      </c>
      <c r="D108" s="14" t="s">
        <v>343</v>
      </c>
      <c r="E108" s="15" t="s">
        <v>13</v>
      </c>
      <c r="F108" s="15" t="s">
        <v>14</v>
      </c>
    </row>
    <row r="109" spans="1:10" ht="68" customHeight="1">
      <c r="A109" s="2" t="str">
        <f>IF(ISNA(VLOOKUP(B109,AssociatedElements!B$2:B730,1,FALSE)),"Not used","")</f>
        <v/>
      </c>
      <c r="B109" s="11" t="s">
        <v>344</v>
      </c>
      <c r="C109" s="15" t="s">
        <v>345</v>
      </c>
      <c r="D109" s="14" t="s">
        <v>346</v>
      </c>
      <c r="E109" s="15" t="s">
        <v>13</v>
      </c>
      <c r="F109" s="15" t="s">
        <v>14</v>
      </c>
    </row>
    <row r="110" spans="1:10" ht="34" customHeight="1">
      <c r="A110" s="2" t="str">
        <f>IF(ISNA(VLOOKUP(B110,AssociatedElements!B$2:B731,1,FALSE)),"Not used","")</f>
        <v/>
      </c>
      <c r="B110" s="11" t="s">
        <v>347</v>
      </c>
      <c r="C110" s="15" t="s">
        <v>348</v>
      </c>
      <c r="D110" s="14" t="s">
        <v>349</v>
      </c>
      <c r="E110" s="15" t="s">
        <v>13</v>
      </c>
      <c r="F110" s="15" t="s">
        <v>14</v>
      </c>
    </row>
    <row r="111" spans="1:10" ht="34" customHeight="1">
      <c r="A111" s="2" t="str">
        <f>IF(ISNA(VLOOKUP(B111,AssociatedElements!B$2:B732,1,FALSE)),"Not used","")</f>
        <v/>
      </c>
      <c r="B111" s="17" t="s">
        <v>350</v>
      </c>
      <c r="C111" s="22" t="s">
        <v>351</v>
      </c>
      <c r="D111" s="22" t="s">
        <v>352</v>
      </c>
      <c r="E111" s="18" t="s">
        <v>13</v>
      </c>
      <c r="F111" s="2" t="s">
        <v>151</v>
      </c>
      <c r="G111" s="19"/>
    </row>
    <row r="112" spans="1:10" ht="34" customHeight="1">
      <c r="A112" s="2" t="str">
        <f>IF(ISNA(VLOOKUP(B112,AssociatedElements!B$2:B733,1,FALSE)),"Not used","")</f>
        <v/>
      </c>
      <c r="B112" s="2" t="s">
        <v>353</v>
      </c>
      <c r="C112" s="2" t="s">
        <v>354</v>
      </c>
      <c r="D112" s="28" t="s">
        <v>355</v>
      </c>
      <c r="E112" s="35" t="s">
        <v>13</v>
      </c>
      <c r="F112" s="28" t="s">
        <v>34</v>
      </c>
      <c r="J112" s="2" t="s">
        <v>35</v>
      </c>
    </row>
    <row r="113" spans="1:10" ht="34" customHeight="1">
      <c r="A113" s="2" t="str">
        <f>IF(ISNA(VLOOKUP(B113,AssociatedElements!B$2:B734,1,FALSE)),"Not used","")</f>
        <v/>
      </c>
      <c r="B113" s="11" t="s">
        <v>356</v>
      </c>
      <c r="C113" s="15" t="s">
        <v>357</v>
      </c>
      <c r="D113" s="28" t="s">
        <v>358</v>
      </c>
      <c r="E113" s="35" t="s">
        <v>13</v>
      </c>
      <c r="F113" s="28" t="s">
        <v>34</v>
      </c>
      <c r="J113" s="2" t="s">
        <v>35</v>
      </c>
    </row>
    <row r="114" spans="1:10" ht="34" customHeight="1">
      <c r="A114" s="2" t="str">
        <f>IF(ISNA(VLOOKUP(B114,AssociatedElements!B$2:B735,1,FALSE)),"Not used","")</f>
        <v/>
      </c>
      <c r="B114" s="11" t="s">
        <v>359</v>
      </c>
      <c r="C114" s="15" t="s">
        <v>360</v>
      </c>
      <c r="D114" s="28" t="s">
        <v>361</v>
      </c>
      <c r="E114" s="35" t="s">
        <v>13</v>
      </c>
      <c r="F114" s="28" t="s">
        <v>34</v>
      </c>
      <c r="J114" s="2" t="s">
        <v>35</v>
      </c>
    </row>
    <row r="115" spans="1:10" ht="119" customHeight="1">
      <c r="A115" s="2" t="str">
        <f>IF(ISNA(VLOOKUP(B115,AssociatedElements!B$2:B736,1,FALSE)),"Not used","")</f>
        <v/>
      </c>
      <c r="B115" s="11" t="s">
        <v>362</v>
      </c>
      <c r="C115" s="15" t="s">
        <v>363</v>
      </c>
      <c r="D115" s="28" t="s">
        <v>364</v>
      </c>
      <c r="E115" s="35" t="s">
        <v>13</v>
      </c>
      <c r="F115" s="28" t="s">
        <v>34</v>
      </c>
      <c r="J115" s="2" t="s">
        <v>35</v>
      </c>
    </row>
    <row r="116" spans="1:10" ht="17" customHeight="1">
      <c r="A116" s="2" t="str">
        <f>IF(ISNA(VLOOKUP(B116,AssociatedElements!B$2:B737,1,FALSE)),"Not used","")</f>
        <v/>
      </c>
      <c r="B116" s="2" t="s">
        <v>365</v>
      </c>
      <c r="C116" s="15" t="s">
        <v>366</v>
      </c>
      <c r="D116" s="28" t="s">
        <v>367</v>
      </c>
      <c r="E116" s="35" t="s">
        <v>13</v>
      </c>
      <c r="F116" s="28" t="s">
        <v>34</v>
      </c>
      <c r="J116" s="2" t="s">
        <v>35</v>
      </c>
    </row>
    <row r="117" spans="1:10" ht="34" customHeight="1">
      <c r="A117" s="2" t="str">
        <f>IF(ISNA(VLOOKUP(B117,AssociatedElements!B$2:B738,1,FALSE)),"Not used","")</f>
        <v/>
      </c>
      <c r="B117" s="11" t="s">
        <v>368</v>
      </c>
      <c r="C117" s="15" t="s">
        <v>368</v>
      </c>
      <c r="D117" s="28" t="s">
        <v>369</v>
      </c>
      <c r="E117" s="35" t="s">
        <v>13</v>
      </c>
      <c r="F117" s="35"/>
    </row>
    <row r="118" spans="1:10" ht="51" customHeight="1">
      <c r="A118" s="2" t="str">
        <f>IF(ISNA(VLOOKUP(B118,AssociatedElements!B$2:B739,1,FALSE)),"Not used","")</f>
        <v/>
      </c>
      <c r="B118" s="11" t="s">
        <v>370</v>
      </c>
      <c r="C118" s="15" t="s">
        <v>371</v>
      </c>
      <c r="D118" s="28" t="s">
        <v>372</v>
      </c>
      <c r="E118" s="35" t="s">
        <v>13</v>
      </c>
      <c r="F118" s="28" t="s">
        <v>88</v>
      </c>
      <c r="I118" s="32"/>
      <c r="J118" s="2" t="s">
        <v>35</v>
      </c>
    </row>
    <row r="119" spans="1:10" ht="119" customHeight="1">
      <c r="A119" s="2" t="str">
        <f>IF(ISNA(VLOOKUP(B119,AssociatedElements!B$2:B740,1,FALSE)),"Not used","")</f>
        <v/>
      </c>
      <c r="B119" s="11" t="s">
        <v>373</v>
      </c>
      <c r="C119" s="15" t="s">
        <v>374</v>
      </c>
      <c r="D119" s="28" t="s">
        <v>375</v>
      </c>
      <c r="E119" s="35" t="s">
        <v>45</v>
      </c>
      <c r="F119" s="35"/>
      <c r="J119" s="2" t="s">
        <v>35</v>
      </c>
    </row>
    <row r="120" spans="1:10" ht="51" customHeight="1">
      <c r="A120" s="2" t="str">
        <f>IF(ISNA(VLOOKUP(B120,AssociatedElements!B$2:B741,1,FALSE)),"Not used","")</f>
        <v/>
      </c>
      <c r="B120" s="11" t="s">
        <v>376</v>
      </c>
      <c r="C120" s="15" t="s">
        <v>377</v>
      </c>
      <c r="D120" s="28" t="s">
        <v>378</v>
      </c>
      <c r="E120" s="35" t="s">
        <v>45</v>
      </c>
      <c r="F120" s="35"/>
    </row>
    <row r="121" spans="1:10" ht="51" customHeight="1">
      <c r="A121" s="2" t="str">
        <f>IF(ISNA(VLOOKUP(B121,AssociatedElements!B$2:B742,1,FALSE)),"Not used","")</f>
        <v/>
      </c>
      <c r="B121" s="11" t="s">
        <v>379</v>
      </c>
      <c r="C121" s="15" t="s">
        <v>380</v>
      </c>
      <c r="D121" s="28" t="s">
        <v>381</v>
      </c>
      <c r="E121" s="35" t="s">
        <v>13</v>
      </c>
      <c r="F121" s="35"/>
    </row>
    <row r="122" spans="1:10" ht="51" customHeight="1">
      <c r="A122" s="2" t="str">
        <f>IF(ISNA(VLOOKUP(B122,AssociatedElements!B$2:B743,1,FALSE)),"Not used","")</f>
        <v/>
      </c>
      <c r="B122" s="11" t="s">
        <v>382</v>
      </c>
      <c r="C122" s="15" t="s">
        <v>383</v>
      </c>
      <c r="D122" s="28" t="s">
        <v>384</v>
      </c>
      <c r="E122" s="35" t="s">
        <v>13</v>
      </c>
      <c r="F122" s="35"/>
      <c r="J122" s="2" t="s">
        <v>35</v>
      </c>
    </row>
    <row r="123" spans="1:10" ht="51" customHeight="1">
      <c r="A123" s="2" t="str">
        <f>IF(ISNA(VLOOKUP(B123,AssociatedElements!B$2:B744,1,FALSE)),"Not used","")</f>
        <v/>
      </c>
      <c r="B123" s="11" t="s">
        <v>385</v>
      </c>
      <c r="C123" s="15" t="s">
        <v>386</v>
      </c>
      <c r="D123" s="14" t="s">
        <v>387</v>
      </c>
      <c r="E123" s="15" t="s">
        <v>13</v>
      </c>
      <c r="F123" s="15" t="s">
        <v>14</v>
      </c>
    </row>
    <row r="124" spans="1:10" ht="17" customHeight="1">
      <c r="A124" s="2" t="str">
        <f>IF(ISNA(VLOOKUP(B124,AssociatedElements!B$2:B745,1,FALSE)),"Not used","")</f>
        <v/>
      </c>
      <c r="B124" s="11" t="s">
        <v>388</v>
      </c>
      <c r="C124" s="15" t="s">
        <v>389</v>
      </c>
      <c r="D124" s="14" t="s">
        <v>390</v>
      </c>
      <c r="E124" s="15" t="s">
        <v>13</v>
      </c>
      <c r="F124" s="15" t="s">
        <v>14</v>
      </c>
    </row>
    <row r="125" spans="1:10" ht="17" customHeight="1">
      <c r="A125" s="2" t="str">
        <f>IF(ISNA(VLOOKUP(B125,AssociatedElements!B$2:B746,1,FALSE)),"Not used","")</f>
        <v/>
      </c>
      <c r="B125" s="11" t="s">
        <v>391</v>
      </c>
      <c r="C125" s="15" t="s">
        <v>392</v>
      </c>
      <c r="D125" s="14" t="s">
        <v>393</v>
      </c>
      <c r="E125" s="15" t="s">
        <v>13</v>
      </c>
      <c r="F125" s="15" t="s">
        <v>14</v>
      </c>
    </row>
    <row r="126" spans="1:10" ht="17" customHeight="1">
      <c r="A126" s="2" t="str">
        <f>IF(ISNA(VLOOKUP(B126,AssociatedElements!B$2:B747,1,FALSE)),"Not used","")</f>
        <v/>
      </c>
      <c r="B126" s="11" t="s">
        <v>394</v>
      </c>
      <c r="C126" s="15" t="s">
        <v>395</v>
      </c>
      <c r="D126" s="14" t="s">
        <v>396</v>
      </c>
      <c r="E126" s="15" t="s">
        <v>13</v>
      </c>
      <c r="F126" s="15" t="s">
        <v>14</v>
      </c>
    </row>
    <row r="127" spans="1:10" ht="170" customHeight="1">
      <c r="A127" s="2" t="str">
        <f>IF(ISNA(VLOOKUP(B127,AssociatedElements!B$2:B748,1,FALSE)),"Not used","")</f>
        <v/>
      </c>
      <c r="B127" s="11" t="s">
        <v>397</v>
      </c>
      <c r="C127" s="15" t="s">
        <v>398</v>
      </c>
      <c r="D127" s="14" t="s">
        <v>399</v>
      </c>
      <c r="E127" s="15" t="s">
        <v>13</v>
      </c>
      <c r="F127" s="15" t="s">
        <v>14</v>
      </c>
    </row>
    <row r="128" spans="1:10" ht="17" customHeight="1">
      <c r="A128" s="2" t="str">
        <f>IF(ISNA(VLOOKUP(B128,AssociatedElements!B$2:B749,1,FALSE)),"Not used","")</f>
        <v/>
      </c>
      <c r="B128" s="11" t="s">
        <v>400</v>
      </c>
      <c r="C128" s="15" t="s">
        <v>401</v>
      </c>
      <c r="D128" s="14" t="s">
        <v>402</v>
      </c>
      <c r="E128" s="15" t="s">
        <v>13</v>
      </c>
      <c r="F128" s="15" t="s">
        <v>14</v>
      </c>
    </row>
    <row r="129" spans="1:10" ht="17" customHeight="1">
      <c r="A129" s="2" t="str">
        <f>IF(ISNA(VLOOKUP(B129,AssociatedElements!B$2:B750,1,FALSE)),"Not used","")</f>
        <v/>
      </c>
      <c r="B129" s="11" t="s">
        <v>403</v>
      </c>
      <c r="C129" s="15" t="s">
        <v>404</v>
      </c>
      <c r="D129" s="14" t="s">
        <v>405</v>
      </c>
      <c r="E129" s="15" t="s">
        <v>13</v>
      </c>
      <c r="F129" s="39" t="s">
        <v>967</v>
      </c>
    </row>
    <row r="130" spans="1:10" ht="136" customHeight="1">
      <c r="A130" s="2" t="str">
        <f>IF(ISNA(VLOOKUP(B130,AssociatedElements!B$2:B751,1,FALSE)),"Not used","")</f>
        <v/>
      </c>
      <c r="B130" s="11" t="s">
        <v>406</v>
      </c>
      <c r="C130" s="11" t="s">
        <v>407</v>
      </c>
      <c r="D130" s="2" t="s">
        <v>408</v>
      </c>
      <c r="E130" s="11" t="s">
        <v>13</v>
      </c>
      <c r="F130" s="11" t="s">
        <v>211</v>
      </c>
    </row>
    <row r="131" spans="1:10" ht="34" customHeight="1">
      <c r="A131" s="2" t="str">
        <f>IF(ISNA(VLOOKUP(B131,AssociatedElements!B$2:B752,1,FALSE)),"Not used","")</f>
        <v/>
      </c>
      <c r="B131" s="11" t="s">
        <v>409</v>
      </c>
      <c r="C131" s="15" t="s">
        <v>410</v>
      </c>
      <c r="D131" s="14" t="s">
        <v>411</v>
      </c>
      <c r="E131" s="15" t="s">
        <v>13</v>
      </c>
      <c r="F131" s="15"/>
    </row>
    <row r="132" spans="1:10" ht="34" customHeight="1">
      <c r="A132" s="2" t="str">
        <f>IF(ISNA(VLOOKUP(B132,AssociatedElements!B$2:B753,1,FALSE)),"Not used","")</f>
        <v/>
      </c>
      <c r="B132" s="11" t="s">
        <v>412</v>
      </c>
      <c r="C132" s="15" t="s">
        <v>413</v>
      </c>
      <c r="D132" s="14" t="s">
        <v>414</v>
      </c>
      <c r="E132" s="15" t="s">
        <v>13</v>
      </c>
      <c r="F132" s="15" t="s">
        <v>235</v>
      </c>
    </row>
    <row r="133" spans="1:10" ht="34" customHeight="1">
      <c r="A133" s="2" t="str">
        <f>IF(ISNA(VLOOKUP(B133,AssociatedElements!B$2:B754,1,FALSE)),"Not used","")</f>
        <v/>
      </c>
      <c r="B133" s="11" t="s">
        <v>415</v>
      </c>
      <c r="C133" s="15" t="s">
        <v>416</v>
      </c>
      <c r="D133" s="14" t="s">
        <v>417</v>
      </c>
      <c r="E133" s="15" t="s">
        <v>13</v>
      </c>
      <c r="F133" s="15"/>
    </row>
    <row r="134" spans="1:10" ht="17" customHeight="1">
      <c r="A134" s="2" t="str">
        <f>IF(ISNA(VLOOKUP(B134,AssociatedElements!B$2:B755,1,FALSE)),"Not used","")</f>
        <v/>
      </c>
      <c r="B134" s="11" t="s">
        <v>418</v>
      </c>
      <c r="C134" s="15" t="s">
        <v>419</v>
      </c>
      <c r="D134" s="14" t="s">
        <v>420</v>
      </c>
      <c r="E134" s="15" t="s">
        <v>13</v>
      </c>
      <c r="F134" s="15" t="s">
        <v>421</v>
      </c>
    </row>
    <row r="135" spans="1:10" ht="68" customHeight="1">
      <c r="A135" s="2" t="str">
        <f>IF(ISNA(VLOOKUP(B135,AssociatedElements!B$2:B756,1,FALSE)),"Not used","")</f>
        <v/>
      </c>
      <c r="B135" s="11" t="s">
        <v>422</v>
      </c>
      <c r="C135" s="15" t="s">
        <v>423</v>
      </c>
      <c r="D135" s="14" t="s">
        <v>424</v>
      </c>
      <c r="E135" s="15" t="s">
        <v>13</v>
      </c>
      <c r="J135" s="2" t="s">
        <v>35</v>
      </c>
    </row>
    <row r="136" spans="1:10" ht="34" customHeight="1">
      <c r="A136" s="2" t="str">
        <f>IF(ISNA(VLOOKUP(B136,AssociatedElements!B$2:B757,1,FALSE)),"Not used","")</f>
        <v/>
      </c>
      <c r="B136" s="11" t="s">
        <v>425</v>
      </c>
      <c r="C136" s="15" t="s">
        <v>426</v>
      </c>
      <c r="D136" s="14" t="s">
        <v>427</v>
      </c>
      <c r="E136" s="15" t="s">
        <v>13</v>
      </c>
      <c r="F136" s="15"/>
    </row>
    <row r="137" spans="1:10" ht="17" customHeight="1">
      <c r="A137" s="2" t="str">
        <f>IF(ISNA(VLOOKUP(B137,AssociatedElements!B$2:B758,1,FALSE)),"Not used","")</f>
        <v/>
      </c>
      <c r="B137" s="11" t="s">
        <v>428</v>
      </c>
      <c r="C137" s="15" t="s">
        <v>429</v>
      </c>
      <c r="D137" s="14" t="s">
        <v>430</v>
      </c>
      <c r="E137" s="15" t="s">
        <v>13</v>
      </c>
      <c r="F137" s="15"/>
    </row>
    <row r="138" spans="1:10" ht="85" customHeight="1">
      <c r="A138" s="2" t="str">
        <f>IF(ISNA(VLOOKUP(B138,AssociatedElements!B$2:B759,1,FALSE)),"Not used","")</f>
        <v/>
      </c>
      <c r="B138" s="11" t="s">
        <v>431</v>
      </c>
      <c r="C138" s="15" t="s">
        <v>432</v>
      </c>
      <c r="D138" s="14" t="s">
        <v>433</v>
      </c>
      <c r="E138" s="15" t="s">
        <v>13</v>
      </c>
      <c r="F138" s="15" t="s">
        <v>168</v>
      </c>
    </row>
    <row r="139" spans="1:10" ht="68" customHeight="1">
      <c r="A139" s="2" t="str">
        <f>IF(ISNA(VLOOKUP(B139,AssociatedElements!B$2:B760,1,FALSE)),"Not used","")</f>
        <v/>
      </c>
      <c r="B139" s="11" t="s">
        <v>434</v>
      </c>
      <c r="C139" s="15" t="s">
        <v>435</v>
      </c>
      <c r="D139" s="14" t="s">
        <v>436</v>
      </c>
      <c r="E139" s="15" t="s">
        <v>13</v>
      </c>
      <c r="F139" s="15" t="s">
        <v>14</v>
      </c>
    </row>
    <row r="140" spans="1:10" ht="68" customHeight="1">
      <c r="A140" s="2" t="str">
        <f>IF(ISNA(VLOOKUP(B140,AssociatedElements!B$2:B761,1,FALSE)),"Not used","")</f>
        <v/>
      </c>
      <c r="B140" s="11" t="s">
        <v>437</v>
      </c>
      <c r="C140" s="15" t="s">
        <v>438</v>
      </c>
      <c r="D140" s="14" t="s">
        <v>439</v>
      </c>
      <c r="E140" s="15" t="s">
        <v>13</v>
      </c>
      <c r="F140" s="15" t="s">
        <v>14</v>
      </c>
    </row>
    <row r="141" spans="1:10" ht="68" customHeight="1">
      <c r="A141" s="2" t="str">
        <f>IF(ISNA(VLOOKUP(B141,AssociatedElements!B$2:B762,1,FALSE)),"Not used","")</f>
        <v/>
      </c>
      <c r="B141" s="11" t="s">
        <v>440</v>
      </c>
      <c r="C141" s="15" t="s">
        <v>441</v>
      </c>
      <c r="D141" s="14" t="s">
        <v>442</v>
      </c>
      <c r="E141" s="15" t="s">
        <v>13</v>
      </c>
      <c r="F141" s="15" t="s">
        <v>14</v>
      </c>
    </row>
    <row r="142" spans="1:10" ht="102" customHeight="1">
      <c r="A142" s="2" t="str">
        <f>IF(ISNA(VLOOKUP(B142,AssociatedElements!B$2:B763,1,FALSE)),"Not used","")</f>
        <v/>
      </c>
      <c r="B142" s="2" t="s">
        <v>443</v>
      </c>
      <c r="C142" s="2" t="s">
        <v>444</v>
      </c>
      <c r="D142" s="16" t="s">
        <v>445</v>
      </c>
      <c r="E142" s="2" t="s">
        <v>13</v>
      </c>
      <c r="F142" s="2" t="s">
        <v>111</v>
      </c>
    </row>
    <row r="143" spans="1:10" ht="34" customHeight="1">
      <c r="A143" s="2" t="str">
        <f>IF(ISNA(VLOOKUP(B143,AssociatedElements!B$2:B764,1,FALSE)),"Not used","")</f>
        <v/>
      </c>
      <c r="B143" s="11" t="s">
        <v>446</v>
      </c>
      <c r="C143" s="15" t="s">
        <v>447</v>
      </c>
      <c r="D143" s="14" t="s">
        <v>448</v>
      </c>
      <c r="E143" s="15" t="s">
        <v>13</v>
      </c>
      <c r="F143" s="15" t="s">
        <v>68</v>
      </c>
    </row>
    <row r="144" spans="1:10" ht="34" customHeight="1">
      <c r="A144" s="2" t="str">
        <f>IF(ISNA(VLOOKUP(B144,AssociatedElements!B$2:B765,1,FALSE)),"Not used","")</f>
        <v/>
      </c>
      <c r="B144" s="11" t="s">
        <v>449</v>
      </c>
      <c r="C144" s="15" t="s">
        <v>450</v>
      </c>
      <c r="D144" s="14" t="s">
        <v>451</v>
      </c>
      <c r="E144" s="15" t="s">
        <v>13</v>
      </c>
      <c r="F144" s="2" t="s">
        <v>197</v>
      </c>
      <c r="J144" s="2" t="s">
        <v>35</v>
      </c>
    </row>
    <row r="145" spans="1:10" ht="51" customHeight="1">
      <c r="A145" s="2" t="str">
        <f>IF(ISNA(VLOOKUP(B145,AssociatedElements!B$2:B766,1,FALSE)),"Not used","")</f>
        <v/>
      </c>
      <c r="B145" s="11" t="s">
        <v>452</v>
      </c>
      <c r="C145" s="15" t="s">
        <v>453</v>
      </c>
      <c r="D145" s="14" t="s">
        <v>454</v>
      </c>
      <c r="E145" s="15" t="s">
        <v>45</v>
      </c>
      <c r="F145" s="2" t="s">
        <v>68</v>
      </c>
      <c r="J145" s="2" t="s">
        <v>35</v>
      </c>
    </row>
    <row r="146" spans="1:10" ht="68" customHeight="1">
      <c r="A146" s="2" t="str">
        <f>IF(ISNA(VLOOKUP(B146,AssociatedElements!B$2:B767,1,FALSE)),"Not used","")</f>
        <v/>
      </c>
      <c r="B146" s="11" t="s">
        <v>455</v>
      </c>
      <c r="C146" s="15" t="s">
        <v>456</v>
      </c>
      <c r="D146" s="14" t="s">
        <v>457</v>
      </c>
      <c r="E146" s="15" t="s">
        <v>13</v>
      </c>
      <c r="F146" s="15"/>
    </row>
    <row r="147" spans="1:10" ht="17" customHeight="1">
      <c r="A147" s="2" t="str">
        <f>IF(ISNA(VLOOKUP(B147,AssociatedElements!B$2:B768,1,FALSE)),"Not used","")</f>
        <v/>
      </c>
      <c r="B147" s="11" t="s">
        <v>458</v>
      </c>
      <c r="C147" s="15" t="s">
        <v>459</v>
      </c>
      <c r="D147" s="14" t="s">
        <v>460</v>
      </c>
      <c r="E147" s="15" t="s">
        <v>13</v>
      </c>
      <c r="F147" s="15" t="s">
        <v>68</v>
      </c>
    </row>
    <row r="148" spans="1:10" ht="17" customHeight="1">
      <c r="A148" s="2" t="str">
        <f>IF(ISNA(VLOOKUP(B148,AssociatedElements!B$2:B769,1,FALSE)),"Not used","")</f>
        <v/>
      </c>
      <c r="B148" s="11" t="s">
        <v>461</v>
      </c>
      <c r="C148" s="15" t="s">
        <v>462</v>
      </c>
      <c r="D148" s="14" t="s">
        <v>463</v>
      </c>
      <c r="E148" s="15" t="s">
        <v>13</v>
      </c>
      <c r="F148" s="15" t="s">
        <v>14</v>
      </c>
    </row>
    <row r="149" spans="1:10" ht="17" customHeight="1">
      <c r="A149" s="2" t="str">
        <f>IF(ISNA(VLOOKUP(B149,AssociatedElements!B$2:B770,1,FALSE)),"Not used","")</f>
        <v/>
      </c>
      <c r="B149" s="11" t="s">
        <v>464</v>
      </c>
      <c r="C149" s="15" t="s">
        <v>465</v>
      </c>
      <c r="D149" s="14" t="s">
        <v>466</v>
      </c>
      <c r="E149" s="15" t="s">
        <v>13</v>
      </c>
      <c r="F149" s="15" t="s">
        <v>151</v>
      </c>
    </row>
    <row r="150" spans="1:10" ht="17" customHeight="1">
      <c r="A150" s="2" t="str">
        <f>IF(ISNA(VLOOKUP(B150,AssociatedElements!B$2:B771,1,FALSE)),"Not used","")</f>
        <v/>
      </c>
      <c r="B150" s="11" t="s">
        <v>467</v>
      </c>
      <c r="C150" s="15" t="s">
        <v>468</v>
      </c>
      <c r="D150" s="14" t="s">
        <v>469</v>
      </c>
      <c r="E150" s="15" t="s">
        <v>13</v>
      </c>
      <c r="F150" s="15" t="s">
        <v>68</v>
      </c>
    </row>
    <row r="151" spans="1:10" ht="34" customHeight="1">
      <c r="A151" s="2" t="str">
        <f>IF(ISNA(VLOOKUP(B151,AssociatedElements!B$2:B772,1,FALSE)),"Not used","")</f>
        <v/>
      </c>
      <c r="B151" s="11" t="s">
        <v>470</v>
      </c>
      <c r="C151" s="15" t="s">
        <v>471</v>
      </c>
      <c r="D151" s="14" t="s">
        <v>472</v>
      </c>
      <c r="E151" s="15" t="s">
        <v>13</v>
      </c>
      <c r="F151" s="15" t="s">
        <v>14</v>
      </c>
    </row>
    <row r="152" spans="1:10" ht="119" customHeight="1">
      <c r="A152" s="2" t="str">
        <f>IF(ISNA(VLOOKUP(B152,AssociatedElements!B$2:B773,1,FALSE)),"Not used","")</f>
        <v/>
      </c>
      <c r="B152" s="11" t="s">
        <v>473</v>
      </c>
      <c r="C152" s="15" t="s">
        <v>474</v>
      </c>
      <c r="D152" s="14" t="s">
        <v>475</v>
      </c>
      <c r="E152" s="15" t="s">
        <v>18</v>
      </c>
      <c r="F152" s="15"/>
    </row>
    <row r="153" spans="1:10" ht="85" customHeight="1">
      <c r="A153" s="2" t="str">
        <f>IF(ISNA(VLOOKUP(B153,AssociatedElements!B$2:B774,1,FALSE)),"Not used","")</f>
        <v/>
      </c>
      <c r="B153" s="11" t="s">
        <v>476</v>
      </c>
      <c r="C153" s="15" t="s">
        <v>477</v>
      </c>
      <c r="D153" s="14" t="s">
        <v>478</v>
      </c>
      <c r="E153" s="15" t="s">
        <v>13</v>
      </c>
      <c r="F153" s="15"/>
    </row>
    <row r="154" spans="1:10" ht="85" customHeight="1">
      <c r="A154" s="2" t="str">
        <f>IF(ISNA(VLOOKUP(B154,AssociatedElements!B$2:B775,1,FALSE)),"Not used","")</f>
        <v/>
      </c>
      <c r="B154" s="11" t="s">
        <v>479</v>
      </c>
      <c r="C154" s="15" t="s">
        <v>480</v>
      </c>
      <c r="D154" s="14" t="s">
        <v>481</v>
      </c>
      <c r="E154" s="15" t="s">
        <v>13</v>
      </c>
      <c r="F154" s="15"/>
    </row>
    <row r="155" spans="1:10" ht="17" customHeight="1">
      <c r="A155" s="2" t="str">
        <f>IF(ISNA(VLOOKUP(B155,AssociatedElements!B$2:B776,1,FALSE)),"Not used","")</f>
        <v/>
      </c>
      <c r="B155" s="11" t="s">
        <v>482</v>
      </c>
      <c r="C155" s="15" t="s">
        <v>483</v>
      </c>
      <c r="D155" s="14" t="s">
        <v>484</v>
      </c>
      <c r="E155" s="15" t="s">
        <v>13</v>
      </c>
      <c r="F155" s="15"/>
    </row>
    <row r="156" spans="1:10" ht="34" customHeight="1">
      <c r="A156" s="2" t="str">
        <f>IF(ISNA(VLOOKUP(B156,AssociatedElements!B$2:B777,1,FALSE)),"Not used","")</f>
        <v/>
      </c>
      <c r="B156" s="11" t="s">
        <v>485</v>
      </c>
      <c r="C156" s="15" t="s">
        <v>486</v>
      </c>
      <c r="D156" s="14" t="s">
        <v>487</v>
      </c>
      <c r="E156" s="15" t="s">
        <v>13</v>
      </c>
      <c r="F156" s="15" t="s">
        <v>88</v>
      </c>
    </row>
    <row r="157" spans="1:10" ht="68" customHeight="1">
      <c r="A157" s="2" t="str">
        <f>IF(ISNA(VLOOKUP(B157,AssociatedElements!B$2:B778,1,FALSE)),"Not used","")</f>
        <v/>
      </c>
      <c r="B157" s="11" t="s">
        <v>488</v>
      </c>
      <c r="C157" s="15" t="s">
        <v>489</v>
      </c>
      <c r="D157" s="14" t="s">
        <v>490</v>
      </c>
      <c r="E157" s="15" t="s">
        <v>13</v>
      </c>
      <c r="F157" s="2" t="s">
        <v>68</v>
      </c>
      <c r="J157" s="2" t="s">
        <v>35</v>
      </c>
    </row>
    <row r="158" spans="1:10" ht="51" customHeight="1">
      <c r="A158" s="2" t="str">
        <f>IF(ISNA(VLOOKUP(B158,AssociatedElements!B$2:B779,1,FALSE)),"Not used","")</f>
        <v/>
      </c>
      <c r="B158" s="11" t="s">
        <v>491</v>
      </c>
      <c r="C158" s="15" t="s">
        <v>492</v>
      </c>
      <c r="D158" s="14" t="s">
        <v>493</v>
      </c>
      <c r="E158" s="15" t="s">
        <v>13</v>
      </c>
      <c r="F158" s="15" t="s">
        <v>494</v>
      </c>
    </row>
    <row r="159" spans="1:10" ht="17" customHeight="1">
      <c r="A159" s="2" t="str">
        <f>IF(ISNA(VLOOKUP(B159,AssociatedElements!B$2:B780,1,FALSE)),"Not used","")</f>
        <v/>
      </c>
      <c r="B159" s="11" t="s">
        <v>495</v>
      </c>
      <c r="C159" s="15" t="s">
        <v>496</v>
      </c>
      <c r="D159" s="14" t="s">
        <v>497</v>
      </c>
      <c r="E159" s="15" t="s">
        <v>13</v>
      </c>
      <c r="F159" s="15" t="s">
        <v>168</v>
      </c>
    </row>
    <row r="160" spans="1:10" ht="17" customHeight="1">
      <c r="A160" s="2" t="str">
        <f>IF(ISNA(VLOOKUP(B160,AssociatedElements!B$2:B781,1,FALSE)),"Not used","")</f>
        <v/>
      </c>
      <c r="B160" s="11" t="s">
        <v>498</v>
      </c>
      <c r="C160" s="15" t="s">
        <v>499</v>
      </c>
      <c r="D160" s="14" t="s">
        <v>500</v>
      </c>
      <c r="E160" s="15" t="s">
        <v>13</v>
      </c>
      <c r="F160" s="15" t="s">
        <v>501</v>
      </c>
    </row>
    <row r="161" spans="1:10" ht="34" customHeight="1">
      <c r="A161" s="2" t="str">
        <f>IF(ISNA(VLOOKUP(B161,AssociatedElements!B$2:B782,1,FALSE)),"Not used","")</f>
        <v/>
      </c>
      <c r="B161" s="11" t="s">
        <v>502</v>
      </c>
      <c r="C161" s="15" t="s">
        <v>503</v>
      </c>
      <c r="D161" s="14" t="s">
        <v>504</v>
      </c>
      <c r="E161" s="15" t="s">
        <v>45</v>
      </c>
      <c r="F161" s="15"/>
    </row>
    <row r="162" spans="1:10" ht="51" customHeight="1">
      <c r="A162" s="2" t="str">
        <f>IF(ISNA(VLOOKUP(B162,AssociatedElements!B$2:B783,1,FALSE)),"Not used","")</f>
        <v/>
      </c>
      <c r="B162" s="11" t="s">
        <v>505</v>
      </c>
      <c r="C162" s="11" t="s">
        <v>506</v>
      </c>
      <c r="D162" s="2" t="s">
        <v>507</v>
      </c>
      <c r="E162" s="11" t="s">
        <v>13</v>
      </c>
      <c r="F162" s="11" t="s">
        <v>14</v>
      </c>
    </row>
    <row r="163" spans="1:10" ht="17" customHeight="1">
      <c r="A163" s="2" t="str">
        <f>IF(ISNA(VLOOKUP(B163,AssociatedElements!B$2:B784,1,FALSE)),"Not used","")</f>
        <v/>
      </c>
      <c r="B163" s="11" t="s">
        <v>508</v>
      </c>
      <c r="C163" s="15" t="s">
        <v>509</v>
      </c>
      <c r="D163" s="14" t="s">
        <v>510</v>
      </c>
      <c r="E163" s="15" t="s">
        <v>13</v>
      </c>
      <c r="F163" s="15" t="s">
        <v>511</v>
      </c>
    </row>
    <row r="164" spans="1:10" ht="34" customHeight="1">
      <c r="A164" s="2" t="str">
        <f>IF(ISNA(VLOOKUP(B164,AssociatedElements!B$2:B785,1,FALSE)),"Not used","")</f>
        <v/>
      </c>
      <c r="B164" s="11" t="s">
        <v>168</v>
      </c>
      <c r="C164" s="15" t="s">
        <v>512</v>
      </c>
      <c r="D164" s="14" t="s">
        <v>513</v>
      </c>
      <c r="E164" s="15" t="s">
        <v>168</v>
      </c>
      <c r="F164" s="15" t="s">
        <v>168</v>
      </c>
    </row>
    <row r="165" spans="1:10" ht="17" customHeight="1">
      <c r="A165" s="2" t="str">
        <f>IF(ISNA(VLOOKUP(B165,AssociatedElements!B$2:B786,1,FALSE)),"Not used","")</f>
        <v/>
      </c>
      <c r="B165" s="11" t="s">
        <v>514</v>
      </c>
      <c r="C165" s="15" t="s">
        <v>515</v>
      </c>
      <c r="D165" s="14" t="s">
        <v>516</v>
      </c>
      <c r="E165" s="15" t="s">
        <v>13</v>
      </c>
      <c r="F165" s="15" t="s">
        <v>14</v>
      </c>
    </row>
    <row r="166" spans="1:10" ht="17" customHeight="1">
      <c r="A166" s="2" t="str">
        <f>IF(ISNA(VLOOKUP(B166,AssociatedElements!B$2:B787,1,FALSE)),"Not used","")</f>
        <v/>
      </c>
      <c r="B166" s="11" t="s">
        <v>517</v>
      </c>
      <c r="C166" s="15" t="s">
        <v>518</v>
      </c>
      <c r="D166" s="14" t="s">
        <v>519</v>
      </c>
      <c r="E166" s="15" t="s">
        <v>13</v>
      </c>
      <c r="F166" s="15" t="s">
        <v>14</v>
      </c>
    </row>
    <row r="167" spans="1:10" ht="17" customHeight="1">
      <c r="A167" s="2" t="str">
        <f>IF(ISNA(VLOOKUP(B167,AssociatedElements!B$2:B788,1,FALSE)),"Not used","")</f>
        <v/>
      </c>
      <c r="B167" s="2" t="s">
        <v>520</v>
      </c>
      <c r="C167" s="24" t="s">
        <v>521</v>
      </c>
      <c r="D167" s="24" t="s">
        <v>522</v>
      </c>
      <c r="E167" s="2" t="s">
        <v>13</v>
      </c>
      <c r="F167" s="2" t="s">
        <v>523</v>
      </c>
    </row>
    <row r="168" spans="1:10" ht="34" customHeight="1">
      <c r="A168" s="2" t="str">
        <f>IF(ISNA(VLOOKUP(B168,AssociatedElements!B$2:B789,1,FALSE)),"Not used","")</f>
        <v/>
      </c>
      <c r="B168" s="2" t="s">
        <v>524</v>
      </c>
      <c r="C168" s="2" t="s">
        <v>525</v>
      </c>
      <c r="D168" s="31" t="s">
        <v>526</v>
      </c>
      <c r="E168" s="2" t="s">
        <v>13</v>
      </c>
      <c r="F168" s="2" t="s">
        <v>14</v>
      </c>
    </row>
    <row r="169" spans="1:10" ht="68" customHeight="1">
      <c r="A169" s="2" t="str">
        <f>IF(ISNA(VLOOKUP(B169,AssociatedElements!B$2:B790,1,FALSE)),"Not used","")</f>
        <v/>
      </c>
      <c r="B169" s="11" t="s">
        <v>527</v>
      </c>
      <c r="C169" s="15" t="s">
        <v>528</v>
      </c>
      <c r="D169" s="14" t="s">
        <v>529</v>
      </c>
      <c r="E169" s="15" t="s">
        <v>13</v>
      </c>
      <c r="F169" s="15" t="s">
        <v>14</v>
      </c>
    </row>
    <row r="170" spans="1:10" ht="51" customHeight="1">
      <c r="A170" s="2" t="str">
        <f>IF(ISNA(VLOOKUP(B170,AssociatedElements!B$2:B791,1,FALSE)),"Not used","")</f>
        <v/>
      </c>
      <c r="B170" s="2" t="s">
        <v>530</v>
      </c>
      <c r="C170" s="2" t="s">
        <v>531</v>
      </c>
      <c r="D170" s="2" t="s">
        <v>532</v>
      </c>
      <c r="E170" s="2" t="s">
        <v>18</v>
      </c>
    </row>
    <row r="171" spans="1:10" ht="34" customHeight="1">
      <c r="A171" s="2" t="str">
        <f>IF(ISNA(VLOOKUP(B171,AssociatedElements!B$2:B792,1,FALSE)),"Not used","")</f>
        <v/>
      </c>
      <c r="B171" s="11" t="s">
        <v>533</v>
      </c>
      <c r="C171" s="15" t="s">
        <v>534</v>
      </c>
      <c r="D171" s="14" t="s">
        <v>535</v>
      </c>
      <c r="E171" s="15" t="s">
        <v>18</v>
      </c>
      <c r="F171" s="15"/>
    </row>
    <row r="172" spans="1:10" ht="51" customHeight="1">
      <c r="A172" s="2" t="str">
        <f>IF(ISNA(VLOOKUP(B172,AssociatedElements!B$2:B793,1,FALSE)),"Not used","")</f>
        <v/>
      </c>
      <c r="B172" s="11" t="s">
        <v>536</v>
      </c>
      <c r="C172" s="15" t="s">
        <v>537</v>
      </c>
      <c r="D172" s="14" t="s">
        <v>538</v>
      </c>
      <c r="E172" s="15" t="s">
        <v>18</v>
      </c>
      <c r="F172" s="15"/>
    </row>
    <row r="173" spans="1:10" ht="17" customHeight="1">
      <c r="A173" s="2" t="str">
        <f>IF(ISNA(VLOOKUP(B173,AssociatedElements!B$2:B794,1,FALSE)),"Not used","")</f>
        <v/>
      </c>
      <c r="B173" s="11" t="s">
        <v>539</v>
      </c>
      <c r="C173" s="15" t="s">
        <v>540</v>
      </c>
      <c r="D173" s="14" t="s">
        <v>541</v>
      </c>
      <c r="E173" s="15" t="s">
        <v>13</v>
      </c>
      <c r="F173" s="15" t="s">
        <v>14</v>
      </c>
    </row>
    <row r="174" spans="1:10" ht="17" customHeight="1">
      <c r="A174" s="2" t="str">
        <f>IF(ISNA(VLOOKUP(B174,AssociatedElements!B$2:B795,1,FALSE)),"Not used","")</f>
        <v/>
      </c>
      <c r="B174" s="2" t="s">
        <v>542</v>
      </c>
      <c r="C174" s="2" t="s">
        <v>543</v>
      </c>
      <c r="D174" s="2" t="s">
        <v>544</v>
      </c>
      <c r="E174" s="2" t="s">
        <v>13</v>
      </c>
      <c r="F174" s="2" t="s">
        <v>542</v>
      </c>
    </row>
    <row r="175" spans="1:10" ht="68" customHeight="1">
      <c r="A175" s="2" t="str">
        <f>IF(ISNA(VLOOKUP(B175,AssociatedElements!B$2:B796,1,FALSE)),"Not used","")</f>
        <v/>
      </c>
      <c r="B175" s="2" t="s">
        <v>545</v>
      </c>
      <c r="C175" s="24" t="s">
        <v>546</v>
      </c>
      <c r="D175" s="24" t="s">
        <v>547</v>
      </c>
      <c r="E175" s="2" t="s">
        <v>13</v>
      </c>
      <c r="F175" s="2" t="s">
        <v>542</v>
      </c>
    </row>
    <row r="176" spans="1:10" ht="17" customHeight="1">
      <c r="A176" s="2" t="str">
        <f>IF(ISNA(VLOOKUP(B176,AssociatedElements!B$2:B797,1,FALSE)),"Not used","")</f>
        <v/>
      </c>
      <c r="B176" s="11" t="s">
        <v>548</v>
      </c>
      <c r="C176" s="15" t="s">
        <v>549</v>
      </c>
      <c r="D176" s="28" t="s">
        <v>550</v>
      </c>
      <c r="E176" s="35" t="s">
        <v>45</v>
      </c>
      <c r="F176" s="28" t="s">
        <v>197</v>
      </c>
      <c r="J176" s="2" t="s">
        <v>35</v>
      </c>
    </row>
    <row r="177" spans="1:10" ht="68" customHeight="1">
      <c r="A177" s="2" t="str">
        <f>IF(ISNA(VLOOKUP(B177,AssociatedElements!B$2:B798,1,FALSE)),"Not used","")</f>
        <v/>
      </c>
      <c r="B177" s="11" t="s">
        <v>551</v>
      </c>
      <c r="C177" s="15" t="s">
        <v>552</v>
      </c>
      <c r="D177" s="28" t="s">
        <v>553</v>
      </c>
      <c r="E177" s="35" t="s">
        <v>18</v>
      </c>
      <c r="F177" s="35"/>
    </row>
    <row r="178" spans="1:10" ht="102" customHeight="1">
      <c r="A178" s="2" t="str">
        <f>IF(ISNA(VLOOKUP(B178,AssociatedElements!B$2:B799,1,FALSE)),"Not used","")</f>
        <v/>
      </c>
      <c r="B178" s="11" t="s">
        <v>554</v>
      </c>
      <c r="C178" s="20" t="s">
        <v>555</v>
      </c>
      <c r="D178" s="36" t="s">
        <v>556</v>
      </c>
      <c r="E178" s="35" t="s">
        <v>13</v>
      </c>
      <c r="F178" s="28" t="s">
        <v>34</v>
      </c>
      <c r="J178" s="2" t="s">
        <v>35</v>
      </c>
    </row>
    <row r="179" spans="1:10" ht="34" customHeight="1">
      <c r="A179" s="2" t="str">
        <f>IF(ISNA(VLOOKUP(B179,AssociatedElements!B$2:B800,1,FALSE)),"Not used","")</f>
        <v/>
      </c>
      <c r="B179" s="11" t="s">
        <v>557</v>
      </c>
      <c r="C179" s="15" t="s">
        <v>558</v>
      </c>
      <c r="D179" s="28" t="s">
        <v>559</v>
      </c>
      <c r="E179" s="35" t="s">
        <v>13</v>
      </c>
      <c r="F179" s="28" t="s">
        <v>34</v>
      </c>
      <c r="J179" s="2" t="s">
        <v>35</v>
      </c>
    </row>
    <row r="180" spans="1:10" ht="34" customHeight="1">
      <c r="A180" s="2" t="str">
        <f>IF(ISNA(VLOOKUP(B180,AssociatedElements!B$2:B801,1,FALSE)),"Not used","")</f>
        <v/>
      </c>
      <c r="B180" s="11" t="s">
        <v>560</v>
      </c>
      <c r="C180" s="11" t="s">
        <v>561</v>
      </c>
      <c r="D180" s="2" t="s">
        <v>562</v>
      </c>
      <c r="E180" s="11" t="s">
        <v>13</v>
      </c>
      <c r="F180" s="11" t="s">
        <v>151</v>
      </c>
    </row>
    <row r="181" spans="1:10" ht="34" customHeight="1">
      <c r="A181" s="2" t="str">
        <f>IF(ISNA(VLOOKUP(B181,AssociatedElements!B$2:B802,1,FALSE)),"Not used","")</f>
        <v/>
      </c>
      <c r="B181" s="11" t="s">
        <v>563</v>
      </c>
      <c r="C181" s="11" t="s">
        <v>564</v>
      </c>
      <c r="D181" s="2" t="s">
        <v>565</v>
      </c>
      <c r="E181" s="11" t="s">
        <v>13</v>
      </c>
      <c r="F181" s="11" t="s">
        <v>151</v>
      </c>
    </row>
    <row r="182" spans="1:10" ht="34" customHeight="1">
      <c r="A182" s="2" t="str">
        <f>IF(ISNA(VLOOKUP(B182,AssociatedElements!B$2:B803,1,FALSE)),"Not used","")</f>
        <v/>
      </c>
      <c r="B182" s="2" t="s">
        <v>566</v>
      </c>
      <c r="C182" s="2" t="s">
        <v>567</v>
      </c>
      <c r="D182" s="2" t="s">
        <v>568</v>
      </c>
      <c r="E182" s="2" t="s">
        <v>13</v>
      </c>
      <c r="F182" s="2" t="s">
        <v>88</v>
      </c>
    </row>
    <row r="183" spans="1:10" ht="34" customHeight="1">
      <c r="A183" s="2" t="str">
        <f>IF(ISNA(VLOOKUP(B183,AssociatedElements!B$2:B804,1,FALSE)),"Not used","")</f>
        <v/>
      </c>
      <c r="B183" s="2" t="s">
        <v>569</v>
      </c>
      <c r="C183" s="2" t="s">
        <v>570</v>
      </c>
      <c r="D183" s="2" t="s">
        <v>571</v>
      </c>
      <c r="E183" s="2" t="s">
        <v>13</v>
      </c>
      <c r="F183" s="2" t="s">
        <v>88</v>
      </c>
    </row>
    <row r="184" spans="1:10" ht="34" customHeight="1">
      <c r="A184" s="2" t="str">
        <f>IF(ISNA(VLOOKUP(B184,AssociatedElements!B$2:B805,1,FALSE)),"Not used","")</f>
        <v/>
      </c>
      <c r="B184" s="2" t="s">
        <v>572</v>
      </c>
      <c r="C184" s="2" t="s">
        <v>573</v>
      </c>
      <c r="D184" s="2" t="s">
        <v>574</v>
      </c>
      <c r="E184" s="2" t="s">
        <v>13</v>
      </c>
      <c r="F184" s="2" t="s">
        <v>88</v>
      </c>
    </row>
    <row r="185" spans="1:10" ht="51" customHeight="1">
      <c r="A185" s="2" t="str">
        <f>IF(ISNA(VLOOKUP(B185,AssociatedElements!B$2:B806,1,FALSE)),"Not used","")</f>
        <v/>
      </c>
      <c r="B185" s="2" t="s">
        <v>575</v>
      </c>
      <c r="C185" s="2" t="s">
        <v>576</v>
      </c>
      <c r="D185" s="2" t="s">
        <v>577</v>
      </c>
      <c r="E185" s="2" t="s">
        <v>13</v>
      </c>
      <c r="F185" s="2" t="s">
        <v>88</v>
      </c>
    </row>
    <row r="186" spans="1:10" ht="34" customHeight="1">
      <c r="A186" s="2" t="str">
        <f>IF(ISNA(VLOOKUP(B186,AssociatedElements!B$2:B807,1,FALSE)),"Not used","")</f>
        <v/>
      </c>
      <c r="B186" s="2" t="s">
        <v>578</v>
      </c>
      <c r="C186" s="2" t="s">
        <v>579</v>
      </c>
      <c r="D186" s="2" t="s">
        <v>580</v>
      </c>
      <c r="E186" s="2" t="s">
        <v>13</v>
      </c>
      <c r="F186" s="2" t="s">
        <v>64</v>
      </c>
    </row>
    <row r="187" spans="1:10" ht="51" customHeight="1">
      <c r="A187" s="2" t="str">
        <f>IF(ISNA(VLOOKUP(B187,AssociatedElements!B$2:B808,1,FALSE)),"Not used","")</f>
        <v/>
      </c>
      <c r="B187" s="2" t="s">
        <v>581</v>
      </c>
      <c r="C187" s="2" t="s">
        <v>582</v>
      </c>
      <c r="D187" s="2" t="s">
        <v>583</v>
      </c>
      <c r="E187" s="2" t="s">
        <v>13</v>
      </c>
      <c r="F187" s="2" t="s">
        <v>14</v>
      </c>
    </row>
    <row r="188" spans="1:10" ht="34" customHeight="1">
      <c r="A188" s="2" t="str">
        <f>IF(ISNA(VLOOKUP(B188,AssociatedElements!B$2:B809,1,FALSE)),"Not used","")</f>
        <v/>
      </c>
      <c r="B188" s="2" t="s">
        <v>584</v>
      </c>
      <c r="C188" s="2" t="s">
        <v>585</v>
      </c>
      <c r="D188" s="37" t="s">
        <v>586</v>
      </c>
      <c r="E188" s="2" t="s">
        <v>13</v>
      </c>
      <c r="F188" s="2" t="s">
        <v>68</v>
      </c>
    </row>
    <row r="189" spans="1:10" ht="34" customHeight="1">
      <c r="A189" s="2" t="str">
        <f>IF(ISNA(VLOOKUP(B189,AssociatedElements!B$2:B810,1,FALSE)),"Not used","")</f>
        <v/>
      </c>
      <c r="B189" s="2" t="s">
        <v>587</v>
      </c>
      <c r="C189" s="2" t="s">
        <v>588</v>
      </c>
      <c r="D189" s="2" t="s">
        <v>589</v>
      </c>
      <c r="E189" s="2" t="s">
        <v>13</v>
      </c>
      <c r="F189" s="2" t="s">
        <v>68</v>
      </c>
    </row>
    <row r="190" spans="1:10" ht="34" customHeight="1">
      <c r="A190" s="2" t="str">
        <f>IF(ISNA(VLOOKUP(B190,AssociatedElements!B$2:B811,1,FALSE)),"Not used","")</f>
        <v/>
      </c>
      <c r="B190" s="2" t="s">
        <v>590</v>
      </c>
      <c r="C190" s="2" t="s">
        <v>591</v>
      </c>
      <c r="D190" s="2" t="s">
        <v>592</v>
      </c>
      <c r="E190" s="2" t="s">
        <v>13</v>
      </c>
      <c r="F190" s="2" t="s">
        <v>34</v>
      </c>
    </row>
    <row r="191" spans="1:10" ht="34" customHeight="1">
      <c r="A191" s="2" t="str">
        <f>IF(ISNA(VLOOKUP(B191,AssociatedElements!B$2:B812,1,FALSE)),"Not used","")</f>
        <v/>
      </c>
      <c r="B191" s="2" t="s">
        <v>593</v>
      </c>
      <c r="C191" s="2" t="s">
        <v>593</v>
      </c>
      <c r="D191" s="2" t="s">
        <v>594</v>
      </c>
      <c r="E191" s="2" t="s">
        <v>13</v>
      </c>
      <c r="F191" s="2" t="s">
        <v>151</v>
      </c>
    </row>
    <row r="192" spans="1:10" ht="34" customHeight="1">
      <c r="A192" s="2" t="str">
        <f>IF(ISNA(VLOOKUP(B192,AssociatedElements!B$2:B813,1,FALSE)),"Not used","")</f>
        <v/>
      </c>
      <c r="B192" s="2" t="s">
        <v>595</v>
      </c>
      <c r="C192" s="2" t="s">
        <v>595</v>
      </c>
      <c r="D192" s="2" t="s">
        <v>596</v>
      </c>
      <c r="E192" s="2" t="s">
        <v>13</v>
      </c>
      <c r="F192" s="2" t="s">
        <v>151</v>
      </c>
    </row>
    <row r="193" spans="1:6" ht="34" customHeight="1">
      <c r="A193" s="2" t="str">
        <f>IF(ISNA(VLOOKUP(B193,AssociatedElements!B$2:B814,1,FALSE)),"Not used","")</f>
        <v/>
      </c>
      <c r="B193" s="2" t="s">
        <v>597</v>
      </c>
      <c r="C193" s="2" t="s">
        <v>598</v>
      </c>
      <c r="D193" s="2" t="s">
        <v>599</v>
      </c>
      <c r="E193" s="2" t="s">
        <v>13</v>
      </c>
      <c r="F193" s="2" t="s">
        <v>34</v>
      </c>
    </row>
    <row r="194" spans="1:6" ht="34" customHeight="1">
      <c r="A194" s="2" t="str">
        <f>IF(ISNA(VLOOKUP(B194,AssociatedElements!B$2:B815,1,FALSE)),"Not used","")</f>
        <v/>
      </c>
      <c r="B194" s="2" t="s">
        <v>600</v>
      </c>
      <c r="C194" s="2" t="s">
        <v>601</v>
      </c>
      <c r="D194" s="2" t="s">
        <v>602</v>
      </c>
      <c r="E194" s="2" t="s">
        <v>13</v>
      </c>
      <c r="F194" s="2" t="s">
        <v>34</v>
      </c>
    </row>
    <row r="195" spans="1:6" ht="34" customHeight="1">
      <c r="A195" s="2" t="str">
        <f>IF(ISNA(VLOOKUP(B195,AssociatedElements!B$2:B816,1,FALSE)),"Not used","")</f>
        <v/>
      </c>
      <c r="B195" s="2" t="s">
        <v>603</v>
      </c>
      <c r="C195" s="2" t="s">
        <v>604</v>
      </c>
      <c r="D195" s="2" t="s">
        <v>605</v>
      </c>
      <c r="E195" s="2" t="s">
        <v>13</v>
      </c>
      <c r="F195" s="2" t="s">
        <v>34</v>
      </c>
    </row>
    <row r="196" spans="1:6" ht="34" customHeight="1">
      <c r="A196" s="2" t="str">
        <f>IF(ISNA(VLOOKUP(B196,AssociatedElements!B$2:B817,1,FALSE)),"Not used","")</f>
        <v/>
      </c>
      <c r="B196" s="2" t="s">
        <v>606</v>
      </c>
      <c r="C196" s="2" t="s">
        <v>607</v>
      </c>
      <c r="D196" s="2" t="s">
        <v>608</v>
      </c>
      <c r="E196" s="2" t="s">
        <v>13</v>
      </c>
      <c r="F196" s="2" t="s">
        <v>34</v>
      </c>
    </row>
    <row r="197" spans="1:6" ht="34" customHeight="1">
      <c r="A197" s="2" t="str">
        <f>IF(ISNA(VLOOKUP(B197,AssociatedElements!B$2:B818,1,FALSE)),"Not used","")</f>
        <v/>
      </c>
      <c r="B197" s="2" t="s">
        <v>609</v>
      </c>
      <c r="C197" s="2" t="s">
        <v>610</v>
      </c>
      <c r="D197" s="2" t="s">
        <v>611</v>
      </c>
      <c r="E197" s="2" t="s">
        <v>13</v>
      </c>
      <c r="F197" s="2" t="s">
        <v>34</v>
      </c>
    </row>
    <row r="198" spans="1:6" ht="34" customHeight="1">
      <c r="A198" s="2" t="str">
        <f>IF(ISNA(VLOOKUP(B198,AssociatedElements!B$2:B819,1,FALSE)),"Not used","")</f>
        <v/>
      </c>
      <c r="B198" s="2" t="s">
        <v>612</v>
      </c>
      <c r="C198" s="2" t="s">
        <v>613</v>
      </c>
      <c r="D198" s="2" t="s">
        <v>614</v>
      </c>
      <c r="E198" s="2" t="s">
        <v>13</v>
      </c>
      <c r="F198" s="2" t="s">
        <v>34</v>
      </c>
    </row>
    <row r="199" spans="1:6" ht="34" customHeight="1">
      <c r="A199" s="2" t="str">
        <f>IF(ISNA(VLOOKUP(B199,AssociatedElements!B$2:B820,1,FALSE)),"Not used","")</f>
        <v/>
      </c>
      <c r="B199" s="2" t="s">
        <v>615</v>
      </c>
      <c r="C199" s="2" t="s">
        <v>616</v>
      </c>
      <c r="D199" s="2" t="s">
        <v>617</v>
      </c>
      <c r="E199" s="2" t="s">
        <v>13</v>
      </c>
      <c r="F199" s="2" t="s">
        <v>34</v>
      </c>
    </row>
    <row r="200" spans="1:6" ht="34">
      <c r="A200" s="2" t="str">
        <f>IF(ISNA(VLOOKUP(B200,AssociatedElements!B$2:B821,1,FALSE)),"Not used","")</f>
        <v/>
      </c>
      <c r="B200" s="2" t="s">
        <v>618</v>
      </c>
      <c r="C200" s="2" t="s">
        <v>619</v>
      </c>
      <c r="D200" s="38" t="s">
        <v>620</v>
      </c>
      <c r="E200" s="2" t="s">
        <v>13</v>
      </c>
      <c r="F200" s="2" t="s">
        <v>34</v>
      </c>
    </row>
    <row r="201" spans="1:6" ht="153">
      <c r="A201" s="2" t="str">
        <f>IF(ISNA(VLOOKUP(B201,AssociatedElements!B$2:B822,1,FALSE)),"Not used","")</f>
        <v/>
      </c>
      <c r="B201" s="2" t="s">
        <v>621</v>
      </c>
      <c r="C201" s="2" t="s">
        <v>622</v>
      </c>
      <c r="D201" s="38" t="s">
        <v>623</v>
      </c>
      <c r="E201" s="2" t="s">
        <v>13</v>
      </c>
      <c r="F201" s="2" t="s">
        <v>151</v>
      </c>
    </row>
    <row r="202" spans="1:6" ht="102">
      <c r="A202" s="2" t="str">
        <f>IF(ISNA(VLOOKUP(B202,AssociatedElements!B$2:B823,1,FALSE)),"Not used","")</f>
        <v/>
      </c>
      <c r="B202" s="2" t="s">
        <v>624</v>
      </c>
      <c r="C202" s="2" t="s">
        <v>625</v>
      </c>
      <c r="D202" s="38" t="s">
        <v>626</v>
      </c>
      <c r="E202" s="2" t="s">
        <v>13</v>
      </c>
      <c r="F202" s="2" t="s">
        <v>151</v>
      </c>
    </row>
    <row r="203" spans="1:6" ht="136">
      <c r="A203" s="2" t="str">
        <f>IF(ISNA(VLOOKUP(B203,AssociatedElements!B$2:B824,1,FALSE)),"Not used","")</f>
        <v/>
      </c>
      <c r="B203" s="2" t="s">
        <v>627</v>
      </c>
      <c r="C203" s="2" t="s">
        <v>628</v>
      </c>
      <c r="D203" s="38" t="s">
        <v>629</v>
      </c>
      <c r="E203" s="2" t="s">
        <v>13</v>
      </c>
      <c r="F203" s="2" t="s">
        <v>68</v>
      </c>
    </row>
    <row r="204" spans="1:6" ht="102">
      <c r="A204" s="2" t="str">
        <f>IF(ISNA(VLOOKUP(B204,AssociatedElements!B$2:B825,1,FALSE)),"Not used","")</f>
        <v/>
      </c>
      <c r="B204" s="2" t="s">
        <v>630</v>
      </c>
      <c r="C204" s="2" t="s">
        <v>631</v>
      </c>
      <c r="D204" s="38" t="s">
        <v>632</v>
      </c>
      <c r="E204" s="2" t="s">
        <v>13</v>
      </c>
      <c r="F204" s="2" t="s">
        <v>14</v>
      </c>
    </row>
    <row r="205" spans="1:6" ht="85">
      <c r="A205" s="2" t="str">
        <f>IF(ISNA(VLOOKUP(B205,AssociatedElements!B$2:B826,1,FALSE)),"Not used","")</f>
        <v/>
      </c>
      <c r="B205" s="2" t="s">
        <v>633</v>
      </c>
      <c r="C205" s="2" t="s">
        <v>634</v>
      </c>
      <c r="D205" s="38" t="s">
        <v>635</v>
      </c>
      <c r="E205" s="2" t="s">
        <v>13</v>
      </c>
      <c r="F205" s="2" t="s">
        <v>68</v>
      </c>
    </row>
    <row r="206" spans="1:6" ht="102">
      <c r="A206" s="2" t="str">
        <f>IF(ISNA(VLOOKUP(B206,AssociatedElements!B$2:B827,1,FALSE)),"Not used","")</f>
        <v/>
      </c>
      <c r="B206" s="2" t="s">
        <v>636</v>
      </c>
      <c r="C206" s="2" t="s">
        <v>637</v>
      </c>
      <c r="D206" s="38" t="s">
        <v>638</v>
      </c>
      <c r="E206" s="2" t="s">
        <v>13</v>
      </c>
      <c r="F206" s="2" t="s">
        <v>511</v>
      </c>
    </row>
    <row r="207" spans="1:6" ht="68">
      <c r="A207" s="2" t="str">
        <f>IF(ISNA(VLOOKUP(B207,AssociatedElements!B$2:B828,1,FALSE)),"Not used","")</f>
        <v/>
      </c>
      <c r="B207" s="2" t="s">
        <v>639</v>
      </c>
      <c r="C207" s="2" t="s">
        <v>640</v>
      </c>
      <c r="D207" s="38" t="s">
        <v>641</v>
      </c>
      <c r="E207" s="2" t="s">
        <v>13</v>
      </c>
      <c r="F207" s="2" t="s">
        <v>642</v>
      </c>
    </row>
    <row r="208" spans="1:6" ht="85">
      <c r="A208" s="2" t="str">
        <f>IF(ISNA(VLOOKUP(B208,AssociatedElements!B$2:B829,1,FALSE)),"Not used","")</f>
        <v/>
      </c>
      <c r="B208" s="2" t="s">
        <v>643</v>
      </c>
      <c r="C208" s="2" t="s">
        <v>644</v>
      </c>
      <c r="D208" s="38" t="s">
        <v>645</v>
      </c>
      <c r="E208" s="2" t="s">
        <v>13</v>
      </c>
      <c r="F208" s="2" t="s">
        <v>14</v>
      </c>
    </row>
    <row r="209" spans="1:6" ht="119">
      <c r="A209" s="2" t="str">
        <f>IF(ISNA(VLOOKUP(B209,AssociatedElements!B$2:B830,1,FALSE)),"Not used","")</f>
        <v/>
      </c>
      <c r="B209" s="2" t="s">
        <v>646</v>
      </c>
      <c r="C209" s="2" t="s">
        <v>647</v>
      </c>
      <c r="D209" s="38" t="s">
        <v>648</v>
      </c>
      <c r="E209" s="2" t="s">
        <v>13</v>
      </c>
      <c r="F209" s="2" t="s">
        <v>14</v>
      </c>
    </row>
    <row r="210" spans="1:6" ht="102">
      <c r="A210" s="2" t="str">
        <f>IF(ISNA(VLOOKUP(B210,AssociatedElements!B$2:B831,1,FALSE)),"Not used","")</f>
        <v/>
      </c>
      <c r="B210" s="2" t="s">
        <v>649</v>
      </c>
      <c r="C210" s="2" t="s">
        <v>650</v>
      </c>
      <c r="D210" s="38" t="s">
        <v>651</v>
      </c>
      <c r="E210" s="2" t="s">
        <v>13</v>
      </c>
      <c r="F210" s="2" t="s">
        <v>151</v>
      </c>
    </row>
    <row r="211" spans="1:6" ht="119">
      <c r="A211" s="2" t="str">
        <f>IF(ISNA(VLOOKUP(B211,AssociatedElements!B$2:B832,1,FALSE)),"Not used","")</f>
        <v/>
      </c>
      <c r="B211" s="2" t="s">
        <v>652</v>
      </c>
      <c r="C211" s="2" t="s">
        <v>653</v>
      </c>
      <c r="D211" s="38" t="s">
        <v>654</v>
      </c>
      <c r="E211" s="2" t="s">
        <v>13</v>
      </c>
      <c r="F211" s="2" t="s">
        <v>151</v>
      </c>
    </row>
    <row r="212" spans="1:6" ht="85">
      <c r="A212" s="2" t="str">
        <f>IF(ISNA(VLOOKUP(B212,AssociatedElements!B$2:B833,1,FALSE)),"Not used","")</f>
        <v/>
      </c>
      <c r="B212" s="2" t="s">
        <v>655</v>
      </c>
      <c r="C212" s="2" t="s">
        <v>656</v>
      </c>
      <c r="D212" s="38" t="s">
        <v>657</v>
      </c>
      <c r="E212" s="2" t="s">
        <v>13</v>
      </c>
      <c r="F212" s="2" t="s">
        <v>151</v>
      </c>
    </row>
    <row r="213" spans="1:6" ht="153">
      <c r="A213" s="2" t="str">
        <f>IF(ISNA(VLOOKUP(B213,AssociatedElements!B$2:B834,1,FALSE)),"Not used","")</f>
        <v/>
      </c>
      <c r="B213" s="2" t="s">
        <v>658</v>
      </c>
      <c r="C213" s="2" t="s">
        <v>659</v>
      </c>
      <c r="D213" s="38" t="s">
        <v>660</v>
      </c>
      <c r="E213" s="2" t="s">
        <v>13</v>
      </c>
      <c r="F213" s="2" t="s">
        <v>88</v>
      </c>
    </row>
  </sheetData>
  <pageMargins left="0.7" right="0.7" top="0.75" bottom="0.75" header="0.3" footer="0.3"/>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33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0</v>
      </c>
      <c r="B1" s="5" t="s">
        <v>1</v>
      </c>
      <c r="C1" s="6" t="s">
        <v>669</v>
      </c>
      <c r="D1" s="21" t="s">
        <v>670</v>
      </c>
    </row>
    <row r="2" spans="1:4" ht="17" customHeight="1">
      <c r="A2" t="str">
        <f>IF(ISNA(VLOOKUP(B2,Definitions!B$2:B$1604,1,FALSE)),"Not listed","")</f>
        <v/>
      </c>
      <c r="B2" s="26" t="s">
        <v>10</v>
      </c>
      <c r="C2" s="21" t="s">
        <v>671</v>
      </c>
      <c r="D2" s="21" t="s">
        <v>672</v>
      </c>
    </row>
    <row r="3" spans="1:4" ht="17" customHeight="1">
      <c r="A3" t="str">
        <f>IF(ISNA(VLOOKUP(B3,Definitions!B$2:B$1604,1,FALSE)),"Not listed","")</f>
        <v/>
      </c>
      <c r="B3" s="2" t="s">
        <v>15</v>
      </c>
      <c r="C3" s="4" t="s">
        <v>671</v>
      </c>
      <c r="D3" s="21" t="s">
        <v>673</v>
      </c>
    </row>
    <row r="4" spans="1:4" ht="17" customHeight="1">
      <c r="A4" t="str">
        <f>IF(ISNA(VLOOKUP(B4,Definitions!B$2:B$1604,1,FALSE)),"Not listed","")</f>
        <v/>
      </c>
      <c r="B4" s="2" t="s">
        <v>19</v>
      </c>
      <c r="C4" s="4" t="s">
        <v>671</v>
      </c>
      <c r="D4" s="21" t="s">
        <v>673</v>
      </c>
    </row>
    <row r="5" spans="1:4">
      <c r="A5" t="str">
        <f>IF(ISNA(VLOOKUP(B5,Definitions!B$2:B$1604,1,FALSE)),"Not listed","")</f>
        <v/>
      </c>
      <c r="B5" t="s">
        <v>22</v>
      </c>
      <c r="C5" s="4" t="s">
        <v>671</v>
      </c>
      <c r="D5" s="21" t="s">
        <v>674</v>
      </c>
    </row>
    <row r="6" spans="1:4">
      <c r="A6" t="str">
        <f>IF(ISNA(VLOOKUP(B6,Definitions!B$2:B$1604,1,FALSE)),"Not listed","")</f>
        <v/>
      </c>
      <c r="B6" t="s">
        <v>25</v>
      </c>
      <c r="C6" s="4" t="s">
        <v>671</v>
      </c>
      <c r="D6" s="21" t="s">
        <v>675</v>
      </c>
    </row>
    <row r="7" spans="1:4">
      <c r="A7" t="str">
        <f>IF(ISNA(VLOOKUP(B7,Definitions!B$2:B$1604,1,FALSE)),"Not listed","")</f>
        <v/>
      </c>
      <c r="B7" t="s">
        <v>28</v>
      </c>
      <c r="C7" s="4" t="s">
        <v>671</v>
      </c>
      <c r="D7" s="21" t="s">
        <v>676</v>
      </c>
    </row>
    <row r="8" spans="1:4">
      <c r="A8" t="str">
        <f>IF(ISNA(VLOOKUP(B8,Definitions!B$2:B$1604,1,FALSE)),"Not listed","")</f>
        <v/>
      </c>
      <c r="B8" t="s">
        <v>31</v>
      </c>
      <c r="C8" s="4" t="s">
        <v>671</v>
      </c>
      <c r="D8" s="21" t="s">
        <v>677</v>
      </c>
    </row>
    <row r="9" spans="1:4">
      <c r="A9" t="str">
        <f>IF(ISNA(VLOOKUP(B9,Definitions!B$2:B$1604,1,FALSE)),"Not listed","")</f>
        <v/>
      </c>
      <c r="B9" t="s">
        <v>36</v>
      </c>
      <c r="C9" s="4" t="s">
        <v>671</v>
      </c>
      <c r="D9" s="21" t="s">
        <v>678</v>
      </c>
    </row>
    <row r="10" spans="1:4">
      <c r="A10" t="str">
        <f>IF(ISNA(VLOOKUP(B10,Definitions!B$2:B$1604,1,FALSE)),"Not listed","")</f>
        <v/>
      </c>
      <c r="B10" t="s">
        <v>39</v>
      </c>
      <c r="C10" s="4" t="s">
        <v>671</v>
      </c>
      <c r="D10" s="21" t="s">
        <v>679</v>
      </c>
    </row>
    <row r="11" spans="1:4">
      <c r="A11" t="str">
        <f>IF(ISNA(VLOOKUP(B11,Definitions!B$2:B$1604,1,FALSE)),"Not listed","")</f>
        <v/>
      </c>
      <c r="B11" t="s">
        <v>42</v>
      </c>
      <c r="C11" s="4" t="s">
        <v>671</v>
      </c>
      <c r="D11" s="21" t="s">
        <v>679</v>
      </c>
    </row>
    <row r="12" spans="1:4">
      <c r="A12" t="str">
        <f>IF(ISNA(VLOOKUP(B12,Definitions!B$2:B$1604,1,FALSE)),"Not listed","")</f>
        <v/>
      </c>
      <c r="B12" t="s">
        <v>46</v>
      </c>
      <c r="C12" s="4" t="s">
        <v>671</v>
      </c>
      <c r="D12" s="21" t="s">
        <v>679</v>
      </c>
    </row>
    <row r="13" spans="1:4">
      <c r="A13" t="str">
        <f>IF(ISNA(VLOOKUP(B13,Definitions!B$2:B$1604,1,FALSE)),"Not listed","")</f>
        <v/>
      </c>
      <c r="B13" t="s">
        <v>49</v>
      </c>
      <c r="C13" s="4" t="s">
        <v>671</v>
      </c>
      <c r="D13" s="21" t="s">
        <v>680</v>
      </c>
    </row>
    <row r="14" spans="1:4" ht="17" customHeight="1">
      <c r="A14" t="str">
        <f>IF(ISNA(VLOOKUP(B14,Definitions!B$2:B$1604,1,FALSE)),"Not listed","")</f>
        <v/>
      </c>
      <c r="B14" s="2" t="s">
        <v>52</v>
      </c>
      <c r="C14" s="4" t="s">
        <v>671</v>
      </c>
      <c r="D14" s="21" t="s">
        <v>681</v>
      </c>
    </row>
    <row r="15" spans="1:4">
      <c r="A15" t="str">
        <f>IF(ISNA(VLOOKUP(B15,Definitions!B$2:B$1604,1,FALSE)),"Not listed","")</f>
        <v/>
      </c>
      <c r="B15" t="s">
        <v>55</v>
      </c>
      <c r="C15" s="4" t="s">
        <v>671</v>
      </c>
      <c r="D15" s="21" t="s">
        <v>682</v>
      </c>
    </row>
    <row r="16" spans="1:4" ht="17" customHeight="1">
      <c r="A16" t="str">
        <f>IF(ISNA(VLOOKUP(B16,Definitions!B$2:B$1604,1,FALSE)),"Not listed","")</f>
        <v/>
      </c>
      <c r="B16" s="26" t="s">
        <v>58</v>
      </c>
      <c r="C16" s="21" t="s">
        <v>671</v>
      </c>
      <c r="D16" s="21" t="s">
        <v>672</v>
      </c>
    </row>
    <row r="17" spans="1:4">
      <c r="A17" t="str">
        <f>IF(ISNA(VLOOKUP(B17,Definitions!B$2:B$1604,1,FALSE)),"Not listed","")</f>
        <v/>
      </c>
      <c r="B17" t="s">
        <v>61</v>
      </c>
      <c r="C17" s="4" t="s">
        <v>671</v>
      </c>
      <c r="D17" s="21" t="s">
        <v>683</v>
      </c>
    </row>
    <row r="18" spans="1:4" ht="17" customHeight="1">
      <c r="A18" t="str">
        <f>IF(ISNA(VLOOKUP(B18,Definitions!B$2:B$1604,1,FALSE)),"Not listed","")</f>
        <v/>
      </c>
      <c r="B18" s="26" t="s">
        <v>65</v>
      </c>
      <c r="C18" s="21" t="s">
        <v>671</v>
      </c>
      <c r="D18" s="21" t="s">
        <v>684</v>
      </c>
    </row>
    <row r="19" spans="1:4" ht="17" customHeight="1">
      <c r="A19" t="str">
        <f>IF(ISNA(VLOOKUP(B19,Definitions!B$2:B$1604,1,FALSE)),"Not listed","")</f>
        <v/>
      </c>
      <c r="B19" s="26" t="s">
        <v>69</v>
      </c>
      <c r="C19" s="21" t="s">
        <v>671</v>
      </c>
      <c r="D19" s="21" t="s">
        <v>685</v>
      </c>
    </row>
    <row r="20" spans="1:4">
      <c r="A20" t="str">
        <f>IF(ISNA(VLOOKUP(B20,Definitions!B$2:B$1604,1,FALSE)),"Not listed","")</f>
        <v/>
      </c>
      <c r="B20" t="s">
        <v>69</v>
      </c>
      <c r="C20" s="4" t="s">
        <v>671</v>
      </c>
      <c r="D20" s="21" t="s">
        <v>686</v>
      </c>
    </row>
    <row r="21" spans="1:4" ht="17" customHeight="1">
      <c r="A21" t="str">
        <f>IF(ISNA(VLOOKUP(B21,Definitions!B$2:B$1604,1,FALSE)),"Not listed","")</f>
        <v/>
      </c>
      <c r="B21" s="26" t="s">
        <v>69</v>
      </c>
      <c r="C21" s="21" t="s">
        <v>671</v>
      </c>
      <c r="D21" s="21" t="s">
        <v>687</v>
      </c>
    </row>
    <row r="22" spans="1:4" ht="17" customHeight="1">
      <c r="A22" t="str">
        <f>IF(ISNA(VLOOKUP(B22,Definitions!B$2:B$1604,1,FALSE)),"Not listed","")</f>
        <v/>
      </c>
      <c r="B22" s="26" t="s">
        <v>69</v>
      </c>
      <c r="C22" s="21" t="s">
        <v>671</v>
      </c>
      <c r="D22" s="21" t="s">
        <v>688</v>
      </c>
    </row>
    <row r="23" spans="1:4" ht="17" customHeight="1">
      <c r="A23" t="str">
        <f>IF(ISNA(VLOOKUP([1]AssociatedElements!B279,Definitions!B$2:B$1604,1,FALSE)),"Not listed","")</f>
        <v/>
      </c>
      <c r="B23" s="11" t="s">
        <v>689</v>
      </c>
      <c r="C23" s="4" t="s">
        <v>671</v>
      </c>
      <c r="D23" s="21" t="s">
        <v>685</v>
      </c>
    </row>
    <row r="24" spans="1:4" ht="17" customHeight="1">
      <c r="A24" t="str">
        <f>IF(ISNA(VLOOKUP([1]AssociatedElements!B280,Definitions!B$2:B$1604,1,FALSE)),"Not listed","")</f>
        <v/>
      </c>
      <c r="B24" s="11" t="s">
        <v>689</v>
      </c>
      <c r="C24" s="4" t="s">
        <v>671</v>
      </c>
      <c r="D24" s="21" t="s">
        <v>686</v>
      </c>
    </row>
    <row r="25" spans="1:4" ht="17" customHeight="1">
      <c r="A25" t="str">
        <f>IF(ISNA(VLOOKUP([1]AssociatedElements!B281,Definitions!B$2:B$1604,1,FALSE)),"Not listed","")</f>
        <v/>
      </c>
      <c r="B25" s="11" t="s">
        <v>689</v>
      </c>
      <c r="C25" s="4" t="s">
        <v>671</v>
      </c>
      <c r="D25" s="21" t="s">
        <v>687</v>
      </c>
    </row>
    <row r="26" spans="1:4" ht="17" customHeight="1">
      <c r="A26" t="str">
        <f>IF(ISNA(VLOOKUP([1]AssociatedElements!B282,Definitions!B$2:B$1604,1,FALSE)),"Not listed","")</f>
        <v/>
      </c>
      <c r="B26" s="11" t="s">
        <v>689</v>
      </c>
      <c r="C26" s="4" t="s">
        <v>671</v>
      </c>
      <c r="D26" s="21" t="s">
        <v>688</v>
      </c>
    </row>
    <row r="27" spans="1:4" ht="17" customHeight="1">
      <c r="A27" t="str">
        <f>IF(ISNA(VLOOKUP(B27,Definitions!B$2:B$1604,1,FALSE)),"Not listed","")</f>
        <v/>
      </c>
      <c r="B27" s="26" t="s">
        <v>73</v>
      </c>
      <c r="C27" s="21" t="s">
        <v>671</v>
      </c>
      <c r="D27" s="21" t="s">
        <v>672</v>
      </c>
    </row>
    <row r="28" spans="1:4" ht="17" customHeight="1">
      <c r="A28" t="str">
        <f>IF(ISNA(VLOOKUP([1]AssociatedElements!B289,Definitions!B$2:B$1604,1,FALSE)),"Not listed","")</f>
        <v/>
      </c>
      <c r="B28" s="2" t="s">
        <v>587</v>
      </c>
      <c r="C28" s="4" t="s">
        <v>671</v>
      </c>
      <c r="D28" s="21" t="s">
        <v>690</v>
      </c>
    </row>
    <row r="29" spans="1:4" ht="17" customHeight="1">
      <c r="A29" t="str">
        <f>IF(ISNA(VLOOKUP(B29,Definitions!B$2:B$1604,1,FALSE)),"Not listed","")</f>
        <v/>
      </c>
      <c r="B29" s="26" t="s">
        <v>76</v>
      </c>
      <c r="C29" s="21" t="s">
        <v>671</v>
      </c>
      <c r="D29" s="21" t="s">
        <v>685</v>
      </c>
    </row>
    <row r="30" spans="1:4" ht="17" customHeight="1">
      <c r="A30" t="str">
        <f>IF(ISNA(VLOOKUP(B30,Definitions!B$2:B$1604,1,FALSE)),"Not listed","")</f>
        <v/>
      </c>
      <c r="B30" s="26" t="s">
        <v>76</v>
      </c>
      <c r="C30" s="21" t="s">
        <v>671</v>
      </c>
      <c r="D30" s="21" t="s">
        <v>687</v>
      </c>
    </row>
    <row r="31" spans="1:4" ht="17" customHeight="1">
      <c r="A31" t="str">
        <f>IF(ISNA(VLOOKUP(B31,Definitions!B$2:B$1604,1,FALSE)),"Not listed","")</f>
        <v/>
      </c>
      <c r="B31" s="26" t="s">
        <v>79</v>
      </c>
      <c r="C31" s="21" t="s">
        <v>671</v>
      </c>
      <c r="D31" s="21" t="s">
        <v>685</v>
      </c>
    </row>
    <row r="32" spans="1:4" ht="17" customHeight="1">
      <c r="A32" t="str">
        <f>IF(ISNA(VLOOKUP(B32,Definitions!B$2:B$1604,1,FALSE)),"Not listed","")</f>
        <v/>
      </c>
      <c r="B32" s="26" t="s">
        <v>79</v>
      </c>
      <c r="C32" s="21" t="s">
        <v>671</v>
      </c>
      <c r="D32" s="21" t="s">
        <v>687</v>
      </c>
    </row>
    <row r="33" spans="1:4">
      <c r="A33" t="str">
        <f>IF(ISNA(VLOOKUP(B33,Definitions!B$2:B$1604,1,FALSE)),"Not listed","")</f>
        <v/>
      </c>
      <c r="B33" t="s">
        <v>82</v>
      </c>
      <c r="C33" s="4" t="s">
        <v>671</v>
      </c>
      <c r="D33" s="21" t="s">
        <v>691</v>
      </c>
    </row>
    <row r="34" spans="1:4" ht="17" customHeight="1">
      <c r="A34" t="str">
        <f>IF(ISNA(VLOOKUP(B34,Definitions!B$2:B$1604,1,FALSE)),"Not listed","")</f>
        <v/>
      </c>
      <c r="B34" s="26" t="s">
        <v>85</v>
      </c>
      <c r="C34" s="21" t="s">
        <v>671</v>
      </c>
      <c r="D34" s="21" t="s">
        <v>692</v>
      </c>
    </row>
    <row r="35" spans="1:4" ht="17" customHeight="1">
      <c r="A35" t="str">
        <f>IF(ISNA(VLOOKUP(B35,Definitions!B$2:B$1604,1,FALSE)),"Not listed","")</f>
        <v/>
      </c>
      <c r="B35" s="26" t="s">
        <v>89</v>
      </c>
      <c r="C35" s="21" t="s">
        <v>671</v>
      </c>
      <c r="D35" s="21" t="s">
        <v>673</v>
      </c>
    </row>
    <row r="36" spans="1:4" ht="17" customHeight="1">
      <c r="A36" t="str">
        <f>IF(ISNA(VLOOKUP(B36,Definitions!B$2:B$1604,1,FALSE)),"Not listed","")</f>
        <v/>
      </c>
      <c r="B36" s="26" t="s">
        <v>92</v>
      </c>
      <c r="C36" s="21" t="s">
        <v>671</v>
      </c>
      <c r="D36" s="21" t="s">
        <v>673</v>
      </c>
    </row>
    <row r="37" spans="1:4" ht="17" customHeight="1">
      <c r="A37" t="str">
        <f>IF(ISNA(VLOOKUP(B37,Definitions!B$2:B$1604,1,FALSE)),"Not listed","")</f>
        <v/>
      </c>
      <c r="B37" s="26" t="s">
        <v>95</v>
      </c>
      <c r="C37" s="21" t="s">
        <v>671</v>
      </c>
      <c r="D37" s="21" t="s">
        <v>672</v>
      </c>
    </row>
    <row r="38" spans="1:4" ht="17" customHeight="1">
      <c r="A38" t="str">
        <f>IF(ISNA(VLOOKUP(B38,Definitions!B$2:B$1604,1,FALSE)),"Not listed","")</f>
        <v/>
      </c>
      <c r="B38" s="26" t="s">
        <v>95</v>
      </c>
      <c r="C38" s="21" t="s">
        <v>671</v>
      </c>
      <c r="D38" s="21" t="s">
        <v>693</v>
      </c>
    </row>
    <row r="39" spans="1:4" ht="17" customHeight="1">
      <c r="A39" t="str">
        <f>IF(ISNA(VLOOKUP(B39,Definitions!B$2:B$1604,1,FALSE)),"Not listed","")</f>
        <v/>
      </c>
      <c r="B39" s="26" t="s">
        <v>99</v>
      </c>
      <c r="C39" s="21" t="s">
        <v>671</v>
      </c>
      <c r="D39" s="21" t="s">
        <v>694</v>
      </c>
    </row>
    <row r="40" spans="1:4" ht="17" customHeight="1">
      <c r="A40" t="str">
        <f>IF(ISNA(VLOOKUP(B40,Definitions!B$2:B$1604,1,FALSE)),"Not listed","")</f>
        <v/>
      </c>
      <c r="B40" s="26" t="s">
        <v>102</v>
      </c>
      <c r="C40" s="21" t="s">
        <v>671</v>
      </c>
      <c r="D40" s="21" t="s">
        <v>695</v>
      </c>
    </row>
    <row r="41" spans="1:4" ht="17" customHeight="1">
      <c r="A41" t="str">
        <f>IF(ISNA(VLOOKUP(B41,Definitions!B$2:B$1604,1,FALSE)),"Not listed","")</f>
        <v/>
      </c>
      <c r="B41" s="26" t="s">
        <v>102</v>
      </c>
      <c r="C41" s="21" t="s">
        <v>671</v>
      </c>
      <c r="D41" s="21" t="s">
        <v>673</v>
      </c>
    </row>
    <row r="42" spans="1:4" ht="17" customHeight="1">
      <c r="A42" t="str">
        <f>IF(ISNA(VLOOKUP(B42,Definitions!B$2:B$1604,1,FALSE)),"Not listed","")</f>
        <v/>
      </c>
      <c r="B42" s="26" t="s">
        <v>105</v>
      </c>
      <c r="C42" s="21" t="s">
        <v>671</v>
      </c>
      <c r="D42" s="21" t="s">
        <v>672</v>
      </c>
    </row>
    <row r="43" spans="1:4">
      <c r="A43" t="str">
        <f>IF(ISNA(VLOOKUP(B43,Definitions!B$2:B$1604,1,FALSE)),"Not listed","")</f>
        <v/>
      </c>
      <c r="B43" t="s">
        <v>105</v>
      </c>
      <c r="C43" s="4" t="s">
        <v>671</v>
      </c>
      <c r="D43" s="21" t="s">
        <v>696</v>
      </c>
    </row>
    <row r="44" spans="1:4">
      <c r="A44" t="str">
        <f>IF(ISNA(VLOOKUP(B44,Definitions!B$2:B$1604,1,FALSE)),"Not listed","")</f>
        <v/>
      </c>
      <c r="B44" t="s">
        <v>108</v>
      </c>
      <c r="C44" s="4" t="s">
        <v>671</v>
      </c>
      <c r="D44" s="21" t="s">
        <v>697</v>
      </c>
    </row>
    <row r="45" spans="1:4" ht="17" customHeight="1">
      <c r="A45" t="str">
        <f>IF(ISNA(VLOOKUP(B45,Definitions!B$2:B$1604,1,FALSE)),"Not listed","")</f>
        <v/>
      </c>
      <c r="B45" s="26" t="s">
        <v>108</v>
      </c>
      <c r="C45" s="21" t="s">
        <v>671</v>
      </c>
      <c r="D45" s="21" t="s">
        <v>698</v>
      </c>
    </row>
    <row r="46" spans="1:4">
      <c r="A46" t="str">
        <f>IF(ISNA(VLOOKUP(B46,Definitions!B$2:B$1604,1,FALSE)),"Not listed","")</f>
        <v/>
      </c>
      <c r="B46" t="s">
        <v>108</v>
      </c>
      <c r="C46" s="4" t="s">
        <v>671</v>
      </c>
      <c r="D46" s="21" t="s">
        <v>699</v>
      </c>
    </row>
    <row r="47" spans="1:4" ht="17" customHeight="1">
      <c r="A47" t="str">
        <f>IF(ISNA(VLOOKUP(B47,Definitions!B$2:B$1604,1,FALSE)),"Not listed","")</f>
        <v/>
      </c>
      <c r="B47" s="26" t="s">
        <v>108</v>
      </c>
      <c r="C47" s="21" t="s">
        <v>671</v>
      </c>
      <c r="D47" s="21" t="s">
        <v>700</v>
      </c>
    </row>
    <row r="48" spans="1:4" ht="17" customHeight="1">
      <c r="A48" t="str">
        <f>IF(ISNA(VLOOKUP(B48,Definitions!B$2:B$1604,1,FALSE)),"Not listed","")</f>
        <v/>
      </c>
      <c r="B48" s="26" t="s">
        <v>112</v>
      </c>
      <c r="C48" s="21" t="s">
        <v>671</v>
      </c>
      <c r="D48" s="21" t="s">
        <v>698</v>
      </c>
    </row>
    <row r="49" spans="1:4">
      <c r="A49" t="str">
        <f>IF(ISNA(VLOOKUP(B49,Definitions!B$2:B$1604,1,FALSE)),"Not listed","")</f>
        <v/>
      </c>
      <c r="B49" t="s">
        <v>115</v>
      </c>
      <c r="C49" s="4" t="s">
        <v>671</v>
      </c>
      <c r="D49" s="21" t="s">
        <v>697</v>
      </c>
    </row>
    <row r="50" spans="1:4" ht="17" customHeight="1">
      <c r="A50" t="str">
        <f>IF(ISNA(VLOOKUP(B50,Definitions!B$2:B$1604,1,FALSE)),"Not listed","")</f>
        <v/>
      </c>
      <c r="B50" s="26" t="s">
        <v>115</v>
      </c>
      <c r="C50" s="21" t="s">
        <v>671</v>
      </c>
      <c r="D50" s="21" t="s">
        <v>698</v>
      </c>
    </row>
    <row r="51" spans="1:4" ht="17" customHeight="1">
      <c r="A51" t="str">
        <f>IF(ISNA(VLOOKUP(B51,Definitions!B$2:B$1604,1,FALSE)),"Not listed","")</f>
        <v/>
      </c>
      <c r="B51" s="26" t="s">
        <v>115</v>
      </c>
      <c r="C51" s="21" t="s">
        <v>671</v>
      </c>
      <c r="D51" s="21" t="s">
        <v>693</v>
      </c>
    </row>
    <row r="52" spans="1:4">
      <c r="A52" t="str">
        <f>IF(ISNA(VLOOKUP(B52,Definitions!B$2:B$1604,1,FALSE)),"Not listed","")</f>
        <v/>
      </c>
      <c r="B52" t="s">
        <v>115</v>
      </c>
      <c r="C52" s="4" t="s">
        <v>671</v>
      </c>
      <c r="D52" s="21" t="s">
        <v>699</v>
      </c>
    </row>
    <row r="53" spans="1:4" ht="17" customHeight="1">
      <c r="A53" t="str">
        <f>IF(ISNA(VLOOKUP(B53,Definitions!B$2:B$1604,1,FALSE)),"Not listed","")</f>
        <v/>
      </c>
      <c r="B53" s="26" t="s">
        <v>115</v>
      </c>
      <c r="C53" s="21" t="s">
        <v>671</v>
      </c>
      <c r="D53" s="21" t="s">
        <v>700</v>
      </c>
    </row>
    <row r="54" spans="1:4">
      <c r="A54" t="str">
        <f>IF(ISNA(VLOOKUP(B54,Definitions!B$2:B$1604,1,FALSE)),"Not listed","")</f>
        <v/>
      </c>
      <c r="B54" t="s">
        <v>118</v>
      </c>
      <c r="C54" s="4" t="s">
        <v>671</v>
      </c>
      <c r="D54" s="21" t="s">
        <v>697</v>
      </c>
    </row>
    <row r="55" spans="1:4" ht="17" customHeight="1">
      <c r="A55" t="str">
        <f>IF(ISNA(VLOOKUP(B55,Definitions!B$2:B$1604,1,FALSE)),"Not listed","")</f>
        <v/>
      </c>
      <c r="B55" s="26" t="s">
        <v>118</v>
      </c>
      <c r="C55" s="21" t="s">
        <v>671</v>
      </c>
      <c r="D55" s="21" t="s">
        <v>698</v>
      </c>
    </row>
    <row r="56" spans="1:4">
      <c r="A56" t="str">
        <f>IF(ISNA(VLOOKUP(B56,Definitions!B$2:B$1604,1,FALSE)),"Not listed","")</f>
        <v/>
      </c>
      <c r="B56" t="s">
        <v>118</v>
      </c>
      <c r="C56" s="4" t="s">
        <v>671</v>
      </c>
      <c r="D56" s="21" t="s">
        <v>699</v>
      </c>
    </row>
    <row r="57" spans="1:4" ht="17" customHeight="1">
      <c r="A57" t="str">
        <f>IF(ISNA(VLOOKUP(B57,Definitions!B$2:B$1604,1,FALSE)),"Not listed","")</f>
        <v/>
      </c>
      <c r="B57" s="26" t="s">
        <v>118</v>
      </c>
      <c r="C57" s="21" t="s">
        <v>671</v>
      </c>
      <c r="D57" s="21" t="s">
        <v>700</v>
      </c>
    </row>
    <row r="58" spans="1:4" ht="17" customHeight="1">
      <c r="A58" t="str">
        <f>IF(ISNA(VLOOKUP(B58,Definitions!B$2:B$1604,1,FALSE)),"Not listed","")</f>
        <v/>
      </c>
      <c r="B58" s="26" t="s">
        <v>121</v>
      </c>
      <c r="C58" s="21" t="s">
        <v>671</v>
      </c>
      <c r="D58" s="21" t="s">
        <v>695</v>
      </c>
    </row>
    <row r="59" spans="1:4" ht="17" customHeight="1">
      <c r="A59" t="str">
        <f>IF(ISNA(VLOOKUP(B59,Definitions!B$2:B$1604,1,FALSE)),"Not listed","")</f>
        <v/>
      </c>
      <c r="B59" s="26" t="s">
        <v>121</v>
      </c>
      <c r="C59" s="21" t="s">
        <v>671</v>
      </c>
      <c r="D59" s="21" t="s">
        <v>673</v>
      </c>
    </row>
    <row r="60" spans="1:4" ht="17" customHeight="1">
      <c r="A60" t="str">
        <f>IF(ISNA(VLOOKUP(B60,Definitions!B$2:B$1604,1,FALSE)),"Not listed","")</f>
        <v/>
      </c>
      <c r="B60" s="26" t="s">
        <v>124</v>
      </c>
      <c r="C60" s="21" t="s">
        <v>671</v>
      </c>
      <c r="D60" s="21" t="s">
        <v>701</v>
      </c>
    </row>
    <row r="61" spans="1:4" ht="17" customHeight="1">
      <c r="A61" t="str">
        <f>IF(ISNA(VLOOKUP(B61,Definitions!B$2:B$1604,1,FALSE)),"Not listed","")</f>
        <v/>
      </c>
      <c r="B61" t="s">
        <v>124</v>
      </c>
      <c r="C61" t="s">
        <v>671</v>
      </c>
      <c r="D61" t="s">
        <v>702</v>
      </c>
    </row>
    <row r="62" spans="1:4" ht="17" customHeight="1">
      <c r="A62" t="str">
        <f>IF(ISNA(VLOOKUP(B61,Definitions!B$2:B$1604,1,FALSE)),"Not listed","")</f>
        <v/>
      </c>
      <c r="B62" s="26" t="s">
        <v>127</v>
      </c>
      <c r="C62" s="21" t="s">
        <v>671</v>
      </c>
      <c r="D62" s="21" t="s">
        <v>701</v>
      </c>
    </row>
    <row r="63" spans="1:4" ht="17" customHeight="1">
      <c r="A63" t="str">
        <f>IF(ISNA(VLOOKUP(B62,Definitions!B$2:B$1604,1,FALSE)),"Not listed","")</f>
        <v/>
      </c>
      <c r="B63" t="s">
        <v>127</v>
      </c>
      <c r="C63" t="s">
        <v>671</v>
      </c>
      <c r="D63" t="s">
        <v>702</v>
      </c>
    </row>
    <row r="64" spans="1:4" ht="17" customHeight="1">
      <c r="A64" t="str">
        <f>IF(ISNA(VLOOKUP(B62,Definitions!B$2:B$1604,1,FALSE)),"Not listed","")</f>
        <v/>
      </c>
      <c r="B64" s="26" t="s">
        <v>130</v>
      </c>
      <c r="C64" s="21" t="s">
        <v>671</v>
      </c>
      <c r="D64" s="21" t="s">
        <v>673</v>
      </c>
    </row>
    <row r="65" spans="1:4" ht="17">
      <c r="A65" t="str">
        <f>IF(ISNA(VLOOKUP(B63,Definitions!B$2:B$1604,1,FALSE)),"Not listed","")</f>
        <v/>
      </c>
      <c r="B65" s="26" t="s">
        <v>133</v>
      </c>
      <c r="C65" s="21" t="s">
        <v>671</v>
      </c>
      <c r="D65" s="21" t="s">
        <v>694</v>
      </c>
    </row>
    <row r="66" spans="1:4" ht="17" customHeight="1">
      <c r="A66" t="str">
        <f>IF(ISNA(VLOOKUP(B64,Definitions!B$2:B$1604,1,FALSE)),"Not listed","")</f>
        <v/>
      </c>
      <c r="B66" s="2" t="s">
        <v>136</v>
      </c>
      <c r="C66" s="4" t="s">
        <v>671</v>
      </c>
      <c r="D66" s="21" t="s">
        <v>703</v>
      </c>
    </row>
    <row r="67" spans="1:4" ht="17" customHeight="1">
      <c r="A67" t="str">
        <f>IF(ISNA(VLOOKUP(B65,Definitions!B$2:B$1604,1,FALSE)),"Not listed","")</f>
        <v/>
      </c>
      <c r="B67" t="s">
        <v>136</v>
      </c>
      <c r="C67" s="4" t="s">
        <v>671</v>
      </c>
      <c r="D67" s="21" t="s">
        <v>704</v>
      </c>
    </row>
    <row r="68" spans="1:4" ht="17" customHeight="1">
      <c r="A68" t="str">
        <f>IF(ISNA(VLOOKUP(B66,Definitions!B$2:B$1604,1,FALSE)),"Not listed","")</f>
        <v/>
      </c>
      <c r="B68" s="26" t="s">
        <v>136</v>
      </c>
      <c r="C68" s="21" t="s">
        <v>671</v>
      </c>
      <c r="D68" s="30" t="s">
        <v>705</v>
      </c>
    </row>
    <row r="69" spans="1:4" ht="17" customHeight="1">
      <c r="A69" t="str">
        <f>IF(ISNA(VLOOKUP(B67,Definitions!B$2:B$1604,1,FALSE)),"Not listed","")</f>
        <v/>
      </c>
      <c r="B69" s="26" t="s">
        <v>136</v>
      </c>
      <c r="C69" s="21" t="s">
        <v>671</v>
      </c>
      <c r="D69" s="21" t="s">
        <v>706</v>
      </c>
    </row>
    <row r="70" spans="1:4" ht="17" customHeight="1">
      <c r="A70" t="str">
        <f>IF(ISNA(VLOOKUP(B68,Definitions!B$2:B$1604,1,FALSE)),"Not listed","")</f>
        <v/>
      </c>
      <c r="B70" s="26" t="s">
        <v>139</v>
      </c>
      <c r="C70" s="21" t="s">
        <v>671</v>
      </c>
      <c r="D70" s="21" t="s">
        <v>700</v>
      </c>
    </row>
    <row r="71" spans="1:4" ht="17" customHeight="1">
      <c r="A71" t="str">
        <f>IF(ISNA(VLOOKUP(B69,Definitions!B$2:B$1604,1,FALSE)),"Not listed","")</f>
        <v/>
      </c>
      <c r="B71" s="26" t="s">
        <v>143</v>
      </c>
      <c r="C71" s="21" t="s">
        <v>671</v>
      </c>
      <c r="D71" s="21" t="s">
        <v>707</v>
      </c>
    </row>
    <row r="72" spans="1:4" ht="17" customHeight="1">
      <c r="A72" t="str">
        <f>IF(ISNA(VLOOKUP(B70,Definitions!B$2:B$1604,1,FALSE)),"Not listed","")</f>
        <v/>
      </c>
      <c r="B72" s="26" t="s">
        <v>143</v>
      </c>
      <c r="C72" s="21" t="s">
        <v>671</v>
      </c>
      <c r="D72" s="21" t="s">
        <v>708</v>
      </c>
    </row>
    <row r="73" spans="1:4" ht="17" customHeight="1">
      <c r="A73" t="str">
        <f>IF(ISNA(VLOOKUP(B71,Definitions!B$2:B$1604,1,FALSE)),"Not listed","")</f>
        <v/>
      </c>
      <c r="B73" s="26" t="s">
        <v>146</v>
      </c>
      <c r="C73" s="21" t="s">
        <v>671</v>
      </c>
      <c r="D73" s="21" t="s">
        <v>694</v>
      </c>
    </row>
    <row r="74" spans="1:4" ht="17" customHeight="1">
      <c r="A74" t="str">
        <f>IF(ISNA(VLOOKUP(B72,Definitions!B$2:B$1604,1,FALSE)),"Not listed","")</f>
        <v/>
      </c>
      <c r="B74" s="26" t="s">
        <v>146</v>
      </c>
      <c r="C74" s="21" t="s">
        <v>671</v>
      </c>
      <c r="D74" s="21" t="s">
        <v>672</v>
      </c>
    </row>
    <row r="75" spans="1:4" ht="17" customHeight="1">
      <c r="A75" t="str">
        <f>IF(ISNA(VLOOKUP([1]AssociatedElements!B288,Definitions!B$2:B$1604,1,FALSE)),"Not listed","")</f>
        <v/>
      </c>
      <c r="B75" s="2" t="s">
        <v>584</v>
      </c>
      <c r="C75" s="4" t="s">
        <v>671</v>
      </c>
      <c r="D75" s="21" t="s">
        <v>690</v>
      </c>
    </row>
    <row r="76" spans="1:4" ht="17" customHeight="1">
      <c r="A76" t="str">
        <f>IF(ISNA(VLOOKUP(B74,Definitions!B$2:B$1604,1,FALSE)),"Not listed","")</f>
        <v/>
      </c>
      <c r="B76" s="26" t="s">
        <v>149</v>
      </c>
      <c r="C76" s="21" t="s">
        <v>671</v>
      </c>
      <c r="D76" s="21" t="s">
        <v>695</v>
      </c>
    </row>
    <row r="77" spans="1:4" ht="17" customHeight="1">
      <c r="A77" t="str">
        <f>IF(ISNA(VLOOKUP(B75,Definitions!B$2:B$1604,1,FALSE)),"Not listed","")</f>
        <v/>
      </c>
      <c r="B77" s="26" t="s">
        <v>149</v>
      </c>
      <c r="C77" s="21" t="s">
        <v>671</v>
      </c>
      <c r="D77" s="21" t="s">
        <v>673</v>
      </c>
    </row>
    <row r="78" spans="1:4" ht="17" customHeight="1">
      <c r="A78" t="str">
        <f>IF(ISNA(VLOOKUP(B76,Definitions!B$2:B$1604,1,FALSE)),"Not listed","")</f>
        <v/>
      </c>
      <c r="B78" s="26" t="s">
        <v>152</v>
      </c>
      <c r="C78" s="21" t="s">
        <v>671</v>
      </c>
      <c r="D78" s="21" t="s">
        <v>695</v>
      </c>
    </row>
    <row r="79" spans="1:4" ht="17" customHeight="1">
      <c r="A79" t="str">
        <f>IF(ISNA(VLOOKUP(B77,Definitions!B$2:B$1604,1,FALSE)),"Not listed","")</f>
        <v/>
      </c>
      <c r="B79" s="26" t="s">
        <v>152</v>
      </c>
      <c r="C79" s="21" t="s">
        <v>671</v>
      </c>
      <c r="D79" s="21" t="s">
        <v>673</v>
      </c>
    </row>
    <row r="80" spans="1:4" ht="17" customHeight="1">
      <c r="A80" t="str">
        <f>IF(ISNA(VLOOKUP(B78,Definitions!B$2:B$1604,1,FALSE)),"Not listed","")</f>
        <v/>
      </c>
      <c r="B80" s="26" t="s">
        <v>154</v>
      </c>
      <c r="C80" s="21" t="s">
        <v>671</v>
      </c>
      <c r="D80" s="21" t="s">
        <v>695</v>
      </c>
    </row>
    <row r="81" spans="1:4" ht="17" customHeight="1">
      <c r="A81" t="str">
        <f>IF(ISNA(VLOOKUP(B79,Definitions!B$2:B$1604,1,FALSE)),"Not listed","")</f>
        <v/>
      </c>
      <c r="B81" s="26" t="s">
        <v>154</v>
      </c>
      <c r="C81" s="21" t="s">
        <v>671</v>
      </c>
      <c r="D81" s="21" t="s">
        <v>673</v>
      </c>
    </row>
    <row r="82" spans="1:4" ht="17" customHeight="1">
      <c r="A82" t="str">
        <f>IF(ISNA(VLOOKUP(B80,Definitions!B$2:B$1604,1,FALSE)),"Not listed","")</f>
        <v/>
      </c>
      <c r="B82" s="26" t="s">
        <v>156</v>
      </c>
      <c r="C82" s="21" t="s">
        <v>671</v>
      </c>
      <c r="D82" s="21" t="s">
        <v>695</v>
      </c>
    </row>
    <row r="83" spans="1:4" ht="17" customHeight="1">
      <c r="A83" t="str">
        <f>IF(ISNA(VLOOKUP(B81,Definitions!B$2:B$1604,1,FALSE)),"Not listed","")</f>
        <v/>
      </c>
      <c r="B83" s="26" t="s">
        <v>156</v>
      </c>
      <c r="C83" s="21" t="s">
        <v>671</v>
      </c>
      <c r="D83" s="21" t="s">
        <v>673</v>
      </c>
    </row>
    <row r="84" spans="1:4" ht="17" customHeight="1">
      <c r="A84" t="str">
        <f>IF(ISNA(VLOOKUP(B82,Definitions!B$2:B$1604,1,FALSE)),"Not listed","")</f>
        <v/>
      </c>
      <c r="B84" s="26" t="s">
        <v>158</v>
      </c>
      <c r="C84" s="21" t="s">
        <v>671</v>
      </c>
      <c r="D84" s="21" t="s">
        <v>695</v>
      </c>
    </row>
    <row r="85" spans="1:4" ht="17" customHeight="1">
      <c r="A85" t="str">
        <f>IF(ISNA(VLOOKUP(B83,Definitions!B$2:B$1604,1,FALSE)),"Not listed","")</f>
        <v/>
      </c>
      <c r="B85" s="26" t="s">
        <v>158</v>
      </c>
      <c r="C85" s="21" t="s">
        <v>671</v>
      </c>
      <c r="D85" s="21" t="s">
        <v>673</v>
      </c>
    </row>
    <row r="86" spans="1:4" ht="17" customHeight="1">
      <c r="A86" t="str">
        <f>IF(ISNA(VLOOKUP(B84,Definitions!B$2:B$1604,1,FALSE)),"Not listed","")</f>
        <v/>
      </c>
      <c r="B86" s="26" t="s">
        <v>160</v>
      </c>
      <c r="C86" s="21" t="s">
        <v>671</v>
      </c>
      <c r="D86" s="21" t="s">
        <v>695</v>
      </c>
    </row>
    <row r="87" spans="1:4" ht="17" customHeight="1">
      <c r="A87" t="str">
        <f>IF(ISNA(VLOOKUP(B85,Definitions!B$2:B$1604,1,FALSE)),"Not listed","")</f>
        <v/>
      </c>
      <c r="B87" s="26" t="s">
        <v>160</v>
      </c>
      <c r="C87" s="21" t="s">
        <v>671</v>
      </c>
      <c r="D87" s="21" t="s">
        <v>673</v>
      </c>
    </row>
    <row r="88" spans="1:4" ht="17" customHeight="1">
      <c r="A88" t="str">
        <f>IF(ISNA(VLOOKUP(B86,Definitions!B$2:B$1604,1,FALSE)),"Not listed","")</f>
        <v/>
      </c>
      <c r="B88" s="26" t="s">
        <v>162</v>
      </c>
      <c r="C88" s="21" t="s">
        <v>671</v>
      </c>
      <c r="D88" s="21" t="s">
        <v>708</v>
      </c>
    </row>
    <row r="89" spans="1:4" ht="17" customHeight="1">
      <c r="A89" t="str">
        <f>IF(ISNA(VLOOKUP(B87,Definitions!B$2:B$1604,1,FALSE)),"Not listed","")</f>
        <v/>
      </c>
      <c r="B89" s="26" t="s">
        <v>165</v>
      </c>
      <c r="C89" s="21" t="s">
        <v>671</v>
      </c>
      <c r="D89" s="21" t="s">
        <v>684</v>
      </c>
    </row>
    <row r="90" spans="1:4" ht="17">
      <c r="A90" t="str">
        <f>IF(ISNA(VLOOKUP(B88,Definitions!B$2:B$1604,1,FALSE)),"Not listed","")</f>
        <v/>
      </c>
      <c r="B90" s="2" t="s">
        <v>169</v>
      </c>
      <c r="C90" s="4" t="s">
        <v>671</v>
      </c>
      <c r="D90" s="21" t="s">
        <v>709</v>
      </c>
    </row>
    <row r="91" spans="1:4" ht="17" customHeight="1">
      <c r="A91" t="str">
        <f>IF(ISNA(VLOOKUP(B89,Definitions!B$2:B$1604,1,FALSE)),"Not listed","")</f>
        <v/>
      </c>
      <c r="B91" s="2" t="s">
        <v>169</v>
      </c>
      <c r="C91" s="4" t="s">
        <v>671</v>
      </c>
      <c r="D91" s="21" t="s">
        <v>709</v>
      </c>
    </row>
    <row r="92" spans="1:4" ht="17" customHeight="1">
      <c r="A92" t="str">
        <f>IF(ISNA(VLOOKUP(B90,Definitions!B$2:B$1604,1,FALSE)),"Not listed","")</f>
        <v/>
      </c>
      <c r="B92" t="s">
        <v>172</v>
      </c>
      <c r="C92" s="4" t="s">
        <v>671</v>
      </c>
      <c r="D92" s="21" t="s">
        <v>696</v>
      </c>
    </row>
    <row r="93" spans="1:4" ht="17" customHeight="1">
      <c r="A93" t="str">
        <f>IF(ISNA(VLOOKUP(B91,Definitions!B$2:B$1604,1,FALSE)),"Not listed","")</f>
        <v/>
      </c>
      <c r="B93" s="26" t="s">
        <v>176</v>
      </c>
      <c r="C93" s="21" t="s">
        <v>671</v>
      </c>
      <c r="D93" s="21" t="s">
        <v>672</v>
      </c>
    </row>
    <row r="94" spans="1:4" ht="17" customHeight="1">
      <c r="A94" t="str">
        <f>IF(ISNA(VLOOKUP(B92,Definitions!B$2:B$1604,1,FALSE)),"Not listed","")</f>
        <v/>
      </c>
      <c r="B94" s="26" t="s">
        <v>179</v>
      </c>
      <c r="C94" s="21" t="s">
        <v>671</v>
      </c>
      <c r="D94" s="21" t="s">
        <v>672</v>
      </c>
    </row>
    <row r="95" spans="1:4" ht="17" customHeight="1">
      <c r="A95" t="str">
        <f>IF(ISNA(VLOOKUP(B93,Definitions!B$2:B$1604,1,FALSE)),"Not listed","")</f>
        <v/>
      </c>
      <c r="B95" s="26" t="s">
        <v>182</v>
      </c>
      <c r="C95" s="21" t="s">
        <v>671</v>
      </c>
      <c r="D95" s="21" t="s">
        <v>688</v>
      </c>
    </row>
    <row r="96" spans="1:4" ht="17" customHeight="1">
      <c r="A96" t="str">
        <f>IF(ISNA(VLOOKUP(B94,Definitions!B$2:B$1604,1,FALSE)),"Not listed","")</f>
        <v/>
      </c>
      <c r="B96" s="26" t="s">
        <v>185</v>
      </c>
      <c r="C96" s="21" t="s">
        <v>671</v>
      </c>
      <c r="D96" s="21" t="s">
        <v>690</v>
      </c>
    </row>
    <row r="97" spans="1:4" ht="17" customHeight="1">
      <c r="A97" t="str">
        <f>IF(ISNA(VLOOKUP([1]AssociatedElements!B284,Definitions!B$2:B$1604,1,FALSE)),"Not listed","")</f>
        <v/>
      </c>
      <c r="B97" s="2" t="s">
        <v>710</v>
      </c>
      <c r="C97" s="21" t="s">
        <v>671</v>
      </c>
      <c r="D97" s="21" t="s">
        <v>690</v>
      </c>
    </row>
    <row r="98" spans="1:4" ht="17" customHeight="1">
      <c r="A98" t="str">
        <f>IF(ISNA(VLOOKUP([1]AssociatedElements!B283,Definitions!B$2:B$1604,1,FALSE)),"Not listed","")</f>
        <v/>
      </c>
      <c r="B98" s="11" t="s">
        <v>711</v>
      </c>
      <c r="C98" s="21" t="s">
        <v>671</v>
      </c>
      <c r="D98" s="21" t="s">
        <v>688</v>
      </c>
    </row>
    <row r="99" spans="1:4" ht="17" customHeight="1">
      <c r="B99" s="2" t="s">
        <v>566</v>
      </c>
      <c r="C99" s="4" t="s">
        <v>671</v>
      </c>
      <c r="D99" s="21" t="s">
        <v>712</v>
      </c>
    </row>
    <row r="100" spans="1:4" ht="17" customHeight="1">
      <c r="A100" t="str">
        <f>IF(ISNA(VLOOKUP([1]AssociatedElements!B284,Definitions!B$2:B$1604,1,FALSE)),"Not listed","")</f>
        <v/>
      </c>
      <c r="B100" s="2" t="s">
        <v>572</v>
      </c>
      <c r="C100" s="4" t="s">
        <v>671</v>
      </c>
      <c r="D100" s="21" t="s">
        <v>712</v>
      </c>
    </row>
    <row r="101" spans="1:4" ht="17" customHeight="1">
      <c r="A101" t="str">
        <f>IF(ISNA(VLOOKUP(B99,Definitions!B$2:B$1604,1,FALSE)),"Not listed","")</f>
        <v/>
      </c>
      <c r="B101" s="26" t="s">
        <v>188</v>
      </c>
      <c r="C101" s="21" t="s">
        <v>671</v>
      </c>
      <c r="D101" s="21" t="s">
        <v>672</v>
      </c>
    </row>
    <row r="102" spans="1:4" ht="17" customHeight="1">
      <c r="A102" t="str">
        <f>IF(ISNA(VLOOKUP(B100,Definitions!B$2:B$1604,1,FALSE)),"Not listed","")</f>
        <v/>
      </c>
      <c r="B102" s="2" t="s">
        <v>191</v>
      </c>
      <c r="C102" s="4" t="s">
        <v>671</v>
      </c>
      <c r="D102" s="29" t="s">
        <v>713</v>
      </c>
    </row>
    <row r="103" spans="1:4" ht="17" customHeight="1">
      <c r="A103" t="str">
        <f>IF(ISNA(VLOOKUP(B101,Definitions!B$2:B$1604,1,FALSE)),"Not listed","")</f>
        <v/>
      </c>
      <c r="B103" s="2" t="s">
        <v>191</v>
      </c>
      <c r="C103" s="4" t="s">
        <v>671</v>
      </c>
      <c r="D103" s="21" t="s">
        <v>714</v>
      </c>
    </row>
    <row r="104" spans="1:4" ht="17">
      <c r="A104" t="str">
        <f>IF(ISNA(VLOOKUP(B102,Definitions!B$2:B$1604,1,FALSE)),"Not listed","")</f>
        <v/>
      </c>
      <c r="B104" s="2" t="s">
        <v>191</v>
      </c>
      <c r="C104" s="4" t="s">
        <v>671</v>
      </c>
      <c r="D104" s="21" t="s">
        <v>700</v>
      </c>
    </row>
    <row r="105" spans="1:4" ht="17" customHeight="1">
      <c r="A105" t="str">
        <f>IF(ISNA(VLOOKUP(B103,Definitions!B$2:B$1604,1,FALSE)),"Not listed","")</f>
        <v/>
      </c>
      <c r="B105" s="2" t="s">
        <v>191</v>
      </c>
      <c r="C105" s="4" t="s">
        <v>671</v>
      </c>
      <c r="D105" s="21" t="s">
        <v>715</v>
      </c>
    </row>
    <row r="106" spans="1:4" ht="17" customHeight="1">
      <c r="A106" t="str">
        <f>IF(ISNA(VLOOKUP(B104,Definitions!B$2:B$1604,1,FALSE)),"Not listed","")</f>
        <v/>
      </c>
      <c r="B106" t="s">
        <v>194</v>
      </c>
      <c r="C106" s="4" t="s">
        <v>671</v>
      </c>
      <c r="D106" s="21" t="s">
        <v>716</v>
      </c>
    </row>
    <row r="107" spans="1:4" ht="17">
      <c r="A107" t="str">
        <f>IF(ISNA(VLOOKUP(B105,Definitions!B$2:B$1604,1,FALSE)),"Not listed","")</f>
        <v/>
      </c>
      <c r="B107" s="26" t="s">
        <v>198</v>
      </c>
      <c r="C107" s="21" t="s">
        <v>671</v>
      </c>
      <c r="D107" s="21" t="s">
        <v>717</v>
      </c>
    </row>
    <row r="108" spans="1:4" ht="17" customHeight="1">
      <c r="A108" t="str">
        <f>IF(ISNA(VLOOKUP(B106,Definitions!B$2:B$1604,1,FALSE)),"Not listed","")</f>
        <v/>
      </c>
      <c r="B108" s="26" t="s">
        <v>198</v>
      </c>
      <c r="C108" s="21" t="s">
        <v>671</v>
      </c>
      <c r="D108" s="21" t="s">
        <v>718</v>
      </c>
    </row>
    <row r="109" spans="1:4" ht="17" customHeight="1">
      <c r="A109" t="str">
        <f>IF(ISNA(VLOOKUP(B107,Definitions!B$2:B$1604,1,FALSE)),"Not listed","")</f>
        <v/>
      </c>
      <c r="B109" t="s">
        <v>201</v>
      </c>
      <c r="C109" s="4" t="s">
        <v>671</v>
      </c>
      <c r="D109" s="21" t="s">
        <v>719</v>
      </c>
    </row>
    <row r="110" spans="1:4" ht="17" customHeight="1">
      <c r="A110" t="str">
        <f>IF(ISNA(VLOOKUP(B108,Definitions!B$2:B$1604,1,FALSE)),"Not listed","")</f>
        <v/>
      </c>
      <c r="B110" s="2" t="s">
        <v>204</v>
      </c>
      <c r="C110" s="4" t="s">
        <v>671</v>
      </c>
      <c r="D110" s="21" t="s">
        <v>714</v>
      </c>
    </row>
    <row r="111" spans="1:4" ht="17" customHeight="1">
      <c r="A111" t="str">
        <f>IF(ISNA(VLOOKUP(B109,Definitions!B$2:B$1604,1,FALSE)),"Not listed","")</f>
        <v/>
      </c>
      <c r="B111" s="2" t="s">
        <v>208</v>
      </c>
      <c r="C111" s="4" t="s">
        <v>671</v>
      </c>
      <c r="D111" s="21" t="s">
        <v>714</v>
      </c>
    </row>
    <row r="112" spans="1:4" ht="17">
      <c r="A112" t="str">
        <f>IF(ISNA(VLOOKUP([1]AssociatedElements!B286,Definitions!B$2:B$1604,1,FALSE)),"Not listed","")</f>
        <v/>
      </c>
      <c r="B112" s="2" t="s">
        <v>578</v>
      </c>
      <c r="C112" s="4" t="s">
        <v>671</v>
      </c>
      <c r="D112" s="21" t="s">
        <v>720</v>
      </c>
    </row>
    <row r="113" spans="1:4" ht="17" customHeight="1">
      <c r="A113" t="str">
        <f>IF(ISNA(VLOOKUP(B111,Definitions!B$2:B$1604,1,FALSE)),"Not listed","")</f>
        <v/>
      </c>
      <c r="B113" s="26" t="s">
        <v>212</v>
      </c>
      <c r="C113" s="21" t="s">
        <v>671</v>
      </c>
      <c r="D113" s="21" t="s">
        <v>701</v>
      </c>
    </row>
    <row r="114" spans="1:4" ht="17" customHeight="1">
      <c r="A114" t="str">
        <f>IF(ISNA(VLOOKUP(B112,Definitions!B$2:B$1604,1,FALSE)),"Not listed","")</f>
        <v/>
      </c>
      <c r="B114" t="s">
        <v>212</v>
      </c>
      <c r="C114" s="4" t="s">
        <v>671</v>
      </c>
      <c r="D114" s="21" t="s">
        <v>696</v>
      </c>
    </row>
    <row r="115" spans="1:4">
      <c r="A115" t="str">
        <f>IF(ISNA(VLOOKUP(B113,Definitions!B$2:B$1604,1,FALSE)),"Not listed","")</f>
        <v/>
      </c>
      <c r="B115" t="s">
        <v>212</v>
      </c>
      <c r="C115" t="s">
        <v>671</v>
      </c>
      <c r="D115" t="s">
        <v>702</v>
      </c>
    </row>
    <row r="116" spans="1:4" ht="17" customHeight="1">
      <c r="A116" t="str">
        <f>IF(ISNA(VLOOKUP(B113,Definitions!B$2:B$1604,1,FALSE)),"Not listed","")</f>
        <v/>
      </c>
      <c r="B116" s="26" t="s">
        <v>215</v>
      </c>
      <c r="C116" s="21" t="s">
        <v>671</v>
      </c>
      <c r="D116" s="21" t="s">
        <v>701</v>
      </c>
    </row>
    <row r="117" spans="1:4" ht="17" customHeight="1">
      <c r="A117" t="str">
        <f>IF(ISNA(VLOOKUP(B114,Definitions!B$2:B$1604,1,FALSE)),"Not listed","")</f>
        <v/>
      </c>
      <c r="B117" s="26" t="s">
        <v>215</v>
      </c>
      <c r="C117" s="21" t="s">
        <v>671</v>
      </c>
      <c r="D117" s="21" t="s">
        <v>672</v>
      </c>
    </row>
    <row r="118" spans="1:4" ht="17" customHeight="1">
      <c r="A118" t="str">
        <f>IF(ISNA(VLOOKUP(B115,Definitions!B$2:B$1604,1,FALSE)),"Not listed","")</f>
        <v/>
      </c>
      <c r="B118" t="s">
        <v>215</v>
      </c>
      <c r="C118" s="4" t="s">
        <v>671</v>
      </c>
      <c r="D118" s="21" t="s">
        <v>702</v>
      </c>
    </row>
    <row r="119" spans="1:4" ht="17">
      <c r="A119" t="str">
        <f>IF(ISNA(VLOOKUP(B117,Definitions!B$2:B$1604,1,FALSE)),"Not listed","")</f>
        <v/>
      </c>
      <c r="B119" s="26" t="s">
        <v>218</v>
      </c>
      <c r="C119" s="21" t="s">
        <v>671</v>
      </c>
      <c r="D119" s="21" t="s">
        <v>701</v>
      </c>
    </row>
    <row r="120" spans="1:4" ht="17">
      <c r="A120" t="str">
        <f>IF(ISNA(VLOOKUP(B118,Definitions!B$2:B$1604,1,FALSE)),"Not listed","")</f>
        <v/>
      </c>
      <c r="B120" s="26" t="s">
        <v>218</v>
      </c>
      <c r="C120" s="21" t="s">
        <v>671</v>
      </c>
      <c r="D120" s="21" t="s">
        <v>672</v>
      </c>
    </row>
    <row r="121" spans="1:4" ht="17" customHeight="1">
      <c r="A121" t="str">
        <f>IF(ISNA(VLOOKUP(B119,Definitions!B$2:B$1604,1,FALSE)),"Not listed","")</f>
        <v/>
      </c>
      <c r="B121" t="s">
        <v>218</v>
      </c>
      <c r="C121" s="4" t="s">
        <v>671</v>
      </c>
      <c r="D121" s="21" t="s">
        <v>696</v>
      </c>
    </row>
    <row r="122" spans="1:4" ht="17" customHeight="1">
      <c r="A122" t="str">
        <f>IF(ISNA(VLOOKUP(B120,Definitions!B$2:B$1604,1,FALSE)),"Not listed","")</f>
        <v/>
      </c>
      <c r="B122" t="s">
        <v>218</v>
      </c>
      <c r="C122" s="4" t="s">
        <v>671</v>
      </c>
      <c r="D122" s="21" t="s">
        <v>702</v>
      </c>
    </row>
    <row r="123" spans="1:4" ht="17">
      <c r="A123" t="str">
        <f>IF(ISNA(VLOOKUP(B121,Definitions!B$2:B$1604,1,FALSE)),"Not listed","")</f>
        <v/>
      </c>
      <c r="B123" s="26" t="s">
        <v>218</v>
      </c>
      <c r="C123" s="21" t="s">
        <v>671</v>
      </c>
      <c r="D123" s="21" t="s">
        <v>702</v>
      </c>
    </row>
    <row r="124" spans="1:4" ht="17" customHeight="1">
      <c r="A124" t="str">
        <f>IF(ISNA(VLOOKUP(B122,Definitions!B$2:B$1604,1,FALSE)),"Not listed","")</f>
        <v/>
      </c>
      <c r="B124" s="26" t="s">
        <v>221</v>
      </c>
      <c r="C124" s="21" t="s">
        <v>671</v>
      </c>
      <c r="D124" s="21" t="s">
        <v>700</v>
      </c>
    </row>
    <row r="125" spans="1:4">
      <c r="A125" t="str">
        <f>IF(ISNA(VLOOKUP(B123,Definitions!B$2:B$1604,1,FALSE)),"Not listed","")</f>
        <v/>
      </c>
      <c r="B125" t="s">
        <v>224</v>
      </c>
      <c r="C125" s="4" t="s">
        <v>671</v>
      </c>
      <c r="D125" s="21" t="s">
        <v>721</v>
      </c>
    </row>
    <row r="126" spans="1:4" ht="17">
      <c r="A126" t="str">
        <f>IF(ISNA(VLOOKUP(B124,Definitions!B$2:B$1604,1,FALSE)),"Not listed","")</f>
        <v/>
      </c>
      <c r="B126" s="2" t="s">
        <v>227</v>
      </c>
      <c r="C126" s="4" t="s">
        <v>671</v>
      </c>
      <c r="D126" s="21" t="s">
        <v>714</v>
      </c>
    </row>
    <row r="127" spans="1:4" ht="17" customHeight="1">
      <c r="A127" t="str">
        <f>IF(ISNA(VLOOKUP(B125,Definitions!B$2:B$1604,1,FALSE)),"Not listed","")</f>
        <v/>
      </c>
      <c r="B127" t="s">
        <v>230</v>
      </c>
      <c r="C127" s="4" t="s">
        <v>671</v>
      </c>
      <c r="D127" s="21" t="s">
        <v>722</v>
      </c>
    </row>
    <row r="128" spans="1:4" ht="17" customHeight="1">
      <c r="A128" t="str">
        <f>IF(ISNA(VLOOKUP(B126,Definitions!B$2:B$1604,1,FALSE)),"Not listed","")</f>
        <v/>
      </c>
      <c r="B128" t="s">
        <v>230</v>
      </c>
      <c r="C128" s="4" t="s">
        <v>671</v>
      </c>
      <c r="D128" s="21" t="s">
        <v>723</v>
      </c>
    </row>
    <row r="129" spans="1:4" ht="17" customHeight="1">
      <c r="A129" t="str">
        <f>IF(ISNA(VLOOKUP(B127,Definitions!B$2:B$1604,1,FALSE)),"Not listed","")</f>
        <v/>
      </c>
      <c r="B129" s="26" t="s">
        <v>233</v>
      </c>
      <c r="C129" s="21" t="s">
        <v>671</v>
      </c>
      <c r="D129" s="21" t="s">
        <v>700</v>
      </c>
    </row>
    <row r="130" spans="1:4" ht="17" customHeight="1">
      <c r="A130" t="str">
        <f>IF(ISNA(VLOOKUP(B128,Definitions!B$2:B$1604,1,FALSE)),"Not listed","")</f>
        <v/>
      </c>
      <c r="B130" s="26" t="s">
        <v>236</v>
      </c>
      <c r="C130" s="21" t="s">
        <v>671</v>
      </c>
      <c r="D130" s="21" t="s">
        <v>672</v>
      </c>
    </row>
    <row r="131" spans="1:4" ht="17" customHeight="1">
      <c r="A131" t="str">
        <f>IF(ISNA(VLOOKUP(B129,Definitions!B$2:B$1604,1,FALSE)),"Not listed","")</f>
        <v/>
      </c>
      <c r="B131" s="26" t="s">
        <v>239</v>
      </c>
      <c r="C131" s="21" t="s">
        <v>671</v>
      </c>
      <c r="D131" s="21" t="s">
        <v>700</v>
      </c>
    </row>
    <row r="132" spans="1:4" ht="17">
      <c r="A132" t="str">
        <f>IF(ISNA(VLOOKUP(B130,Definitions!B$2:B$1604,1,FALSE)),"Not listed","")</f>
        <v/>
      </c>
      <c r="B132" s="26" t="s">
        <v>242</v>
      </c>
      <c r="C132" s="21" t="s">
        <v>671</v>
      </c>
      <c r="D132" s="21" t="s">
        <v>700</v>
      </c>
    </row>
    <row r="133" spans="1:4" ht="17" customHeight="1">
      <c r="A133" t="str">
        <f>IF(ISNA(VLOOKUP(B131,Definitions!B$2:B$1604,1,FALSE)),"Not listed","")</f>
        <v/>
      </c>
      <c r="B133" s="26" t="s">
        <v>245</v>
      </c>
      <c r="C133" s="21" t="s">
        <v>671</v>
      </c>
      <c r="D133" s="21" t="s">
        <v>700</v>
      </c>
    </row>
    <row r="134" spans="1:4" ht="17" customHeight="1">
      <c r="A134" t="str">
        <f>IF(ISNA(VLOOKUP(B132,Definitions!B$2:B$1604,1,FALSE)),"Not listed","")</f>
        <v/>
      </c>
      <c r="B134" t="s">
        <v>248</v>
      </c>
      <c r="C134" s="4" t="s">
        <v>671</v>
      </c>
      <c r="D134" s="21" t="s">
        <v>696</v>
      </c>
    </row>
    <row r="135" spans="1:4" ht="17" customHeight="1">
      <c r="A135" t="str">
        <f>IF(ISNA(VLOOKUP(B133,Definitions!B$2:B$1604,1,FALSE)),"Not listed","")</f>
        <v/>
      </c>
      <c r="B135" s="26" t="s">
        <v>251</v>
      </c>
      <c r="C135" s="21" t="s">
        <v>671</v>
      </c>
      <c r="D135" s="21" t="s">
        <v>724</v>
      </c>
    </row>
    <row r="136" spans="1:4" ht="17">
      <c r="A136" t="str">
        <f>IF(ISNA(VLOOKUP(B134,Definitions!B$2:B$1604,1,FALSE)),"Not listed","")</f>
        <v/>
      </c>
      <c r="B136" s="26" t="s">
        <v>254</v>
      </c>
      <c r="C136" s="21" t="s">
        <v>671</v>
      </c>
      <c r="D136" s="21" t="s">
        <v>724</v>
      </c>
    </row>
    <row r="137" spans="1:4" ht="17">
      <c r="A137" t="str">
        <f>IF(ISNA(VLOOKUP(B135,Definitions!B$2:B$1604,1,FALSE)),"Not listed","")</f>
        <v/>
      </c>
      <c r="B137" s="26" t="s">
        <v>257</v>
      </c>
      <c r="C137" s="21" t="s">
        <v>671</v>
      </c>
      <c r="D137" s="21" t="s">
        <v>700</v>
      </c>
    </row>
    <row r="138" spans="1:4">
      <c r="A138" t="str">
        <f>IF(ISNA(VLOOKUP(B136,Definitions!B$2:B$1604,1,FALSE)),"Not listed","")</f>
        <v/>
      </c>
      <c r="B138" t="s">
        <v>259</v>
      </c>
      <c r="C138" s="4" t="s">
        <v>671</v>
      </c>
      <c r="D138" s="21" t="s">
        <v>696</v>
      </c>
    </row>
    <row r="139" spans="1:4">
      <c r="A139" t="str">
        <f>IF(ISNA(VLOOKUP(B137,Definitions!B$2:B$1604,1,FALSE)),"Not listed","")</f>
        <v/>
      </c>
      <c r="B139" t="s">
        <v>262</v>
      </c>
      <c r="C139" s="4" t="s">
        <v>671</v>
      </c>
      <c r="D139" s="21" t="s">
        <v>725</v>
      </c>
    </row>
    <row r="140" spans="1:4">
      <c r="A140" t="str">
        <f>IF(ISNA(VLOOKUP(B138,Definitions!B$2:B$1604,1,FALSE)),"Not listed","")</f>
        <v/>
      </c>
      <c r="B140" t="s">
        <v>265</v>
      </c>
      <c r="C140" s="4" t="s">
        <v>671</v>
      </c>
      <c r="D140" s="21" t="s">
        <v>725</v>
      </c>
    </row>
    <row r="141" spans="1:4" ht="17" customHeight="1">
      <c r="A141" t="str">
        <f>IF(ISNA(VLOOKUP(B139,Definitions!B$2:B$1604,1,FALSE)),"Not listed","")</f>
        <v/>
      </c>
      <c r="B141" t="s">
        <v>268</v>
      </c>
      <c r="C141" s="4" t="s">
        <v>671</v>
      </c>
      <c r="D141" s="21" t="s">
        <v>725</v>
      </c>
    </row>
    <row r="142" spans="1:4" ht="17" customHeight="1">
      <c r="A142" t="str">
        <f>IF(ISNA(VLOOKUP(B140,Definitions!B$2:B$1604,1,FALSE)),"Not listed","")</f>
        <v/>
      </c>
      <c r="B142" t="s">
        <v>271</v>
      </c>
      <c r="C142" s="4" t="s">
        <v>671</v>
      </c>
      <c r="D142" s="21" t="s">
        <v>725</v>
      </c>
    </row>
    <row r="143" spans="1:4" ht="17" customHeight="1">
      <c r="A143" t="str">
        <f>IF(ISNA(VLOOKUP(B141,Definitions!B$2:B$1604,1,FALSE)),"Not listed","")</f>
        <v/>
      </c>
      <c r="B143" s="26" t="s">
        <v>274</v>
      </c>
      <c r="C143" s="21" t="s">
        <v>671</v>
      </c>
      <c r="D143" s="21" t="s">
        <v>707</v>
      </c>
    </row>
    <row r="144" spans="1:4" ht="17" customHeight="1">
      <c r="A144" t="str">
        <f>IF(ISNA(VLOOKUP(B142,Definitions!B$2:B$1604,1,FALSE)),"Not listed","")</f>
        <v/>
      </c>
      <c r="B144" s="26" t="s">
        <v>277</v>
      </c>
      <c r="C144" s="21" t="s">
        <v>671</v>
      </c>
      <c r="D144" s="21" t="s">
        <v>707</v>
      </c>
    </row>
    <row r="145" spans="1:4" ht="17" customHeight="1">
      <c r="A145" t="str">
        <f>IF(ISNA(VLOOKUP(B143,Definitions!B$2:B$1604,1,FALSE)),"Not listed","")</f>
        <v/>
      </c>
      <c r="B145" s="26" t="s">
        <v>280</v>
      </c>
      <c r="C145" s="21" t="s">
        <v>671</v>
      </c>
      <c r="D145" s="21" t="s">
        <v>707</v>
      </c>
    </row>
    <row r="146" spans="1:4" ht="17">
      <c r="A146" t="str">
        <f>IF(ISNA(VLOOKUP(B144,Definitions!B$2:B$1604,1,FALSE)),"Not listed","")</f>
        <v/>
      </c>
      <c r="B146" s="26" t="s">
        <v>280</v>
      </c>
      <c r="C146" s="21" t="s">
        <v>671</v>
      </c>
      <c r="D146" s="21" t="s">
        <v>708</v>
      </c>
    </row>
    <row r="147" spans="1:4" ht="17">
      <c r="A147" t="str">
        <f>IF(ISNA(VLOOKUP(B145,Definitions!B$2:B$1604,1,FALSE)),"Not listed","")</f>
        <v/>
      </c>
      <c r="B147" s="26" t="s">
        <v>283</v>
      </c>
      <c r="C147" s="21" t="s">
        <v>671</v>
      </c>
      <c r="D147" s="21" t="s">
        <v>726</v>
      </c>
    </row>
    <row r="148" spans="1:4" ht="17" customHeight="1">
      <c r="A148" t="str">
        <f>IF(ISNA(VLOOKUP(B146,Definitions!B$2:B$1604,1,FALSE)),"Not listed","")</f>
        <v/>
      </c>
      <c r="B148" t="s">
        <v>286</v>
      </c>
      <c r="C148" s="4" t="s">
        <v>671</v>
      </c>
      <c r="D148" s="21" t="s">
        <v>727</v>
      </c>
    </row>
    <row r="149" spans="1:4" ht="17" customHeight="1">
      <c r="A149" t="str">
        <f>IF(ISNA(VLOOKUP(B147,Definitions!B$2:B$1604,1,FALSE)),"Not listed","")</f>
        <v/>
      </c>
      <c r="B149" t="s">
        <v>289</v>
      </c>
      <c r="C149" s="4" t="s">
        <v>671</v>
      </c>
      <c r="D149" s="21" t="s">
        <v>728</v>
      </c>
    </row>
    <row r="150" spans="1:4" ht="17" customHeight="1">
      <c r="A150" t="str">
        <f>IF(ISNA(VLOOKUP(B148,Definitions!B$2:B$1604,1,FALSE)),"Not listed","")</f>
        <v/>
      </c>
      <c r="B150" s="2" t="s">
        <v>292</v>
      </c>
      <c r="C150" s="4" t="s">
        <v>671</v>
      </c>
      <c r="D150" s="21" t="s">
        <v>715</v>
      </c>
    </row>
    <row r="151" spans="1:4" ht="17">
      <c r="A151" t="str">
        <f>IF(ISNA(VLOOKUP(B149,Definitions!B$2:B$1604,1,FALSE)),"Not listed","")</f>
        <v/>
      </c>
      <c r="B151" s="2" t="s">
        <v>295</v>
      </c>
      <c r="C151" s="4" t="s">
        <v>671</v>
      </c>
      <c r="D151" s="21" t="s">
        <v>715</v>
      </c>
    </row>
    <row r="152" spans="1:4" ht="17" customHeight="1">
      <c r="A152" t="str">
        <f>IF(ISNA(VLOOKUP(B150,Definitions!B$2:B$1604,1,FALSE)),"Not listed","")</f>
        <v/>
      </c>
      <c r="B152" s="26" t="s">
        <v>298</v>
      </c>
      <c r="C152" s="21" t="s">
        <v>671</v>
      </c>
      <c r="D152" s="21" t="s">
        <v>672</v>
      </c>
    </row>
    <row r="153" spans="1:4" ht="17" customHeight="1">
      <c r="A153" t="str">
        <f>IF(ISNA(VLOOKUP(B151,Definitions!B$2:B$1604,1,FALSE)),"Not listed","")</f>
        <v/>
      </c>
      <c r="B153" t="s">
        <v>301</v>
      </c>
      <c r="C153" s="4" t="s">
        <v>671</v>
      </c>
      <c r="D153" s="21" t="s">
        <v>729</v>
      </c>
    </row>
    <row r="154" spans="1:4" ht="17">
      <c r="A154" t="str">
        <f>IF(ISNA(VLOOKUP(B152,Definitions!B$2:B$1604,1,FALSE)),"Not listed","")</f>
        <v/>
      </c>
      <c r="B154" s="2" t="s">
        <v>304</v>
      </c>
      <c r="C154" s="4" t="s">
        <v>671</v>
      </c>
      <c r="D154" s="21" t="s">
        <v>730</v>
      </c>
    </row>
    <row r="155" spans="1:4" ht="17" customHeight="1">
      <c r="A155" t="str">
        <f>IF(ISNA(VLOOKUP(B153,Definitions!B$2:B$1604,1,FALSE)),"Not listed","")</f>
        <v/>
      </c>
      <c r="B155" s="2" t="s">
        <v>307</v>
      </c>
      <c r="C155" s="4" t="s">
        <v>671</v>
      </c>
      <c r="D155" s="21" t="s">
        <v>730</v>
      </c>
    </row>
    <row r="156" spans="1:4" ht="17" customHeight="1">
      <c r="A156" t="str">
        <f>IF(ISNA(VLOOKUP(B154,Definitions!B$2:B$1604,1,FALSE)),"Not listed","")</f>
        <v/>
      </c>
      <c r="B156" t="s">
        <v>310</v>
      </c>
      <c r="C156" t="s">
        <v>671</v>
      </c>
      <c r="D156" t="s">
        <v>696</v>
      </c>
    </row>
    <row r="157" spans="1:4">
      <c r="A157" t="str">
        <f>IF(ISNA(VLOOKUP(B154,Definitions!B$2:B$1604,1,FALSE)),"Not listed","")</f>
        <v/>
      </c>
      <c r="B157" t="s">
        <v>313</v>
      </c>
      <c r="C157" s="4" t="s">
        <v>671</v>
      </c>
      <c r="D157" s="21" t="s">
        <v>696</v>
      </c>
    </row>
    <row r="158" spans="1:4" ht="17" customHeight="1">
      <c r="A158" t="str">
        <f>IF(ISNA(VLOOKUP(B155,Definitions!B$2:B$1604,1,FALSE)),"Not listed","")</f>
        <v/>
      </c>
      <c r="B158" s="26" t="s">
        <v>313</v>
      </c>
      <c r="C158" s="21" t="s">
        <v>671</v>
      </c>
      <c r="D158" s="21" t="s">
        <v>706</v>
      </c>
    </row>
    <row r="159" spans="1:4" ht="17" customHeight="1">
      <c r="A159" t="str">
        <f>IF(ISNA(VLOOKUP(B156,Definitions!B$2:B$1604,1,FALSE)),"Not listed","")</f>
        <v/>
      </c>
      <c r="B159" s="26" t="s">
        <v>316</v>
      </c>
      <c r="C159" s="21" t="s">
        <v>671</v>
      </c>
      <c r="D159" s="21" t="s">
        <v>706</v>
      </c>
    </row>
    <row r="160" spans="1:4" ht="17" customHeight="1">
      <c r="A160" t="str">
        <f>IF(ISNA(VLOOKUP(B157,Definitions!B$2:B$1604,1,FALSE)),"Not listed","")</f>
        <v/>
      </c>
      <c r="B160" t="s">
        <v>319</v>
      </c>
      <c r="C160" s="4" t="s">
        <v>671</v>
      </c>
      <c r="D160" s="21" t="s">
        <v>731</v>
      </c>
    </row>
    <row r="161" spans="1:4" ht="17" customHeight="1">
      <c r="A161" t="str">
        <f>IF(ISNA(VLOOKUP(B158,Definitions!B$2:B$1604,1,FALSE)),"Not listed","")</f>
        <v/>
      </c>
      <c r="B161" s="26" t="s">
        <v>322</v>
      </c>
      <c r="C161" s="21" t="s">
        <v>671</v>
      </c>
      <c r="D161" s="21" t="s">
        <v>732</v>
      </c>
    </row>
    <row r="162" spans="1:4" ht="17" customHeight="1">
      <c r="A162" t="str">
        <f>IF(ISNA(VLOOKUP(B159,Definitions!B$2:B$1604,1,FALSE)),"Not listed","")</f>
        <v/>
      </c>
      <c r="B162" s="26" t="s">
        <v>325</v>
      </c>
      <c r="C162" s="21" t="s">
        <v>671</v>
      </c>
      <c r="D162" s="21" t="s">
        <v>732</v>
      </c>
    </row>
    <row r="163" spans="1:4" ht="17" customHeight="1">
      <c r="A163" t="str">
        <f>IF(ISNA(VLOOKUP(B160,Definitions!B$2:B$1604,1,FALSE)),"Not listed","")</f>
        <v/>
      </c>
      <c r="B163" s="26" t="s">
        <v>328</v>
      </c>
      <c r="C163" s="21" t="s">
        <v>671</v>
      </c>
      <c r="D163" s="21" t="s">
        <v>732</v>
      </c>
    </row>
    <row r="164" spans="1:4" ht="17" customHeight="1">
      <c r="A164" t="str">
        <f>IF(ISNA(VLOOKUP(B161,Definitions!B$2:B$1604,1,FALSE)),"Not listed","")</f>
        <v/>
      </c>
      <c r="B164" s="26" t="s">
        <v>331</v>
      </c>
      <c r="C164" s="21" t="s">
        <v>671</v>
      </c>
      <c r="D164" s="21" t="s">
        <v>707</v>
      </c>
    </row>
    <row r="165" spans="1:4" ht="17" customHeight="1">
      <c r="A165" t="str">
        <f>IF(ISNA(VLOOKUP(B162,Definitions!B$2:B$1604,1,FALSE)),"Not listed","")</f>
        <v/>
      </c>
      <c r="B165" s="26" t="s">
        <v>335</v>
      </c>
      <c r="C165" s="21" t="s">
        <v>671</v>
      </c>
      <c r="D165" s="21" t="s">
        <v>694</v>
      </c>
    </row>
    <row r="166" spans="1:4" ht="17" customHeight="1">
      <c r="A166" t="str">
        <f>IF(ISNA(VLOOKUP(B163,Definitions!B$2:B$1604,1,FALSE)),"Not listed","")</f>
        <v/>
      </c>
      <c r="B166" s="26" t="s">
        <v>335</v>
      </c>
      <c r="C166" s="21" t="s">
        <v>671</v>
      </c>
      <c r="D166" s="21" t="s">
        <v>672</v>
      </c>
    </row>
    <row r="167" spans="1:4" ht="17" customHeight="1">
      <c r="A167" t="str">
        <f>IF(ISNA(VLOOKUP(B164,Definitions!B$2:B$1604,1,FALSE)),"Not listed","")</f>
        <v/>
      </c>
      <c r="B167" s="2" t="s">
        <v>338</v>
      </c>
      <c r="C167" s="4" t="s">
        <v>671</v>
      </c>
      <c r="D167" s="21" t="s">
        <v>733</v>
      </c>
    </row>
    <row r="168" spans="1:4" ht="17" customHeight="1">
      <c r="A168" t="str">
        <f>IF(ISNA(VLOOKUP(B165,Definitions!B$2:B$1604,1,FALSE)),"Not listed","")</f>
        <v/>
      </c>
      <c r="B168" s="26" t="s">
        <v>341</v>
      </c>
      <c r="C168" s="21" t="s">
        <v>671</v>
      </c>
      <c r="D168" s="21" t="s">
        <v>672</v>
      </c>
    </row>
    <row r="169" spans="1:4" ht="17" customHeight="1">
      <c r="A169" t="str">
        <f>IF(ISNA(VLOOKUP(B166,Definitions!B$2:B$1604,1,FALSE)),"Not listed","")</f>
        <v/>
      </c>
      <c r="B169" s="26" t="s">
        <v>344</v>
      </c>
      <c r="C169" s="21" t="s">
        <v>671</v>
      </c>
      <c r="D169" s="21" t="s">
        <v>672</v>
      </c>
    </row>
    <row r="170" spans="1:4" ht="17" customHeight="1">
      <c r="A170" t="str">
        <f>IF(ISNA(VLOOKUP(B167,Definitions!B$2:B$1604,1,FALSE)),"Not listed","")</f>
        <v/>
      </c>
      <c r="B170" s="26" t="s">
        <v>347</v>
      </c>
      <c r="C170" s="21" t="s">
        <v>671</v>
      </c>
      <c r="D170" s="21" t="s">
        <v>672</v>
      </c>
    </row>
    <row r="171" spans="1:4" ht="17" customHeight="1">
      <c r="A171" t="str">
        <f>IF(ISNA(VLOOKUP(B168,Definitions!B$2:B$1604,1,FALSE)),"Not listed","")</f>
        <v/>
      </c>
      <c r="B171" s="26" t="s">
        <v>350</v>
      </c>
      <c r="C171" s="21" t="s">
        <v>671</v>
      </c>
      <c r="D171" s="21" t="s">
        <v>684</v>
      </c>
    </row>
    <row r="172" spans="1:4" ht="17" customHeight="1">
      <c r="A172" t="str">
        <f>IF(ISNA(VLOOKUP(B169,Definitions!B$2:B$1604,1,FALSE)),"Not listed","")</f>
        <v/>
      </c>
      <c r="B172" s="2" t="s">
        <v>353</v>
      </c>
      <c r="C172" s="4" t="s">
        <v>671</v>
      </c>
      <c r="D172" s="21" t="s">
        <v>695</v>
      </c>
    </row>
    <row r="173" spans="1:4" ht="17" customHeight="1">
      <c r="A173" t="str">
        <f>IF(ISNA(VLOOKUP(B170,Definitions!B$2:B$1604,1,FALSE)),"Not listed","")</f>
        <v/>
      </c>
      <c r="B173" s="2" t="s">
        <v>353</v>
      </c>
      <c r="C173" s="4" t="s">
        <v>671</v>
      </c>
      <c r="D173" s="21" t="s">
        <v>673</v>
      </c>
    </row>
    <row r="174" spans="1:4" ht="17" customHeight="1">
      <c r="A174" t="str">
        <f>IF(ISNA(VLOOKUP(B171,Definitions!B$2:B$1604,1,FALSE)),"Not listed","")</f>
        <v/>
      </c>
      <c r="B174" s="26" t="s">
        <v>356</v>
      </c>
      <c r="C174" s="21" t="s">
        <v>671</v>
      </c>
      <c r="D174" s="21" t="s">
        <v>695</v>
      </c>
    </row>
    <row r="175" spans="1:4" ht="17" customHeight="1">
      <c r="A175" t="str">
        <f>IF(ISNA(VLOOKUP(B172,Definitions!B$2:B$1604,1,FALSE)),"Not listed","")</f>
        <v/>
      </c>
      <c r="B175" s="26" t="s">
        <v>356</v>
      </c>
      <c r="C175" s="21" t="s">
        <v>671</v>
      </c>
      <c r="D175" s="21" t="s">
        <v>673</v>
      </c>
    </row>
    <row r="176" spans="1:4" ht="17" customHeight="1">
      <c r="A176" t="str">
        <f>IF(ISNA(VLOOKUP(B173,Definitions!B$2:B$1604,1,FALSE)),"Not listed","")</f>
        <v/>
      </c>
      <c r="B176" s="26" t="s">
        <v>359</v>
      </c>
      <c r="C176" s="21" t="s">
        <v>671</v>
      </c>
      <c r="D176" s="21" t="s">
        <v>695</v>
      </c>
    </row>
    <row r="177" spans="1:4" ht="17" customHeight="1">
      <c r="A177" t="str">
        <f>IF(ISNA(VLOOKUP(B174,Definitions!B$2:B$1604,1,FALSE)),"Not listed","")</f>
        <v/>
      </c>
      <c r="B177" s="26" t="s">
        <v>359</v>
      </c>
      <c r="C177" s="21" t="s">
        <v>671</v>
      </c>
      <c r="D177" s="21" t="s">
        <v>673</v>
      </c>
    </row>
    <row r="178" spans="1:4" ht="17" customHeight="1">
      <c r="A178" t="str">
        <f>IF(ISNA(VLOOKUP(B175,Definitions!B$2:B$1604,1,FALSE)),"Not listed","")</f>
        <v/>
      </c>
      <c r="B178" s="26" t="s">
        <v>362</v>
      </c>
      <c r="C178" s="21" t="s">
        <v>671</v>
      </c>
      <c r="D178" s="21" t="s">
        <v>695</v>
      </c>
    </row>
    <row r="179" spans="1:4" ht="17" customHeight="1">
      <c r="A179" t="str">
        <f>IF(ISNA(VLOOKUP(B176,Definitions!B$2:B$1604,1,FALSE)),"Not listed","")</f>
        <v/>
      </c>
      <c r="B179" s="26" t="s">
        <v>362</v>
      </c>
      <c r="C179" s="21" t="s">
        <v>671</v>
      </c>
      <c r="D179" s="21" t="s">
        <v>673</v>
      </c>
    </row>
    <row r="180" spans="1:4" ht="17" customHeight="1">
      <c r="A180" t="str">
        <f>IF(ISNA(VLOOKUP(B177,Definitions!B$2:B$1604,1,FALSE)),"Not listed","")</f>
        <v/>
      </c>
      <c r="B180" s="2" t="s">
        <v>365</v>
      </c>
      <c r="C180" s="4" t="s">
        <v>671</v>
      </c>
      <c r="D180" s="21" t="s">
        <v>695</v>
      </c>
    </row>
    <row r="181" spans="1:4" ht="17" customHeight="1">
      <c r="A181" t="str">
        <f>IF(ISNA(VLOOKUP(B178,Definitions!B$2:B$1604,1,FALSE)),"Not listed","")</f>
        <v/>
      </c>
      <c r="B181" s="2" t="s">
        <v>365</v>
      </c>
      <c r="C181" s="4" t="s">
        <v>671</v>
      </c>
      <c r="D181" s="21" t="s">
        <v>673</v>
      </c>
    </row>
    <row r="182" spans="1:4" ht="17" customHeight="1">
      <c r="A182" t="str">
        <f>IF(ISNA(VLOOKUP(B179,Definitions!B$2:B$1604,1,FALSE)),"Not listed","")</f>
        <v/>
      </c>
      <c r="B182" s="26" t="s">
        <v>368</v>
      </c>
      <c r="C182" s="21" t="s">
        <v>671</v>
      </c>
      <c r="D182" s="21" t="s">
        <v>692</v>
      </c>
    </row>
    <row r="183" spans="1:4" ht="17" customHeight="1">
      <c r="A183" t="str">
        <f>IF(ISNA(VLOOKUP(B180,Definitions!B$2:B$1604,1,FALSE)),"Not listed","")</f>
        <v/>
      </c>
      <c r="B183" s="26" t="s">
        <v>368</v>
      </c>
      <c r="C183" s="21" t="s">
        <v>671</v>
      </c>
      <c r="D183" s="21" t="s">
        <v>734</v>
      </c>
    </row>
    <row r="184" spans="1:4" ht="17" customHeight="1">
      <c r="A184" t="str">
        <f>IF(ISNA(VLOOKUP(B181,Definitions!B$2:B$1604,1,FALSE)),"Not listed","")</f>
        <v/>
      </c>
      <c r="B184" s="26" t="s">
        <v>370</v>
      </c>
      <c r="C184" s="21" t="s">
        <v>671</v>
      </c>
      <c r="D184" s="21" t="s">
        <v>717</v>
      </c>
    </row>
    <row r="185" spans="1:4" ht="17" customHeight="1">
      <c r="A185" t="str">
        <f>IF(ISNA(VLOOKUP(B182,Definitions!B$2:B$1604,1,FALSE)),"Not listed","")</f>
        <v/>
      </c>
      <c r="B185" s="26" t="s">
        <v>370</v>
      </c>
      <c r="C185" s="21" t="s">
        <v>671</v>
      </c>
      <c r="D185" s="21" t="s">
        <v>735</v>
      </c>
    </row>
    <row r="186" spans="1:4" ht="17" customHeight="1">
      <c r="A186" t="str">
        <f>IF(ISNA(VLOOKUP(B183,Definitions!B$2:B$1604,1,FALSE)),"Not listed","")</f>
        <v/>
      </c>
      <c r="B186" s="26" t="s">
        <v>373</v>
      </c>
      <c r="C186" s="21" t="s">
        <v>671</v>
      </c>
      <c r="D186" s="21" t="s">
        <v>707</v>
      </c>
    </row>
    <row r="187" spans="1:4" ht="17" customHeight="1">
      <c r="A187" t="str">
        <f>IF(ISNA(VLOOKUP(B184,Definitions!B$2:B$1604,1,FALSE)),"Not listed","")</f>
        <v/>
      </c>
      <c r="B187" s="26" t="s">
        <v>376</v>
      </c>
      <c r="C187" s="21" t="s">
        <v>671</v>
      </c>
      <c r="D187" s="21" t="s">
        <v>707</v>
      </c>
    </row>
    <row r="188" spans="1:4" ht="17" customHeight="1">
      <c r="A188" t="str">
        <f>IF(ISNA(VLOOKUP(B185,Definitions!B$2:B$1604,1,FALSE)),"Not listed","")</f>
        <v/>
      </c>
      <c r="B188" s="26" t="s">
        <v>379</v>
      </c>
      <c r="C188" s="21" t="s">
        <v>671</v>
      </c>
      <c r="D188" s="21" t="s">
        <v>724</v>
      </c>
    </row>
    <row r="189" spans="1:4" ht="17" customHeight="1">
      <c r="A189" t="str">
        <f>IF(ISNA(VLOOKUP(B186,Definitions!B$2:B$1604,1,FALSE)),"Not listed","")</f>
        <v/>
      </c>
      <c r="B189" s="26" t="s">
        <v>382</v>
      </c>
      <c r="C189" s="21" t="s">
        <v>671</v>
      </c>
      <c r="D189" s="21" t="s">
        <v>706</v>
      </c>
    </row>
    <row r="190" spans="1:4" ht="17" customHeight="1">
      <c r="A190" t="str">
        <f>IF(ISNA(VLOOKUP(B187,Definitions!B$2:B$1604,1,FALSE)),"Not listed","")</f>
        <v/>
      </c>
      <c r="B190" s="26" t="s">
        <v>385</v>
      </c>
      <c r="C190" s="21" t="s">
        <v>671</v>
      </c>
      <c r="D190" s="21" t="s">
        <v>672</v>
      </c>
    </row>
    <row r="191" spans="1:4" ht="17" customHeight="1">
      <c r="A191" t="str">
        <f>IF(ISNA(VLOOKUP(B188,Definitions!B$2:B$1604,1,FALSE)),"Not listed","")</f>
        <v/>
      </c>
      <c r="B191" s="26" t="s">
        <v>385</v>
      </c>
      <c r="C191" s="21" t="s">
        <v>671</v>
      </c>
      <c r="D191" s="21" t="s">
        <v>693</v>
      </c>
    </row>
    <row r="192" spans="1:4" ht="17" customHeight="1">
      <c r="A192" t="str">
        <f>IF(ISNA(VLOOKUP(B189,Definitions!B$2:B$1604,1,FALSE)),"Not listed","")</f>
        <v/>
      </c>
      <c r="B192" s="26" t="s">
        <v>388</v>
      </c>
      <c r="C192" s="21" t="s">
        <v>671</v>
      </c>
      <c r="D192" s="21" t="s">
        <v>672</v>
      </c>
    </row>
    <row r="193" spans="1:4" ht="17" customHeight="1">
      <c r="A193" t="str">
        <f>IF(ISNA(VLOOKUP(B190,Definitions!B$2:B$1604,1,FALSE)),"Not listed","")</f>
        <v/>
      </c>
      <c r="B193" s="2" t="s">
        <v>391</v>
      </c>
      <c r="C193" s="4" t="s">
        <v>671</v>
      </c>
      <c r="D193" s="21" t="s">
        <v>713</v>
      </c>
    </row>
    <row r="194" spans="1:4" ht="17" customHeight="1">
      <c r="A194" t="str">
        <f>IF(ISNA(VLOOKUP(B191,Definitions!B$2:B$1604,1,FALSE)),"Not listed","")</f>
        <v/>
      </c>
      <c r="B194" s="26" t="s">
        <v>391</v>
      </c>
      <c r="C194" s="21" t="s">
        <v>671</v>
      </c>
      <c r="D194" s="21" t="s">
        <v>700</v>
      </c>
    </row>
    <row r="195" spans="1:4" ht="17" customHeight="1">
      <c r="A195" t="str">
        <f>IF(ISNA(VLOOKUP(B192,Definitions!B$2:B$1604,1,FALSE)),"Not listed","")</f>
        <v/>
      </c>
      <c r="B195" s="2" t="s">
        <v>394</v>
      </c>
      <c r="C195" s="4" t="s">
        <v>671</v>
      </c>
      <c r="D195" s="21" t="s">
        <v>713</v>
      </c>
    </row>
    <row r="196" spans="1:4" ht="17" customHeight="1">
      <c r="A196" t="str">
        <f>IF(ISNA(VLOOKUP(B193,Definitions!B$2:B$1604,1,FALSE)),"Not listed","")</f>
        <v/>
      </c>
      <c r="B196" s="26" t="s">
        <v>394</v>
      </c>
      <c r="C196" s="21" t="s">
        <v>671</v>
      </c>
      <c r="D196" s="21" t="s">
        <v>700</v>
      </c>
    </row>
    <row r="197" spans="1:4" ht="17">
      <c r="A197" t="str">
        <f>IF(ISNA(VLOOKUP(B194,Definitions!B$2:B$1604,1,FALSE)),"Not listed","")</f>
        <v/>
      </c>
      <c r="B197" s="2" t="s">
        <v>397</v>
      </c>
      <c r="C197" s="4" t="s">
        <v>671</v>
      </c>
      <c r="D197" s="21" t="s">
        <v>713</v>
      </c>
    </row>
    <row r="198" spans="1:4" ht="17" customHeight="1">
      <c r="A198" t="str">
        <f>IF(ISNA(VLOOKUP(B195,Definitions!B$2:B$1604,1,FALSE)),"Not listed","")</f>
        <v/>
      </c>
      <c r="B198" s="26" t="s">
        <v>397</v>
      </c>
      <c r="C198" s="21" t="s">
        <v>671</v>
      </c>
      <c r="D198" s="21" t="s">
        <v>700</v>
      </c>
    </row>
    <row r="199" spans="1:4" ht="17" customHeight="1">
      <c r="A199" t="str">
        <f>IF(ISNA(VLOOKUP(B196,Definitions!B$2:B$1604,1,FALSE)),"Not listed","")</f>
        <v/>
      </c>
      <c r="B199" s="26" t="s">
        <v>400</v>
      </c>
      <c r="C199" s="21" t="s">
        <v>671</v>
      </c>
      <c r="D199" s="21" t="s">
        <v>694</v>
      </c>
    </row>
    <row r="200" spans="1:4" ht="17" customHeight="1">
      <c r="A200" t="str">
        <f>IF(ISNA(VLOOKUP(B197,Definitions!B$2:B$1604,1,FALSE)),"Not listed","")</f>
        <v/>
      </c>
      <c r="B200" t="s">
        <v>403</v>
      </c>
      <c r="C200" s="4" t="s">
        <v>671</v>
      </c>
      <c r="D200" s="21" t="s">
        <v>716</v>
      </c>
    </row>
    <row r="201" spans="1:4" ht="17" customHeight="1">
      <c r="A201" t="str">
        <f>IF(ISNA(VLOOKUP([1]AssociatedElements!B293,Definitions!B$2:B$1604,1,FALSE)),"Not listed","")</f>
        <v/>
      </c>
      <c r="B201" s="2" t="s">
        <v>406</v>
      </c>
      <c r="C201" s="4" t="s">
        <v>671</v>
      </c>
      <c r="D201" s="21" t="s">
        <v>699</v>
      </c>
    </row>
    <row r="202" spans="1:4" ht="17">
      <c r="A202" t="str">
        <f>IF(ISNA(VLOOKUP(B199,Definitions!B$2:B$1604,1,FALSE)),"Not listed","")</f>
        <v/>
      </c>
      <c r="B202" s="26" t="s">
        <v>409</v>
      </c>
      <c r="C202" s="21" t="s">
        <v>671</v>
      </c>
      <c r="D202" s="21" t="s">
        <v>694</v>
      </c>
    </row>
    <row r="203" spans="1:4" ht="17" customHeight="1">
      <c r="A203" t="str">
        <f>IF(ISNA(VLOOKUP(B200,Definitions!B$2:B$1604,1,FALSE)),"Not listed","")</f>
        <v/>
      </c>
      <c r="B203" s="26" t="s">
        <v>412</v>
      </c>
      <c r="C203" s="21" t="s">
        <v>671</v>
      </c>
      <c r="D203" s="21" t="s">
        <v>734</v>
      </c>
    </row>
    <row r="204" spans="1:4" ht="17" customHeight="1">
      <c r="A204" t="str">
        <f>IF(ISNA(VLOOKUP(B201,Definitions!B$2:B$1604,1,FALSE)),"Not listed","")</f>
        <v/>
      </c>
      <c r="B204" s="26" t="s">
        <v>415</v>
      </c>
      <c r="C204" s="21" t="s">
        <v>671</v>
      </c>
      <c r="D204" s="21" t="s">
        <v>732</v>
      </c>
    </row>
    <row r="205" spans="1:4">
      <c r="A205" t="str">
        <f>IF(ISNA(VLOOKUP(B202,Definitions!B$2:B$1604,1,FALSE)),"Not listed","")</f>
        <v/>
      </c>
      <c r="B205" t="s">
        <v>415</v>
      </c>
      <c r="C205" s="4" t="s">
        <v>671</v>
      </c>
      <c r="D205" s="21" t="s">
        <v>736</v>
      </c>
    </row>
    <row r="206" spans="1:4" ht="17">
      <c r="A206" t="str">
        <f>IF(ISNA(VLOOKUP(B203,Definitions!B$2:B$1604,1,FALSE)),"Not listed","")</f>
        <v/>
      </c>
      <c r="B206" s="2" t="s">
        <v>418</v>
      </c>
      <c r="C206" s="4" t="s">
        <v>671</v>
      </c>
      <c r="D206" s="21" t="s">
        <v>737</v>
      </c>
    </row>
    <row r="207" spans="1:4" ht="17" customHeight="1">
      <c r="A207" t="str">
        <f>IF(ISNA(VLOOKUP(B204,Definitions!B$2:B$1604,1,FALSE)),"Not listed","")</f>
        <v/>
      </c>
      <c r="B207" s="26" t="s">
        <v>418</v>
      </c>
      <c r="C207" s="21" t="s">
        <v>671</v>
      </c>
      <c r="D207" s="21" t="s">
        <v>738</v>
      </c>
    </row>
    <row r="208" spans="1:4" ht="17" customHeight="1">
      <c r="A208" t="str">
        <f>IF(ISNA(VLOOKUP(B205,Definitions!B$2:B$1604,1,FALSE)),"Not listed","")</f>
        <v/>
      </c>
      <c r="B208" t="s">
        <v>422</v>
      </c>
      <c r="C208" s="4" t="s">
        <v>671</v>
      </c>
      <c r="D208" s="21" t="s">
        <v>739</v>
      </c>
    </row>
    <row r="209" spans="1:4" ht="17" customHeight="1">
      <c r="A209" t="str">
        <f>IF(ISNA(VLOOKUP(B206,Definitions!B$2:B$1604,1,FALSE)),"Not listed","")</f>
        <v/>
      </c>
      <c r="B209" t="s">
        <v>425</v>
      </c>
      <c r="C209" s="4" t="s">
        <v>671</v>
      </c>
      <c r="D209" s="21" t="s">
        <v>740</v>
      </c>
    </row>
    <row r="210" spans="1:4" ht="17">
      <c r="A210" t="str">
        <f>IF(ISNA(VLOOKUP(B207,Definitions!B$2:B$1604,1,FALSE)),"Not listed","")</f>
        <v/>
      </c>
      <c r="B210" s="26" t="s">
        <v>428</v>
      </c>
      <c r="C210" s="21" t="s">
        <v>671</v>
      </c>
      <c r="D210" s="21" t="s">
        <v>741</v>
      </c>
    </row>
    <row r="211" spans="1:4" ht="17">
      <c r="A211" t="str">
        <f>IF(ISNA(VLOOKUP(B208,Definitions!B$2:B$1604,1,FALSE)),"Not listed","")</f>
        <v/>
      </c>
      <c r="B211" s="26" t="s">
        <v>428</v>
      </c>
      <c r="C211" s="21" t="s">
        <v>671</v>
      </c>
      <c r="D211" s="21" t="s">
        <v>742</v>
      </c>
    </row>
    <row r="212" spans="1:4" ht="17" customHeight="1">
      <c r="A212" t="str">
        <f>IF(ISNA(VLOOKUP(B209,Definitions!B$2:B$1604,1,FALSE)),"Not listed","")</f>
        <v/>
      </c>
      <c r="B212" s="26" t="s">
        <v>428</v>
      </c>
      <c r="C212" s="21" t="s">
        <v>671</v>
      </c>
      <c r="D212" s="21" t="s">
        <v>706</v>
      </c>
    </row>
    <row r="213" spans="1:4">
      <c r="A213" t="str">
        <f>IF(ISNA(VLOOKUP(B210,Definitions!B$2:B$1604,1,FALSE)),"Not listed","")</f>
        <v/>
      </c>
      <c r="B213" t="s">
        <v>431</v>
      </c>
      <c r="C213" s="4" t="s">
        <v>671</v>
      </c>
      <c r="D213" s="21" t="s">
        <v>743</v>
      </c>
    </row>
    <row r="214" spans="1:4">
      <c r="A214" t="str">
        <f>IF(ISNA(VLOOKUP(B211,Definitions!B$2:B$1604,1,FALSE)),"Not listed","")</f>
        <v/>
      </c>
      <c r="B214" t="s">
        <v>434</v>
      </c>
      <c r="C214" s="4" t="s">
        <v>671</v>
      </c>
      <c r="D214" s="21" t="s">
        <v>704</v>
      </c>
    </row>
    <row r="215" spans="1:4" ht="17" customHeight="1">
      <c r="A215" t="str">
        <f>IF(ISNA(VLOOKUP(B212,Definitions!B$2:B$1604,1,FALSE)),"Not listed","")</f>
        <v/>
      </c>
      <c r="B215" s="26" t="s">
        <v>434</v>
      </c>
      <c r="C215" s="21" t="s">
        <v>671</v>
      </c>
      <c r="D215" s="21" t="s">
        <v>705</v>
      </c>
    </row>
    <row r="216" spans="1:4" ht="17" customHeight="1">
      <c r="A216" t="str">
        <f>IF(ISNA(VLOOKUP(B213,Definitions!B$2:B$1604,1,FALSE)),"Not listed","")</f>
        <v/>
      </c>
      <c r="B216" t="s">
        <v>434</v>
      </c>
      <c r="C216" s="4" t="s">
        <v>671</v>
      </c>
      <c r="D216" s="21" t="s">
        <v>696</v>
      </c>
    </row>
    <row r="217" spans="1:4" ht="17" customHeight="1">
      <c r="A217" t="str">
        <f>IF(ISNA(VLOOKUP(B214,Definitions!B$2:B$1604,1,FALSE)),"Not listed","")</f>
        <v/>
      </c>
      <c r="B217" t="s">
        <v>434</v>
      </c>
      <c r="C217" s="4" t="s">
        <v>671</v>
      </c>
      <c r="D217" s="21" t="s">
        <v>702</v>
      </c>
    </row>
    <row r="218" spans="1:4" ht="17">
      <c r="A218" t="str">
        <f>IF(ISNA(VLOOKUP(B216,Definitions!B$2:B$1604,1,FALSE)),"Not listed","")</f>
        <v/>
      </c>
      <c r="B218" s="26" t="s">
        <v>437</v>
      </c>
      <c r="C218" s="21" t="s">
        <v>671</v>
      </c>
      <c r="D218" s="21" t="s">
        <v>672</v>
      </c>
    </row>
    <row r="219" spans="1:4" ht="17" customHeight="1">
      <c r="A219" t="str">
        <f>IF(ISNA(VLOOKUP(B217,Definitions!B$2:B$1604,1,FALSE)),"Not listed","")</f>
        <v/>
      </c>
      <c r="B219" s="26" t="s">
        <v>437</v>
      </c>
      <c r="C219" s="21" t="s">
        <v>671</v>
      </c>
      <c r="D219" s="21" t="s">
        <v>741</v>
      </c>
    </row>
    <row r="220" spans="1:4" ht="17" customHeight="1">
      <c r="A220" t="str">
        <f>IF(ISNA(VLOOKUP(B218,Definitions!B$2:B$1604,1,FALSE)),"Not listed","")</f>
        <v/>
      </c>
      <c r="B220" t="s">
        <v>437</v>
      </c>
      <c r="C220" s="4" t="s">
        <v>671</v>
      </c>
      <c r="D220" s="21" t="s">
        <v>704</v>
      </c>
    </row>
    <row r="221" spans="1:4" ht="17">
      <c r="A221" t="str">
        <f>IF(ISNA(VLOOKUP(B219,Definitions!B$2:B$1604,1,FALSE)),"Not listed","")</f>
        <v/>
      </c>
      <c r="B221" s="26" t="s">
        <v>437</v>
      </c>
      <c r="C221" s="21" t="s">
        <v>671</v>
      </c>
      <c r="D221" s="21" t="s">
        <v>742</v>
      </c>
    </row>
    <row r="222" spans="1:4" ht="17">
      <c r="A222" t="str">
        <f>IF(ISNA(VLOOKUP(B220,Definitions!B$2:B$1604,1,FALSE)),"Not listed","")</f>
        <v/>
      </c>
      <c r="B222" s="26" t="s">
        <v>437</v>
      </c>
      <c r="C222" s="21" t="s">
        <v>671</v>
      </c>
      <c r="D222" s="21" t="s">
        <v>705</v>
      </c>
    </row>
    <row r="223" spans="1:4" ht="17" customHeight="1">
      <c r="A223" t="str">
        <f>IF(ISNA(VLOOKUP(B221,Definitions!B$2:B$1604,1,FALSE)),"Not listed","")</f>
        <v/>
      </c>
      <c r="B223" t="s">
        <v>437</v>
      </c>
      <c r="C223" s="4" t="s">
        <v>671</v>
      </c>
      <c r="D223" s="21" t="s">
        <v>696</v>
      </c>
    </row>
    <row r="224" spans="1:4" ht="17" customHeight="1">
      <c r="A224" t="str">
        <f>IF(ISNA(VLOOKUP(B222,Definitions!B$2:B$1604,1,FALSE)),"Not listed","")</f>
        <v/>
      </c>
      <c r="B224" t="s">
        <v>437</v>
      </c>
      <c r="C224" s="4" t="s">
        <v>671</v>
      </c>
      <c r="D224" s="21" t="s">
        <v>702</v>
      </c>
    </row>
    <row r="225" spans="1:4" ht="17" customHeight="1">
      <c r="A225" t="str">
        <f>IF(ISNA(VLOOKUP(B223,Definitions!B$2:B$1604,1,FALSE)),"Not listed","")</f>
        <v/>
      </c>
      <c r="B225" s="26" t="s">
        <v>437</v>
      </c>
      <c r="C225" s="21" t="s">
        <v>671</v>
      </c>
      <c r="D225" s="21" t="s">
        <v>702</v>
      </c>
    </row>
    <row r="226" spans="1:4" ht="17">
      <c r="A226" t="str">
        <f>IF(ISNA(VLOOKUP(B224,Definitions!B$2:B$1604,1,FALSE)),"Not listed","")</f>
        <v/>
      </c>
      <c r="B226" s="26" t="s">
        <v>440</v>
      </c>
      <c r="C226" s="21" t="s">
        <v>671</v>
      </c>
      <c r="D226" s="21" t="s">
        <v>672</v>
      </c>
    </row>
    <row r="227" spans="1:4" ht="17" customHeight="1">
      <c r="A227" t="str">
        <f>IF(ISNA(VLOOKUP(B225,Definitions!B$2:B$1604,1,FALSE)),"Not listed","")</f>
        <v/>
      </c>
      <c r="B227" s="26" t="s">
        <v>440</v>
      </c>
      <c r="C227" s="21" t="s">
        <v>671</v>
      </c>
      <c r="D227" s="21" t="s">
        <v>741</v>
      </c>
    </row>
    <row r="228" spans="1:4" ht="17" customHeight="1">
      <c r="A228" t="str">
        <f>IF(ISNA(VLOOKUP(B226,Definitions!B$2:B$1604,1,FALSE)),"Not listed","")</f>
        <v/>
      </c>
      <c r="B228" t="s">
        <v>440</v>
      </c>
      <c r="C228" s="4" t="s">
        <v>671</v>
      </c>
      <c r="D228" s="21" t="s">
        <v>704</v>
      </c>
    </row>
    <row r="229" spans="1:4" ht="17">
      <c r="A229" t="str">
        <f>IF(ISNA(VLOOKUP(B227,Definitions!B$2:B$1604,1,FALSE)),"Not listed","")</f>
        <v/>
      </c>
      <c r="B229" s="26" t="s">
        <v>440</v>
      </c>
      <c r="C229" s="21" t="s">
        <v>671</v>
      </c>
      <c r="D229" s="21" t="s">
        <v>742</v>
      </c>
    </row>
    <row r="230" spans="1:4" ht="17">
      <c r="A230" t="str">
        <f>IF(ISNA(VLOOKUP(B228,Definitions!B$2:B$1604,1,FALSE)),"Not listed","")</f>
        <v/>
      </c>
      <c r="B230" s="26" t="s">
        <v>440</v>
      </c>
      <c r="C230" s="21" t="s">
        <v>671</v>
      </c>
      <c r="D230" s="21" t="s">
        <v>705</v>
      </c>
    </row>
    <row r="231" spans="1:4" ht="17" customHeight="1">
      <c r="A231" t="str">
        <f>IF(ISNA(VLOOKUP(B229,Definitions!B$2:B$1604,1,FALSE)),"Not listed","")</f>
        <v/>
      </c>
      <c r="B231" t="s">
        <v>440</v>
      </c>
      <c r="C231" s="4" t="s">
        <v>671</v>
      </c>
      <c r="D231" s="21" t="s">
        <v>696</v>
      </c>
    </row>
    <row r="232" spans="1:4" ht="17" customHeight="1">
      <c r="A232" t="str">
        <f>IF(ISNA(VLOOKUP(B230,Definitions!B$2:B$1604,1,FALSE)),"Not listed","")</f>
        <v/>
      </c>
      <c r="B232" t="s">
        <v>440</v>
      </c>
      <c r="C232" s="4" t="s">
        <v>671</v>
      </c>
      <c r="D232" s="21" t="s">
        <v>702</v>
      </c>
    </row>
    <row r="233" spans="1:4" ht="17">
      <c r="A233" t="str">
        <f>IF(ISNA(VLOOKUP(B231,Definitions!B$2:B$1604,1,FALSE)),"Not listed","")</f>
        <v/>
      </c>
      <c r="B233" s="26" t="s">
        <v>440</v>
      </c>
      <c r="C233" s="21" t="s">
        <v>671</v>
      </c>
      <c r="D233" s="21" t="s">
        <v>702</v>
      </c>
    </row>
    <row r="234" spans="1:4" ht="17" customHeight="1">
      <c r="A234" t="str">
        <f>IF(ISNA(VLOOKUP(B232,Definitions!B$2:B$1604,1,FALSE)),"Not listed","")</f>
        <v/>
      </c>
      <c r="B234" s="2" t="s">
        <v>443</v>
      </c>
      <c r="C234" s="4" t="s">
        <v>671</v>
      </c>
      <c r="D234" s="21" t="s">
        <v>733</v>
      </c>
    </row>
    <row r="235" spans="1:4">
      <c r="A235" t="str">
        <f>IF(ISNA(VLOOKUP(B233,Definitions!B$2:B$1604,1,FALSE)),"Not listed","")</f>
        <v/>
      </c>
      <c r="B235" t="s">
        <v>446</v>
      </c>
      <c r="C235" s="4" t="s">
        <v>671</v>
      </c>
      <c r="D235" s="21" t="s">
        <v>744</v>
      </c>
    </row>
    <row r="236" spans="1:4" ht="17" customHeight="1">
      <c r="A236" t="str">
        <f>IF(ISNA(VLOOKUP(B234,Definitions!B$2:B$1604,1,FALSE)),"Not listed","")</f>
        <v/>
      </c>
      <c r="B236" s="2" t="s">
        <v>449</v>
      </c>
      <c r="C236" s="4" t="s">
        <v>671</v>
      </c>
      <c r="D236" s="21" t="s">
        <v>745</v>
      </c>
    </row>
    <row r="237" spans="1:4" ht="17" customHeight="1">
      <c r="A237" t="str">
        <f>IF(ISNA(VLOOKUP(B235,Definitions!B$2:B$1604,1,FALSE)),"Not listed","")</f>
        <v/>
      </c>
      <c r="B237" t="s">
        <v>449</v>
      </c>
      <c r="C237" s="4" t="s">
        <v>671</v>
      </c>
      <c r="D237" s="21" t="s">
        <v>746</v>
      </c>
    </row>
    <row r="238" spans="1:4" ht="17">
      <c r="A238" t="str">
        <f>IF(ISNA(VLOOKUP(B236,Definitions!B$2:B$1604,1,FALSE)),"Not listed","")</f>
        <v/>
      </c>
      <c r="B238" s="26" t="s">
        <v>452</v>
      </c>
      <c r="C238" s="21" t="s">
        <v>671</v>
      </c>
      <c r="D238" s="21" t="s">
        <v>707</v>
      </c>
    </row>
    <row r="239" spans="1:4" ht="17" customHeight="1">
      <c r="A239" t="str">
        <f>IF(ISNA(VLOOKUP(B237,Definitions!B$2:B$1604,1,FALSE)),"Not listed","")</f>
        <v/>
      </c>
      <c r="B239" s="26" t="s">
        <v>455</v>
      </c>
      <c r="C239" s="21" t="s">
        <v>671</v>
      </c>
      <c r="D239" s="21" t="s">
        <v>707</v>
      </c>
    </row>
    <row r="240" spans="1:4">
      <c r="A240" t="str">
        <f>IF(ISNA(VLOOKUP(B238,Definitions!B$2:B$1604,1,FALSE)),"Not listed","")</f>
        <v/>
      </c>
      <c r="B240" t="s">
        <v>458</v>
      </c>
      <c r="C240" s="4" t="s">
        <v>671</v>
      </c>
      <c r="D240" s="21" t="s">
        <v>747</v>
      </c>
    </row>
    <row r="241" spans="1:4" ht="17" customHeight="1">
      <c r="A241" t="str">
        <f>IF(ISNA(VLOOKUP(B239,Definitions!B$2:B$1604,1,FALSE)),"Not listed","")</f>
        <v/>
      </c>
      <c r="B241" s="26" t="s">
        <v>461</v>
      </c>
      <c r="C241" s="21" t="s">
        <v>671</v>
      </c>
      <c r="D241" s="21" t="s">
        <v>700</v>
      </c>
    </row>
    <row r="242" spans="1:4">
      <c r="A242" t="str">
        <f>IF(ISNA(VLOOKUP(B240,Definitions!B$2:B$1604,1,FALSE)),"Not listed","")</f>
        <v/>
      </c>
      <c r="B242" t="s">
        <v>464</v>
      </c>
      <c r="C242" s="4" t="s">
        <v>671</v>
      </c>
      <c r="D242" s="21" t="s">
        <v>748</v>
      </c>
    </row>
    <row r="243" spans="1:4" ht="17" customHeight="1">
      <c r="A243" t="str">
        <f>IF(ISNA(VLOOKUP(B241,Definitions!B$2:B$1604,1,FALSE)),"Not listed","")</f>
        <v/>
      </c>
      <c r="B243" s="26" t="s">
        <v>467</v>
      </c>
      <c r="C243" s="21" t="s">
        <v>671</v>
      </c>
      <c r="D243" s="21" t="s">
        <v>700</v>
      </c>
    </row>
    <row r="244" spans="1:4" ht="17" customHeight="1">
      <c r="A244" t="str">
        <f>IF(ISNA(VLOOKUP(B242,Definitions!B$2:B$1604,1,FALSE)),"Not listed","")</f>
        <v/>
      </c>
      <c r="B244" t="s">
        <v>470</v>
      </c>
      <c r="C244" s="4" t="s">
        <v>671</v>
      </c>
      <c r="D244" s="21" t="s">
        <v>749</v>
      </c>
    </row>
    <row r="245" spans="1:4" ht="17" customHeight="1">
      <c r="A245" t="str">
        <f>IF(ISNA(VLOOKUP(B243,Definitions!B$2:B$1604,1,FALSE)),"Not listed","")</f>
        <v/>
      </c>
      <c r="B245" s="26" t="s">
        <v>473</v>
      </c>
      <c r="C245" s="21" t="s">
        <v>671</v>
      </c>
      <c r="D245" s="21" t="s">
        <v>672</v>
      </c>
    </row>
    <row r="246" spans="1:4" ht="17" customHeight="1">
      <c r="A246" t="str">
        <f>IF(ISNA(VLOOKUP(B244,Definitions!B$2:B$1604,1,FALSE)),"Not listed","")</f>
        <v/>
      </c>
      <c r="B246" s="26" t="s">
        <v>476</v>
      </c>
      <c r="C246" s="21" t="s">
        <v>671</v>
      </c>
      <c r="D246" s="21" t="s">
        <v>750</v>
      </c>
    </row>
    <row r="247" spans="1:4" ht="17" customHeight="1">
      <c r="A247" t="str">
        <f>IF(ISNA(VLOOKUP(B245,Definitions!B$2:B$1604,1,FALSE)),"Not listed","")</f>
        <v/>
      </c>
      <c r="B247" s="26" t="s">
        <v>479</v>
      </c>
      <c r="C247" s="21" t="s">
        <v>671</v>
      </c>
      <c r="D247" s="21" t="s">
        <v>750</v>
      </c>
    </row>
    <row r="248" spans="1:4" ht="17" customHeight="1">
      <c r="A248" t="str">
        <f>IF(ISNA(VLOOKUP(B246,Definitions!B$2:B$1604,1,FALSE)),"Not listed","")</f>
        <v/>
      </c>
      <c r="B248" s="26" t="s">
        <v>482</v>
      </c>
      <c r="C248" s="21" t="s">
        <v>671</v>
      </c>
      <c r="D248" s="21" t="s">
        <v>690</v>
      </c>
    </row>
    <row r="249" spans="1:4" ht="17" customHeight="1">
      <c r="A249" t="str">
        <f>IF(ISNA(VLOOKUP([1]AssociatedElements!B231,Definitions!B$2:B$1604,1,FALSE)),"Not listed","")</f>
        <v/>
      </c>
      <c r="B249" s="26" t="s">
        <v>482</v>
      </c>
      <c r="C249" s="21" t="s">
        <v>671</v>
      </c>
      <c r="D249" s="21" t="s">
        <v>750</v>
      </c>
    </row>
    <row r="250" spans="1:4" ht="17">
      <c r="A250" t="str">
        <f>IF(ISNA(VLOOKUP(B248,Definitions!B$2:B$1604,1,FALSE)),"Not listed","")</f>
        <v/>
      </c>
      <c r="B250" s="26" t="s">
        <v>485</v>
      </c>
      <c r="C250" s="21" t="s">
        <v>671</v>
      </c>
      <c r="D250" s="21" t="s">
        <v>692</v>
      </c>
    </row>
    <row r="251" spans="1:4" ht="17" customHeight="1">
      <c r="A251" t="str">
        <f>IF(ISNA(VLOOKUP([1]AssociatedElements!B287,Definitions!B$2:B$1604,1,FALSE)),"Not listed","")</f>
        <v/>
      </c>
      <c r="B251" s="2" t="s">
        <v>581</v>
      </c>
      <c r="C251" s="4" t="s">
        <v>671</v>
      </c>
      <c r="D251" s="21" t="s">
        <v>720</v>
      </c>
    </row>
    <row r="252" spans="1:4">
      <c r="A252" t="str">
        <f>IF(ISNA(VLOOKUP(B250,Definitions!B$2:B$1604,1,FALSE)),"Not listed","")</f>
        <v/>
      </c>
      <c r="B252" t="s">
        <v>488</v>
      </c>
      <c r="C252" s="4" t="s">
        <v>671</v>
      </c>
      <c r="D252" s="21" t="s">
        <v>751</v>
      </c>
    </row>
    <row r="253" spans="1:4" ht="17" customHeight="1">
      <c r="A253" t="str">
        <f>IF(ISNA(VLOOKUP(B251,Definitions!B$2:B$1604,1,FALSE)),"Not listed","")</f>
        <v/>
      </c>
      <c r="B253" s="2" t="s">
        <v>488</v>
      </c>
      <c r="C253" s="4" t="s">
        <v>671</v>
      </c>
      <c r="D253" s="21" t="s">
        <v>715</v>
      </c>
    </row>
    <row r="254" spans="1:4" ht="17" customHeight="1">
      <c r="A254" t="str">
        <f>IF(ISNA(VLOOKUP(B252,Definitions!B$2:B$1604,1,FALSE)),"Not listed","")</f>
        <v/>
      </c>
      <c r="B254" t="s">
        <v>491</v>
      </c>
      <c r="C254" s="4" t="s">
        <v>671</v>
      </c>
      <c r="D254" s="21" t="s">
        <v>751</v>
      </c>
    </row>
    <row r="255" spans="1:4" ht="17" customHeight="1">
      <c r="A255" t="str">
        <f>IF(ISNA(VLOOKUP(B253,Definitions!B$2:B$1604,1,FALSE)),"Not listed","")</f>
        <v/>
      </c>
      <c r="B255" s="2" t="s">
        <v>491</v>
      </c>
      <c r="C255" s="4" t="s">
        <v>671</v>
      </c>
      <c r="D255" s="21" t="s">
        <v>715</v>
      </c>
    </row>
    <row r="256" spans="1:4" ht="17" customHeight="1">
      <c r="A256" t="str">
        <f>IF(ISNA(VLOOKUP(B254,Definitions!B$2:B$1604,1,FALSE)),"Not listed","")</f>
        <v/>
      </c>
      <c r="B256" s="26" t="s">
        <v>495</v>
      </c>
      <c r="C256" s="21" t="s">
        <v>671</v>
      </c>
      <c r="D256" s="21" t="s">
        <v>693</v>
      </c>
    </row>
    <row r="257" spans="1:4" ht="17">
      <c r="A257" t="str">
        <f>IF(ISNA(VLOOKUP([1]AssociatedElements!B276,Definitions!B$2:B$1604,1,FALSE)),"Not listed","")</f>
        <v/>
      </c>
      <c r="B257" s="26" t="s">
        <v>498</v>
      </c>
      <c r="C257" s="4" t="s">
        <v>671</v>
      </c>
      <c r="D257" s="21" t="s">
        <v>752</v>
      </c>
    </row>
    <row r="258" spans="1:4" ht="17" customHeight="1">
      <c r="A258" t="str">
        <f>IF(ISNA(VLOOKUP(B256,Definitions!B$2:B$1604,1,FALSE)),"Not listed","")</f>
        <v/>
      </c>
      <c r="B258" s="26" t="s">
        <v>498</v>
      </c>
      <c r="C258" s="21" t="s">
        <v>671</v>
      </c>
      <c r="D258" s="21" t="s">
        <v>700</v>
      </c>
    </row>
    <row r="259" spans="1:4" ht="17" customHeight="1">
      <c r="A259" t="str">
        <f>IF(ISNA(VLOOKUP(B257,Definitions!B$2:B$1604,1,FALSE)),"Not listed","")</f>
        <v/>
      </c>
      <c r="B259" t="s">
        <v>502</v>
      </c>
      <c r="C259" s="4" t="s">
        <v>671</v>
      </c>
      <c r="D259" s="21" t="s">
        <v>753</v>
      </c>
    </row>
    <row r="260" spans="1:4" ht="17" customHeight="1">
      <c r="A260" t="str">
        <f>IF(ISNA(VLOOKUP([1]AssociatedElements!B294,Definitions!B$2:B$1604,1,FALSE)),"Not listed","")</f>
        <v/>
      </c>
      <c r="B260" s="2" t="s">
        <v>505</v>
      </c>
      <c r="C260" s="4" t="s">
        <v>671</v>
      </c>
      <c r="D260" s="21" t="s">
        <v>754</v>
      </c>
    </row>
    <row r="261" spans="1:4" ht="17" customHeight="1">
      <c r="A261" t="str">
        <f>IF(ISNA(VLOOKUP(B259,Definitions!B$2:B$1604,1,FALSE)),"Not listed","")</f>
        <v/>
      </c>
      <c r="B261" s="26" t="s">
        <v>508</v>
      </c>
      <c r="C261" s="21" t="s">
        <v>671</v>
      </c>
      <c r="D261" s="21" t="s">
        <v>672</v>
      </c>
    </row>
    <row r="262" spans="1:4" ht="15" customHeight="1">
      <c r="A262" t="str">
        <f>IF(ISNA(VLOOKUP(B260,Definitions!B$2:B$1604,1,FALSE)),"Not listed","")</f>
        <v/>
      </c>
      <c r="B262" s="26" t="s">
        <v>168</v>
      </c>
      <c r="C262" s="4" t="s">
        <v>671</v>
      </c>
      <c r="D262" s="21" t="s">
        <v>713</v>
      </c>
    </row>
    <row r="263" spans="1:4" ht="17" customHeight="1">
      <c r="A263" t="str">
        <f>IF(ISNA(VLOOKUP(B261,Definitions!B$2:B$1604,1,FALSE)),"Not listed","")</f>
        <v/>
      </c>
      <c r="B263" s="2" t="s">
        <v>168</v>
      </c>
      <c r="C263" s="4" t="s">
        <v>671</v>
      </c>
      <c r="D263" s="21" t="s">
        <v>714</v>
      </c>
    </row>
    <row r="264" spans="1:4" ht="17" customHeight="1">
      <c r="A264" t="str">
        <f>IF(ISNA(VLOOKUP(B262,Definitions!B$2:B$1604,1,FALSE)),"Not listed","")</f>
        <v/>
      </c>
      <c r="B264" s="26" t="s">
        <v>168</v>
      </c>
      <c r="C264" s="21" t="s">
        <v>671</v>
      </c>
      <c r="D264" s="21" t="s">
        <v>700</v>
      </c>
    </row>
    <row r="265" spans="1:4" ht="17" customHeight="1">
      <c r="A265" t="str">
        <f>IF(ISNA(VLOOKUP(B263,Definitions!B$2:B$1604,1,FALSE)),"Not listed","")</f>
        <v/>
      </c>
      <c r="B265" s="26" t="s">
        <v>168</v>
      </c>
      <c r="C265" s="4" t="s">
        <v>671</v>
      </c>
      <c r="D265" s="21" t="s">
        <v>715</v>
      </c>
    </row>
    <row r="266" spans="1:4" ht="17" customHeight="1">
      <c r="A266" t="str">
        <f>IF(ISNA(VLOOKUP(B264,Definitions!B$2:B$1604,1,FALSE)),"Not listed","")</f>
        <v/>
      </c>
      <c r="B266" s="26" t="s">
        <v>168</v>
      </c>
      <c r="C266" s="21" t="s">
        <v>671</v>
      </c>
      <c r="D266" s="21" t="s">
        <v>755</v>
      </c>
    </row>
    <row r="267" spans="1:4" ht="17" customHeight="1">
      <c r="A267" t="str">
        <f>IF(ISNA(VLOOKUP(B265,Definitions!B$2:B$1604,1,FALSE)),"Not listed","")</f>
        <v/>
      </c>
      <c r="B267" s="26" t="s">
        <v>168</v>
      </c>
      <c r="C267" s="21" t="s">
        <v>671</v>
      </c>
      <c r="D267" s="21" t="s">
        <v>756</v>
      </c>
    </row>
    <row r="268" spans="1:4" ht="17" customHeight="1">
      <c r="A268" t="str">
        <f>IF(ISNA(VLOOKUP(B266,Definitions!B$2:B$1604,1,FALSE)),"Not listed","")</f>
        <v/>
      </c>
      <c r="B268" s="26" t="s">
        <v>514</v>
      </c>
      <c r="C268" s="21" t="s">
        <v>671</v>
      </c>
      <c r="D268" s="21" t="s">
        <v>700</v>
      </c>
    </row>
    <row r="269" spans="1:4" ht="17" customHeight="1">
      <c r="A269" t="str">
        <f>IF(ISNA(VLOOKUP(B267,Definitions!B$2:B$1604,1,FALSE)),"Not listed","")</f>
        <v/>
      </c>
      <c r="B269" s="26" t="s">
        <v>517</v>
      </c>
      <c r="C269" s="21" t="s">
        <v>671</v>
      </c>
      <c r="D269" s="21" t="s">
        <v>700</v>
      </c>
    </row>
    <row r="270" spans="1:4" ht="17" customHeight="1">
      <c r="A270" t="str">
        <f>IF(ISNA(VLOOKUP(B268,Definitions!B$2:B$1604,1,FALSE)),"Not listed","")</f>
        <v/>
      </c>
      <c r="B270" s="26" t="s">
        <v>520</v>
      </c>
      <c r="C270" s="21" t="s">
        <v>671</v>
      </c>
      <c r="D270" s="21" t="s">
        <v>684</v>
      </c>
    </row>
    <row r="271" spans="1:4" ht="17" customHeight="1">
      <c r="A271" t="str">
        <f>IF(ISNA(VLOOKUP([1]AssociatedElements!B283,Definitions!B$2:B$1604,1,FALSE)),"Not listed","")</f>
        <v/>
      </c>
      <c r="B271" s="2" t="s">
        <v>569</v>
      </c>
      <c r="C271" s="4" t="s">
        <v>671</v>
      </c>
      <c r="D271" s="21" t="s">
        <v>712</v>
      </c>
    </row>
    <row r="272" spans="1:4" ht="17" customHeight="1">
      <c r="A272" t="str">
        <f>IF(ISNA(VLOOKUP([1]AssociatedElements!B285,Definitions!B$2:B$1604,1,FALSE)),"Not listed","")</f>
        <v/>
      </c>
      <c r="B272" s="2" t="s">
        <v>575</v>
      </c>
      <c r="C272" s="4" t="s">
        <v>671</v>
      </c>
      <c r="D272" s="21" t="s">
        <v>712</v>
      </c>
    </row>
    <row r="273" spans="1:4" ht="17" customHeight="1">
      <c r="A273" t="str">
        <f>IF(ISNA(VLOOKUP(B271,Definitions!B$2:B$1604,1,FALSE)),"Not listed","")</f>
        <v/>
      </c>
      <c r="B273" s="2" t="s">
        <v>524</v>
      </c>
      <c r="C273" s="4" t="s">
        <v>671</v>
      </c>
      <c r="D273" s="21" t="s">
        <v>714</v>
      </c>
    </row>
    <row r="274" spans="1:4" ht="17" customHeight="1">
      <c r="A274" t="str">
        <f>IF(ISNA(VLOOKUP(B272,Definitions!B$2:B$1604,1,FALSE)),"Not listed","")</f>
        <v/>
      </c>
      <c r="B274" s="26" t="s">
        <v>527</v>
      </c>
      <c r="C274" s="21" t="s">
        <v>671</v>
      </c>
      <c r="D274" s="21" t="s">
        <v>693</v>
      </c>
    </row>
    <row r="275" spans="1:4" ht="17" customHeight="1">
      <c r="A275" t="str">
        <f>IF(ISNA(VLOOKUP(B273,Definitions!B$2:B$1604,1,FALSE)),"Not listed","")</f>
        <v/>
      </c>
      <c r="B275" s="2" t="s">
        <v>530</v>
      </c>
      <c r="C275" s="4" t="s">
        <v>671</v>
      </c>
      <c r="D275" s="21" t="s">
        <v>673</v>
      </c>
    </row>
    <row r="276" spans="1:4" ht="17" customHeight="1">
      <c r="A276" t="str">
        <f>IF(ISNA(VLOOKUP(B274,Definitions!B$2:B$1604,1,FALSE)),"Not listed","")</f>
        <v/>
      </c>
      <c r="B276" s="26" t="s">
        <v>533</v>
      </c>
      <c r="C276" s="21" t="s">
        <v>671</v>
      </c>
      <c r="D276" s="21" t="s">
        <v>673</v>
      </c>
    </row>
    <row r="277" spans="1:4" ht="17" customHeight="1">
      <c r="A277" t="str">
        <f>IF(ISNA(VLOOKUP(B275,Definitions!B$2:B$1604,1,FALSE)),"Not listed","")</f>
        <v/>
      </c>
      <c r="B277" s="26" t="s">
        <v>536</v>
      </c>
      <c r="C277" s="21" t="s">
        <v>671</v>
      </c>
      <c r="D277" s="21" t="s">
        <v>707</v>
      </c>
    </row>
    <row r="278" spans="1:4" ht="17" customHeight="1">
      <c r="A278" t="str">
        <f>IF(ISNA(VLOOKUP(B276,Definitions!B$2:B$1604,1,FALSE)),"Not listed","")</f>
        <v/>
      </c>
      <c r="B278" s="26" t="s">
        <v>539</v>
      </c>
      <c r="C278" s="21" t="s">
        <v>671</v>
      </c>
      <c r="D278" s="21" t="s">
        <v>672</v>
      </c>
    </row>
    <row r="279" spans="1:4" ht="17" customHeight="1">
      <c r="A279" t="str">
        <f>IF(ISNA(VLOOKUP(B277,Definitions!B$2:B$1604,1,FALSE)),"Not listed","")</f>
        <v/>
      </c>
      <c r="B279" s="2" t="s">
        <v>542</v>
      </c>
      <c r="C279" s="4" t="s">
        <v>671</v>
      </c>
      <c r="D279" s="21" t="s">
        <v>715</v>
      </c>
    </row>
    <row r="280" spans="1:4" ht="17">
      <c r="A280" t="str">
        <f>IF(ISNA(VLOOKUP(B278,Definitions!B$2:B$1604,1,FALSE)),"Not listed","")</f>
        <v/>
      </c>
      <c r="B280" s="2" t="s">
        <v>545</v>
      </c>
      <c r="C280" s="4" t="s">
        <v>671</v>
      </c>
      <c r="D280" s="21" t="s">
        <v>715</v>
      </c>
    </row>
    <row r="281" spans="1:4" ht="17" customHeight="1">
      <c r="A281" t="str">
        <f>IF(ISNA(VLOOKUP(B279,Definitions!B$2:B$1604,1,FALSE)),"Not listed","")</f>
        <v/>
      </c>
      <c r="B281" s="26" t="s">
        <v>548</v>
      </c>
      <c r="C281" s="21" t="s">
        <v>671</v>
      </c>
      <c r="D281" s="21" t="s">
        <v>707</v>
      </c>
    </row>
    <row r="282" spans="1:4" ht="17" customHeight="1">
      <c r="A282" t="str">
        <f>IF(ISNA(VLOOKUP(B280,Definitions!B$2:B$1604,1,FALSE)),"Not listed","")</f>
        <v/>
      </c>
      <c r="B282" t="s">
        <v>551</v>
      </c>
      <c r="C282" s="4" t="s">
        <v>671</v>
      </c>
      <c r="D282" s="21" t="s">
        <v>757</v>
      </c>
    </row>
    <row r="283" spans="1:4" ht="17" customHeight="1">
      <c r="A283" t="str">
        <f>IF(ISNA(VLOOKUP([1]AssociatedElements!B290,Definitions!B$2:B$1604,1,FALSE)),"Not listed","")</f>
        <v/>
      </c>
      <c r="B283" s="2" t="s">
        <v>590</v>
      </c>
      <c r="C283" s="4" t="s">
        <v>671</v>
      </c>
      <c r="D283" s="21" t="s">
        <v>690</v>
      </c>
    </row>
    <row r="284" spans="1:4" ht="17" customHeight="1">
      <c r="A284" t="str">
        <f>IF(ISNA(VLOOKUP(B282,Definitions!B$2:B$1604,1,FALSE)),"Not listed","")</f>
        <v/>
      </c>
      <c r="B284" s="26" t="s">
        <v>554</v>
      </c>
      <c r="C284" s="21" t="s">
        <v>671</v>
      </c>
      <c r="D284" s="21" t="s">
        <v>685</v>
      </c>
    </row>
    <row r="285" spans="1:4" ht="17" customHeight="1">
      <c r="A285" t="str">
        <f>IF(ISNA(VLOOKUP(B283,Definitions!B$2:B$1604,1,FALSE)),"Not listed","")</f>
        <v/>
      </c>
      <c r="B285" s="26" t="s">
        <v>554</v>
      </c>
      <c r="C285" s="21" t="s">
        <v>671</v>
      </c>
      <c r="D285" s="21" t="s">
        <v>687</v>
      </c>
    </row>
    <row r="286" spans="1:4" ht="17" customHeight="1">
      <c r="A286" t="str">
        <f>IF(ISNA(VLOOKUP(B284,Definitions!B$2:B$1604,1,FALSE)),"Not listed","")</f>
        <v/>
      </c>
      <c r="B286" s="26" t="s">
        <v>554</v>
      </c>
      <c r="C286" s="21" t="s">
        <v>671</v>
      </c>
      <c r="D286" s="21" t="s">
        <v>690</v>
      </c>
    </row>
    <row r="287" spans="1:4" ht="17" customHeight="1">
      <c r="A287" t="str">
        <f>IF(ISNA(VLOOKUP(B285,Definitions!B$2:B$1604,1,FALSE)),"Not listed","")</f>
        <v/>
      </c>
      <c r="B287" s="26" t="s">
        <v>554</v>
      </c>
      <c r="C287" s="21" t="s">
        <v>671</v>
      </c>
      <c r="D287" s="21" t="s">
        <v>688</v>
      </c>
    </row>
    <row r="288" spans="1:4" ht="17" customHeight="1">
      <c r="A288" t="str">
        <f>IF(ISNA(VLOOKUP(B286,Definitions!B$2:B$1604,1,FALSE)),"Not listed","")</f>
        <v/>
      </c>
      <c r="B288" s="26" t="s">
        <v>554</v>
      </c>
      <c r="C288" s="21" t="s">
        <v>671</v>
      </c>
      <c r="D288" s="21" t="s">
        <v>700</v>
      </c>
    </row>
    <row r="289" spans="1:4" ht="17" customHeight="1">
      <c r="A289" t="str">
        <f>IF(ISNA(VLOOKUP(B287,Definitions!B$2:B$1604,1,FALSE)),"Not listed","")</f>
        <v/>
      </c>
      <c r="B289" s="26" t="s">
        <v>554</v>
      </c>
      <c r="C289" s="21" t="s">
        <v>671</v>
      </c>
      <c r="D289" s="21" t="s">
        <v>708</v>
      </c>
    </row>
    <row r="290" spans="1:4" ht="17" customHeight="1">
      <c r="A290" t="str">
        <f>IF(ISNA(VLOOKUP(B288,Definitions!B$2:B$1604,1,FALSE)),"Not listed","")</f>
        <v/>
      </c>
      <c r="B290" s="26" t="s">
        <v>557</v>
      </c>
      <c r="C290" s="21" t="s">
        <v>671</v>
      </c>
      <c r="D290" s="21" t="s">
        <v>690</v>
      </c>
    </row>
    <row r="291" spans="1:4" ht="17" customHeight="1">
      <c r="A291" t="str">
        <f>IF(ISNA(VLOOKUP(B289,Definitions!B$2:B$1604,1,FALSE)),"Not listed","")</f>
        <v/>
      </c>
      <c r="B291" s="2" t="s">
        <v>560</v>
      </c>
      <c r="C291" s="4" t="s">
        <v>671</v>
      </c>
      <c r="D291" s="21" t="s">
        <v>693</v>
      </c>
    </row>
    <row r="292" spans="1:4" ht="17" customHeight="1">
      <c r="A292" t="str">
        <f>IF(ISNA(VLOOKUP([1]AssociatedElements!B292,Definitions!B$2:B$1604,1,FALSE)),"Not listed","")</f>
        <v/>
      </c>
      <c r="B292" s="2" t="s">
        <v>560</v>
      </c>
      <c r="C292" s="4" t="s">
        <v>671</v>
      </c>
      <c r="D292" s="21" t="s">
        <v>699</v>
      </c>
    </row>
    <row r="293" spans="1:4" ht="17" customHeight="1">
      <c r="A293" t="str">
        <f>IF(ISNA(VLOOKUP([1]AssociatedElements!B274,Definitions!B$2:B$1604,1,FALSE)),"Not listed","")</f>
        <v/>
      </c>
      <c r="B293" s="2" t="s">
        <v>560</v>
      </c>
      <c r="C293" s="4" t="s">
        <v>671</v>
      </c>
      <c r="D293" s="21" t="s">
        <v>752</v>
      </c>
    </row>
    <row r="294" spans="1:4" ht="17" customHeight="1">
      <c r="A294" t="str">
        <f>IF(ISNA(VLOOKUP(B292,Definitions!B$2:B$1604,1,FALSE)),"Not listed","")</f>
        <v/>
      </c>
      <c r="B294" s="2" t="s">
        <v>563</v>
      </c>
      <c r="C294" s="4" t="s">
        <v>671</v>
      </c>
      <c r="D294" s="21" t="s">
        <v>693</v>
      </c>
    </row>
    <row r="295" spans="1:4" ht="17" customHeight="1">
      <c r="A295" t="str">
        <f>IF(ISNA(VLOOKUP([1]AssociatedElements!B291,Definitions!B$2:B$1604,1,FALSE)),"Not listed","")</f>
        <v/>
      </c>
      <c r="B295" s="2" t="s">
        <v>563</v>
      </c>
      <c r="C295" s="4" t="s">
        <v>671</v>
      </c>
      <c r="D295" s="21" t="s">
        <v>699</v>
      </c>
    </row>
    <row r="296" spans="1:4" ht="17" customHeight="1">
      <c r="A296" t="str">
        <f>IF(ISNA(VLOOKUP([1]AssociatedElements!B275,Definitions!B$2:B$1604,1,FALSE)),"Not listed","")</f>
        <v/>
      </c>
      <c r="B296" s="2" t="s">
        <v>563</v>
      </c>
      <c r="C296" s="4" t="s">
        <v>671</v>
      </c>
      <c r="D296" s="21" t="s">
        <v>752</v>
      </c>
    </row>
    <row r="297" spans="1:4" ht="17" customHeight="1">
      <c r="A297" t="str">
        <f>IF(ISNA(VLOOKUP([1]AssociatedElements!B295,Definitions!B$2:B$1604,1,FALSE)),"Not listed","")</f>
        <v/>
      </c>
      <c r="B297" s="2" t="s">
        <v>593</v>
      </c>
      <c r="C297" s="4" t="s">
        <v>671</v>
      </c>
      <c r="D297" s="21" t="s">
        <v>695</v>
      </c>
    </row>
    <row r="298" spans="1:4" ht="17" customHeight="1">
      <c r="A298" t="str">
        <f>IF(ISNA(VLOOKUP([1]AssociatedElements!B296,Definitions!B$2:B$1604,1,FALSE)),"Not listed","")</f>
        <v/>
      </c>
      <c r="B298" s="2" t="s">
        <v>593</v>
      </c>
      <c r="C298" s="4" t="s">
        <v>671</v>
      </c>
      <c r="D298" s="21" t="s">
        <v>673</v>
      </c>
    </row>
    <row r="299" spans="1:4" ht="17" customHeight="1">
      <c r="A299" t="str">
        <f>IF(ISNA(VLOOKUP([1]AssociatedElements!B297,Definitions!B$2:B$1604,1,FALSE)),"Not listed","")</f>
        <v/>
      </c>
      <c r="B299" s="2" t="s">
        <v>595</v>
      </c>
      <c r="C299" s="4" t="s">
        <v>671</v>
      </c>
      <c r="D299" s="21" t="s">
        <v>695</v>
      </c>
    </row>
    <row r="300" spans="1:4" ht="17" customHeight="1">
      <c r="A300" t="str">
        <f>IF(ISNA(VLOOKUP([1]AssociatedElements!B298,Definitions!B$2:B$1604,1,FALSE)),"Not listed","")</f>
        <v/>
      </c>
      <c r="B300" s="2" t="s">
        <v>595</v>
      </c>
      <c r="C300" s="4" t="s">
        <v>671</v>
      </c>
      <c r="D300" s="21" t="s">
        <v>673</v>
      </c>
    </row>
    <row r="301" spans="1:4" ht="17" customHeight="1">
      <c r="A301" t="str">
        <f>IF(ISNA(VLOOKUP([1]AssociatedElements!B299,Definitions!B$2:B$1604,1,FALSE)),"Not listed","")</f>
        <v/>
      </c>
      <c r="B301" s="2" t="s">
        <v>597</v>
      </c>
      <c r="C301" s="4" t="s">
        <v>671</v>
      </c>
      <c r="D301" s="21" t="s">
        <v>695</v>
      </c>
    </row>
    <row r="302" spans="1:4" ht="17" customHeight="1">
      <c r="A302" t="str">
        <f>IF(ISNA(VLOOKUP([1]AssociatedElements!B300,Definitions!B$2:B$1604,1,FALSE)),"Not listed","")</f>
        <v/>
      </c>
      <c r="B302" s="2" t="s">
        <v>597</v>
      </c>
      <c r="C302" s="4" t="s">
        <v>671</v>
      </c>
      <c r="D302" s="21" t="s">
        <v>673</v>
      </c>
    </row>
    <row r="303" spans="1:4" ht="17" customHeight="1">
      <c r="A303" t="str">
        <f>IF(ISNA(VLOOKUP([1]AssociatedElements!B301,Definitions!B$2:B$1604,1,FALSE)),"Not listed","")</f>
        <v/>
      </c>
      <c r="B303" s="2" t="s">
        <v>600</v>
      </c>
      <c r="C303" s="4" t="s">
        <v>671</v>
      </c>
      <c r="D303" s="21" t="s">
        <v>695</v>
      </c>
    </row>
    <row r="304" spans="1:4" ht="17" customHeight="1">
      <c r="A304" t="str">
        <f>IF(ISNA(VLOOKUP([1]AssociatedElements!B302,Definitions!B$2:B$1604,1,FALSE)),"Not listed","")</f>
        <v/>
      </c>
      <c r="B304" s="2" t="s">
        <v>600</v>
      </c>
      <c r="C304" s="4" t="s">
        <v>671</v>
      </c>
      <c r="D304" s="21" t="s">
        <v>673</v>
      </c>
    </row>
    <row r="305" spans="1:4" ht="17" customHeight="1">
      <c r="A305" t="str">
        <f>IF(ISNA(VLOOKUP([1]AssociatedElements!B303,Definitions!B$2:B$1604,1,FALSE)),"Not listed","")</f>
        <v/>
      </c>
      <c r="B305" s="2" t="s">
        <v>603</v>
      </c>
      <c r="C305" s="4" t="s">
        <v>671</v>
      </c>
      <c r="D305" s="21" t="s">
        <v>695</v>
      </c>
    </row>
    <row r="306" spans="1:4" ht="17" customHeight="1">
      <c r="A306" t="str">
        <f>IF(ISNA(VLOOKUP([1]AssociatedElements!B304,Definitions!B$2:B$1604,1,FALSE)),"Not listed","")</f>
        <v/>
      </c>
      <c r="B306" s="2" t="s">
        <v>603</v>
      </c>
      <c r="C306" s="4" t="s">
        <v>671</v>
      </c>
      <c r="D306" s="21" t="s">
        <v>673</v>
      </c>
    </row>
    <row r="307" spans="1:4" ht="17" customHeight="1">
      <c r="A307" t="str">
        <f>IF(ISNA(VLOOKUP([1]AssociatedElements!B305,Definitions!B$2:B$1604,1,FALSE)),"Not listed","")</f>
        <v/>
      </c>
      <c r="B307" s="2" t="s">
        <v>606</v>
      </c>
      <c r="C307" s="4" t="s">
        <v>671</v>
      </c>
      <c r="D307" s="21" t="s">
        <v>695</v>
      </c>
    </row>
    <row r="308" spans="1:4" ht="17" customHeight="1">
      <c r="A308" t="str">
        <f>IF(ISNA(VLOOKUP([1]AssociatedElements!B306,Definitions!B$2:B$1604,1,FALSE)),"Not listed","")</f>
        <v/>
      </c>
      <c r="B308" s="2" t="s">
        <v>606</v>
      </c>
      <c r="C308" s="4" t="s">
        <v>671</v>
      </c>
      <c r="D308" s="21" t="s">
        <v>673</v>
      </c>
    </row>
    <row r="309" spans="1:4" ht="17" customHeight="1">
      <c r="A309" t="str">
        <f>IF(ISNA(VLOOKUP([1]AssociatedElements!B307,Definitions!B$2:B$1604,1,FALSE)),"Not listed","")</f>
        <v/>
      </c>
      <c r="B309" s="2" t="s">
        <v>609</v>
      </c>
      <c r="C309" s="4" t="s">
        <v>671</v>
      </c>
      <c r="D309" s="21" t="s">
        <v>695</v>
      </c>
    </row>
    <row r="310" spans="1:4" ht="17" customHeight="1">
      <c r="A310" t="str">
        <f>IF(ISNA(VLOOKUP([1]AssociatedElements!B308,Definitions!B$2:B$1604,1,FALSE)),"Not listed","")</f>
        <v/>
      </c>
      <c r="B310" s="2" t="s">
        <v>609</v>
      </c>
      <c r="C310" s="4" t="s">
        <v>671</v>
      </c>
      <c r="D310" s="21" t="s">
        <v>673</v>
      </c>
    </row>
    <row r="311" spans="1:4" ht="17" customHeight="1">
      <c r="A311" t="str">
        <f>IF(ISNA(VLOOKUP([1]AssociatedElements!B309,Definitions!B$2:B$1604,1,FALSE)),"Not listed","")</f>
        <v/>
      </c>
      <c r="B311" s="2" t="s">
        <v>612</v>
      </c>
      <c r="C311" s="4" t="s">
        <v>671</v>
      </c>
      <c r="D311" s="21" t="s">
        <v>695</v>
      </c>
    </row>
    <row r="312" spans="1:4" ht="17" customHeight="1">
      <c r="A312" t="str">
        <f>IF(ISNA(VLOOKUP([1]AssociatedElements!B310,Definitions!B$2:B$1604,1,FALSE)),"Not listed","")</f>
        <v/>
      </c>
      <c r="B312" s="2" t="s">
        <v>612</v>
      </c>
      <c r="C312" s="4" t="s">
        <v>671</v>
      </c>
      <c r="D312" s="21" t="s">
        <v>673</v>
      </c>
    </row>
    <row r="313" spans="1:4" ht="17" customHeight="1">
      <c r="A313" t="str">
        <f>IF(ISNA(VLOOKUP([1]AssociatedElements!B311,Definitions!B$2:B$1604,1,FALSE)),"Not listed","")</f>
        <v/>
      </c>
      <c r="B313" s="2" t="s">
        <v>615</v>
      </c>
      <c r="C313" s="4" t="s">
        <v>671</v>
      </c>
      <c r="D313" s="21" t="s">
        <v>695</v>
      </c>
    </row>
    <row r="314" spans="1:4" ht="17" customHeight="1">
      <c r="A314" t="str">
        <f>IF(ISNA(VLOOKUP([1]AssociatedElements!B312,Definitions!B$2:B$1604,1,FALSE)),"Not listed","")</f>
        <v/>
      </c>
      <c r="B314" s="2" t="s">
        <v>615</v>
      </c>
      <c r="C314" s="4" t="s">
        <v>671</v>
      </c>
      <c r="D314" s="21" t="s">
        <v>673</v>
      </c>
    </row>
    <row r="315" spans="1:4" ht="17">
      <c r="A315" t="str">
        <f>IF(ISNA(VLOOKUP([1]AssociatedElements!B313,Definitions!B$2:B$1604,1,FALSE)),"Not listed","")</f>
        <v/>
      </c>
      <c r="B315" s="2" t="s">
        <v>618</v>
      </c>
      <c r="C315" s="4" t="s">
        <v>671</v>
      </c>
      <c r="D315" s="21" t="s">
        <v>695</v>
      </c>
    </row>
    <row r="316" spans="1:4" ht="17">
      <c r="A316" t="str">
        <f>IF(ISNA(VLOOKUP([1]AssociatedElements!B314,Definitions!B$2:B$1604,1,FALSE)),"Not listed","")</f>
        <v/>
      </c>
      <c r="B316" s="2" t="s">
        <v>618</v>
      </c>
      <c r="C316" s="4" t="s">
        <v>671</v>
      </c>
      <c r="D316" s="21" t="s">
        <v>673</v>
      </c>
    </row>
    <row r="317" spans="1:4" ht="17">
      <c r="A317" t="str">
        <f>IF(ISNA(VLOOKUP([1]AssociatedElements!B315,Definitions!B$2:B$1604,1,FALSE)),"Not listed","")</f>
        <v/>
      </c>
      <c r="B317" s="14" t="s">
        <v>621</v>
      </c>
      <c r="C317" s="4" t="s">
        <v>671</v>
      </c>
      <c r="D317" s="21" t="s">
        <v>709</v>
      </c>
    </row>
    <row r="318" spans="1:4" ht="17">
      <c r="A318" t="str">
        <f>IF(ISNA(VLOOKUP([1]AssociatedElements!B316,Definitions!B$2:B$1604,1,FALSE)),"Not listed","")</f>
        <v/>
      </c>
      <c r="B318" s="14" t="s">
        <v>621</v>
      </c>
      <c r="C318" s="4" t="s">
        <v>671</v>
      </c>
      <c r="D318" s="21" t="s">
        <v>758</v>
      </c>
    </row>
    <row r="319" spans="1:4" ht="17">
      <c r="A319" t="str">
        <f>IF(ISNA(VLOOKUP([1]AssociatedElements!B317,Definitions!B$2:B$1604,1,FALSE)),"Not listed","")</f>
        <v/>
      </c>
      <c r="B319" s="14" t="s">
        <v>624</v>
      </c>
      <c r="C319" s="4" t="s">
        <v>671</v>
      </c>
      <c r="D319" s="21" t="s">
        <v>709</v>
      </c>
    </row>
    <row r="320" spans="1:4" ht="17">
      <c r="A320" t="str">
        <f>IF(ISNA(VLOOKUP([1]AssociatedElements!B318,Definitions!B$2:B$1604,1,FALSE)),"Not listed","")</f>
        <v/>
      </c>
      <c r="B320" s="14" t="s">
        <v>624</v>
      </c>
      <c r="C320" s="4" t="s">
        <v>671</v>
      </c>
      <c r="D320" s="21" t="s">
        <v>758</v>
      </c>
    </row>
    <row r="321" spans="1:4" ht="17">
      <c r="A321" t="str">
        <f>IF(ISNA(VLOOKUP([1]AssociatedElements!B319,Definitions!B$2:B$1604,1,FALSE)),"Not listed","")</f>
        <v/>
      </c>
      <c r="B321" s="14" t="s">
        <v>627</v>
      </c>
      <c r="C321" s="4" t="s">
        <v>671</v>
      </c>
      <c r="D321" s="21" t="s">
        <v>709</v>
      </c>
    </row>
    <row r="322" spans="1:4" ht="17">
      <c r="A322" t="str">
        <f>IF(ISNA(VLOOKUP([1]AssociatedElements!B320,Definitions!B$2:B$1604,1,FALSE)),"Not listed","")</f>
        <v/>
      </c>
      <c r="B322" s="14" t="s">
        <v>627</v>
      </c>
      <c r="C322" s="4" t="s">
        <v>671</v>
      </c>
      <c r="D322" s="21" t="s">
        <v>758</v>
      </c>
    </row>
    <row r="323" spans="1:4" ht="17">
      <c r="A323" t="str">
        <f>IF(ISNA(VLOOKUP([1]AssociatedElements!B321,Definitions!B$2:B$1604,1,FALSE)),"Not listed","")</f>
        <v/>
      </c>
      <c r="B323" s="14" t="s">
        <v>630</v>
      </c>
      <c r="C323" s="4" t="s">
        <v>671</v>
      </c>
      <c r="D323" s="21" t="s">
        <v>709</v>
      </c>
    </row>
    <row r="324" spans="1:4" ht="17">
      <c r="A324" t="str">
        <f>IF(ISNA(VLOOKUP([1]AssociatedElements!B322,Definitions!B$2:B$1604,1,FALSE)),"Not listed","")</f>
        <v/>
      </c>
      <c r="B324" s="14" t="s">
        <v>633</v>
      </c>
      <c r="C324" s="4" t="s">
        <v>671</v>
      </c>
      <c r="D324" s="21" t="s">
        <v>758</v>
      </c>
    </row>
    <row r="325" spans="1:4">
      <c r="A325" t="str">
        <f>IF(ISNA(VLOOKUP([1]AssociatedElements!B323,Definitions!B$2:B$1604,1,FALSE)),"Not listed","")</f>
        <v/>
      </c>
      <c r="B325" t="s">
        <v>636</v>
      </c>
      <c r="C325" t="s">
        <v>671</v>
      </c>
      <c r="D325" t="s">
        <v>759</v>
      </c>
    </row>
    <row r="326" spans="1:4">
      <c r="A326" t="str">
        <f>IF(ISNA(VLOOKUP([1]AssociatedElements!B324,Definitions!B$2:B$1604,1,FALSE)),"Not listed","")</f>
        <v/>
      </c>
      <c r="B326" t="s">
        <v>639</v>
      </c>
      <c r="C326" t="s">
        <v>671</v>
      </c>
      <c r="D326" t="s">
        <v>760</v>
      </c>
    </row>
    <row r="327" spans="1:4">
      <c r="A327" t="str">
        <f>IF(ISNA(VLOOKUP([1]AssociatedElements!B325,Definitions!B$2:B$1604,1,FALSE)),"Not listed","")</f>
        <v/>
      </c>
      <c r="B327" t="s">
        <v>639</v>
      </c>
      <c r="C327" t="s">
        <v>671</v>
      </c>
      <c r="D327" t="s">
        <v>761</v>
      </c>
    </row>
    <row r="328" spans="1:4">
      <c r="A328" t="str">
        <f>IF(ISNA(VLOOKUP([1]AssociatedElements!B326,Definitions!B$2:B$1604,1,FALSE)),"Not listed","")</f>
        <v/>
      </c>
      <c r="B328" t="s">
        <v>643</v>
      </c>
      <c r="C328" t="s">
        <v>671</v>
      </c>
      <c r="D328" t="s">
        <v>760</v>
      </c>
    </row>
    <row r="329" spans="1:4">
      <c r="A329" t="str">
        <f>IF(ISNA(VLOOKUP([1]AssociatedElements!B327,Definitions!B$2:B$1604,1,FALSE)),"Not listed","")</f>
        <v/>
      </c>
      <c r="B329" t="s">
        <v>643</v>
      </c>
      <c r="C329" t="s">
        <v>671</v>
      </c>
      <c r="D329" t="s">
        <v>761</v>
      </c>
    </row>
    <row r="330" spans="1:4">
      <c r="A330" t="str">
        <f>IF(ISNA(VLOOKUP([1]AssociatedElements!B328,Definitions!B$2:B$1604,1,FALSE)),"Not listed","")</f>
        <v/>
      </c>
      <c r="B330" t="s">
        <v>646</v>
      </c>
      <c r="C330" t="s">
        <v>671</v>
      </c>
      <c r="D330" t="s">
        <v>760</v>
      </c>
    </row>
    <row r="331" spans="1:4">
      <c r="A331" t="str">
        <f>IF(ISNA(VLOOKUP([1]AssociatedElements!B329,Definitions!B$2:B$1604,1,FALSE)),"Not listed","")</f>
        <v/>
      </c>
      <c r="B331" t="s">
        <v>646</v>
      </c>
      <c r="C331" t="s">
        <v>671</v>
      </c>
      <c r="D331" t="s">
        <v>761</v>
      </c>
    </row>
    <row r="332" spans="1:4">
      <c r="A332" t="str">
        <f>IF(ISNA(VLOOKUP([1]AssociatedElements!B330,Definitions!B$2:B$1604,1,FALSE)),"Not listed","")</f>
        <v/>
      </c>
      <c r="B332" t="s">
        <v>649</v>
      </c>
      <c r="C332" t="s">
        <v>671</v>
      </c>
      <c r="D332" t="s">
        <v>762</v>
      </c>
    </row>
    <row r="333" spans="1:4">
      <c r="A333" t="str">
        <f>IF(ISNA(VLOOKUP([1]AssociatedElements!B331,Definitions!B$2:B$1604,1,FALSE)),"Not listed","")</f>
        <v/>
      </c>
      <c r="B333" t="s">
        <v>652</v>
      </c>
      <c r="C333" t="s">
        <v>671</v>
      </c>
      <c r="D333" t="s">
        <v>763</v>
      </c>
    </row>
    <row r="334" spans="1:4">
      <c r="A334" t="str">
        <f>IF(ISNA(VLOOKUP([1]AssociatedElements!B332,Definitions!B$2:B$1604,1,FALSE)),"Not listed","")</f>
        <v/>
      </c>
      <c r="B334" t="s">
        <v>498</v>
      </c>
      <c r="C334" t="s">
        <v>671</v>
      </c>
      <c r="D334" t="s">
        <v>763</v>
      </c>
    </row>
    <row r="335" spans="1:4">
      <c r="A335" t="str">
        <f>IF(ISNA(VLOOKUP([1]AssociatedElements!B333,Definitions!B$2:B$1604,1,FALSE)),"Not listed","")</f>
        <v/>
      </c>
      <c r="B335" t="s">
        <v>655</v>
      </c>
      <c r="C335" t="s">
        <v>671</v>
      </c>
      <c r="D335" t="s">
        <v>764</v>
      </c>
    </row>
    <row r="336" spans="1:4">
      <c r="A336" t="str">
        <f>IF(ISNA(VLOOKUP([1]AssociatedElements!B334,Definitions!B$2:B$1604,1,FALSE)),"Not listed","")</f>
        <v/>
      </c>
      <c r="B336" t="s">
        <v>658</v>
      </c>
      <c r="C336" t="s">
        <v>671</v>
      </c>
      <c r="D336" t="s">
        <v>692</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topLeftCell="A123" zoomScale="130" zoomScaleNormal="130" workbookViewId="0">
      <selection activeCell="E150" sqref="E150"/>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4</v>
      </c>
      <c r="B1" t="s">
        <v>765</v>
      </c>
      <c r="C1" t="s">
        <v>5</v>
      </c>
      <c r="D1" t="s">
        <v>766</v>
      </c>
    </row>
    <row r="2" spans="1:10">
      <c r="B2" t="s">
        <v>767</v>
      </c>
      <c r="C2" t="s">
        <v>768</v>
      </c>
      <c r="E2" t="str">
        <f t="shared" ref="E2:E33" si="0">VLOOKUP(C2,J$2:J$300,1,FALSE)</f>
        <v>absorbed dose</v>
      </c>
      <c r="F2" t="str">
        <f t="shared" ref="F2:F33" si="1">SUBSTITUTE(PROPER(LOWER(C2))," ","")</f>
        <v>AbsorbedDose</v>
      </c>
      <c r="J2" t="s">
        <v>769</v>
      </c>
    </row>
    <row r="3" spans="1:10">
      <c r="B3" t="s">
        <v>770</v>
      </c>
      <c r="C3" t="s">
        <v>771</v>
      </c>
      <c r="E3" t="str">
        <f t="shared" si="0"/>
        <v>activity [of radioactivity]</v>
      </c>
      <c r="F3" t="str">
        <f t="shared" si="1"/>
        <v>Activity[OfRadioactivity]</v>
      </c>
      <c r="J3" t="s">
        <v>772</v>
      </c>
    </row>
    <row r="4" spans="1:10">
      <c r="B4" s="9" t="s">
        <v>334</v>
      </c>
      <c r="C4" t="s">
        <v>773</v>
      </c>
      <c r="E4" t="str">
        <f t="shared" si="0"/>
        <v>amount of substance</v>
      </c>
      <c r="F4" t="str">
        <f t="shared" si="1"/>
        <v>AmountOfSubstance</v>
      </c>
      <c r="J4" t="s">
        <v>774</v>
      </c>
    </row>
    <row r="5" spans="1:10">
      <c r="B5" s="9" t="s">
        <v>775</v>
      </c>
      <c r="C5" t="s">
        <v>88</v>
      </c>
      <c r="E5" t="str">
        <f t="shared" si="0"/>
        <v>amount of substance per amount of substance</v>
      </c>
      <c r="F5" t="str">
        <f t="shared" si="1"/>
        <v>AmountOfSubstancePerAmountOfSubstance</v>
      </c>
      <c r="J5" t="s">
        <v>776</v>
      </c>
    </row>
    <row r="6" spans="1:10">
      <c r="B6" t="s">
        <v>777</v>
      </c>
      <c r="C6" t="s">
        <v>778</v>
      </c>
      <c r="E6" t="str">
        <f t="shared" si="0"/>
        <v>amount of substance per area</v>
      </c>
      <c r="F6" t="str">
        <f t="shared" si="1"/>
        <v>AmountOfSubstancePerArea</v>
      </c>
      <c r="J6" t="s">
        <v>779</v>
      </c>
    </row>
    <row r="7" spans="1:10">
      <c r="B7" t="s">
        <v>780</v>
      </c>
      <c r="C7" t="s">
        <v>781</v>
      </c>
      <c r="D7" t="s">
        <v>782</v>
      </c>
      <c r="E7" t="e">
        <f t="shared" si="0"/>
        <v>#N/A</v>
      </c>
      <c r="F7" t="str">
        <f t="shared" si="1"/>
        <v>AmountOfSubstancePerMass</v>
      </c>
      <c r="J7" t="s">
        <v>783</v>
      </c>
    </row>
    <row r="8" spans="1:10">
      <c r="B8" t="s">
        <v>784</v>
      </c>
      <c r="C8" t="s">
        <v>785</v>
      </c>
      <c r="E8" t="str">
        <f t="shared" si="0"/>
        <v>amount of substance per time</v>
      </c>
      <c r="F8" t="str">
        <f t="shared" si="1"/>
        <v>AmountOfSubstancePerTime</v>
      </c>
      <c r="J8" t="s">
        <v>786</v>
      </c>
    </row>
    <row r="9" spans="1:10">
      <c r="B9" s="9" t="s">
        <v>13</v>
      </c>
      <c r="C9" t="s">
        <v>769</v>
      </c>
      <c r="E9" t="str">
        <f t="shared" si="0"/>
        <v>(amount of substance per time) per area</v>
      </c>
      <c r="F9" t="str">
        <f t="shared" si="1"/>
        <v>(AmountOfSubstancePerTime)PerArea</v>
      </c>
      <c r="J9" t="s">
        <v>787</v>
      </c>
    </row>
    <row r="10" spans="1:10">
      <c r="B10" t="s">
        <v>788</v>
      </c>
      <c r="C10" t="s">
        <v>789</v>
      </c>
      <c r="E10" t="str">
        <f t="shared" si="0"/>
        <v>amount of substance per volume</v>
      </c>
      <c r="F10" t="str">
        <f t="shared" si="1"/>
        <v>AmountOfSubstancePerVolume</v>
      </c>
      <c r="J10" t="s">
        <v>790</v>
      </c>
    </row>
    <row r="11" spans="1:10">
      <c r="B11" s="9" t="s">
        <v>791</v>
      </c>
      <c r="C11" t="s">
        <v>792</v>
      </c>
      <c r="E11" t="str">
        <f t="shared" si="0"/>
        <v>angle per length</v>
      </c>
      <c r="F11" t="str">
        <f t="shared" si="1"/>
        <v>AnglePerLength</v>
      </c>
      <c r="J11" t="s">
        <v>793</v>
      </c>
    </row>
    <row r="12" spans="1:10">
      <c r="B12" t="s">
        <v>794</v>
      </c>
      <c r="C12" t="s">
        <v>795</v>
      </c>
      <c r="E12" t="str">
        <f t="shared" si="0"/>
        <v>angle per volume</v>
      </c>
      <c r="F12" t="str">
        <f t="shared" si="1"/>
        <v>AnglePerVolume</v>
      </c>
      <c r="J12" t="s">
        <v>796</v>
      </c>
    </row>
    <row r="13" spans="1:10">
      <c r="B13" t="s">
        <v>797</v>
      </c>
      <c r="C13" t="s">
        <v>798</v>
      </c>
      <c r="E13" t="str">
        <f t="shared" si="0"/>
        <v>angular acceleration</v>
      </c>
      <c r="F13" t="str">
        <f t="shared" si="1"/>
        <v>AngularAcceleration</v>
      </c>
      <c r="J13" t="s">
        <v>799</v>
      </c>
    </row>
    <row r="14" spans="1:10">
      <c r="B14" t="s">
        <v>800</v>
      </c>
      <c r="C14" t="s">
        <v>801</v>
      </c>
      <c r="E14" t="str">
        <f t="shared" si="0"/>
        <v>angular velocity</v>
      </c>
      <c r="F14" t="str">
        <f t="shared" si="1"/>
        <v>AngularVelocity</v>
      </c>
      <c r="J14" t="s">
        <v>802</v>
      </c>
    </row>
    <row r="15" spans="1:10">
      <c r="B15" t="s">
        <v>803</v>
      </c>
      <c r="C15" t="s">
        <v>804</v>
      </c>
      <c r="E15" t="str">
        <f t="shared" si="0"/>
        <v>API gamma ray</v>
      </c>
      <c r="F15" t="str">
        <f t="shared" si="1"/>
        <v>ApiGammaRay</v>
      </c>
      <c r="J15" t="s">
        <v>805</v>
      </c>
    </row>
    <row r="16" spans="1:10">
      <c r="B16" t="s">
        <v>806</v>
      </c>
      <c r="C16" t="s">
        <v>807</v>
      </c>
      <c r="E16" t="str">
        <f t="shared" si="0"/>
        <v>API gravity</v>
      </c>
      <c r="F16" t="str">
        <f t="shared" si="1"/>
        <v>ApiGravity</v>
      </c>
      <c r="J16" t="s">
        <v>808</v>
      </c>
    </row>
    <row r="17" spans="2:10">
      <c r="B17" t="s">
        <v>809</v>
      </c>
      <c r="C17" t="s">
        <v>810</v>
      </c>
      <c r="E17" t="str">
        <f t="shared" si="0"/>
        <v>API neutron</v>
      </c>
      <c r="F17" t="str">
        <f t="shared" si="1"/>
        <v>ApiNeutron</v>
      </c>
      <c r="J17" t="s">
        <v>768</v>
      </c>
    </row>
    <row r="18" spans="2:10">
      <c r="B18" t="s">
        <v>45</v>
      </c>
      <c r="C18" t="s">
        <v>811</v>
      </c>
      <c r="E18" t="str">
        <f t="shared" si="0"/>
        <v>area</v>
      </c>
      <c r="F18" t="str">
        <f t="shared" si="1"/>
        <v>Area</v>
      </c>
      <c r="J18" t="s">
        <v>771</v>
      </c>
    </row>
    <row r="19" spans="2:10">
      <c r="B19" t="s">
        <v>812</v>
      </c>
      <c r="C19" t="s">
        <v>813</v>
      </c>
      <c r="E19" t="str">
        <f t="shared" si="0"/>
        <v>area per amount of substance</v>
      </c>
      <c r="F19" t="str">
        <f t="shared" si="1"/>
        <v>AreaPerAmountOfSubstance</v>
      </c>
      <c r="J19" t="s">
        <v>773</v>
      </c>
    </row>
    <row r="20" spans="2:10">
      <c r="B20" s="9" t="s">
        <v>814</v>
      </c>
      <c r="C20" t="s">
        <v>815</v>
      </c>
      <c r="E20" t="str">
        <f t="shared" si="0"/>
        <v>area per area</v>
      </c>
      <c r="F20" t="str">
        <f t="shared" si="1"/>
        <v>AreaPerArea</v>
      </c>
      <c r="J20" t="s">
        <v>88</v>
      </c>
    </row>
    <row r="21" spans="2:10">
      <c r="B21" t="s">
        <v>816</v>
      </c>
      <c r="C21" t="s">
        <v>817</v>
      </c>
      <c r="D21" t="s">
        <v>818</v>
      </c>
      <c r="E21" t="e">
        <f t="shared" si="0"/>
        <v>#N/A</v>
      </c>
      <c r="F21" t="str">
        <f t="shared" si="1"/>
        <v>AreaPerCount</v>
      </c>
      <c r="J21" t="s">
        <v>778</v>
      </c>
    </row>
    <row r="22" spans="2:10">
      <c r="B22" t="s">
        <v>819</v>
      </c>
      <c r="C22" t="s">
        <v>820</v>
      </c>
      <c r="E22" t="str">
        <f t="shared" si="0"/>
        <v>area per mass</v>
      </c>
      <c r="F22" t="str">
        <f t="shared" si="1"/>
        <v>AreaPerMass</v>
      </c>
      <c r="J22" t="s">
        <v>785</v>
      </c>
    </row>
    <row r="23" spans="2:10">
      <c r="B23" t="s">
        <v>821</v>
      </c>
      <c r="C23" t="s">
        <v>98</v>
      </c>
      <c r="E23" t="str">
        <f t="shared" si="0"/>
        <v>area per time</v>
      </c>
      <c r="F23" t="str">
        <f t="shared" si="1"/>
        <v>AreaPerTime</v>
      </c>
      <c r="J23" t="s">
        <v>789</v>
      </c>
    </row>
    <row r="24" spans="2:10">
      <c r="B24" t="s">
        <v>822</v>
      </c>
      <c r="C24" t="s">
        <v>823</v>
      </c>
      <c r="E24" t="str">
        <f t="shared" si="0"/>
        <v>area per volume</v>
      </c>
      <c r="F24" t="str">
        <f t="shared" si="1"/>
        <v>AreaPerVolume</v>
      </c>
      <c r="J24" t="s">
        <v>792</v>
      </c>
    </row>
    <row r="25" spans="2:10">
      <c r="B25" t="s">
        <v>824</v>
      </c>
      <c r="C25" t="s">
        <v>825</v>
      </c>
      <c r="E25" t="str">
        <f t="shared" si="0"/>
        <v>attenuation per frequency interval</v>
      </c>
      <c r="F25" t="str">
        <f t="shared" si="1"/>
        <v>AttenuationPerFrequencyInterval</v>
      </c>
      <c r="J25" t="s">
        <v>795</v>
      </c>
    </row>
    <row r="26" spans="2:10">
      <c r="B26" t="s">
        <v>826</v>
      </c>
      <c r="C26" t="s">
        <v>827</v>
      </c>
      <c r="E26" t="str">
        <f t="shared" si="0"/>
        <v>capacitance</v>
      </c>
      <c r="F26" t="str">
        <f t="shared" si="1"/>
        <v>Capacitance</v>
      </c>
      <c r="J26" t="s">
        <v>798</v>
      </c>
    </row>
    <row r="27" spans="2:10">
      <c r="B27" s="9" t="s">
        <v>18</v>
      </c>
      <c r="C27" t="s">
        <v>828</v>
      </c>
      <c r="E27" t="str">
        <f t="shared" si="0"/>
        <v>data transfer speed</v>
      </c>
      <c r="F27" t="str">
        <f t="shared" si="1"/>
        <v>DataTransferSpeed</v>
      </c>
      <c r="J27" t="s">
        <v>801</v>
      </c>
    </row>
    <row r="28" spans="2:10">
      <c r="B28" s="9" t="s">
        <v>18</v>
      </c>
      <c r="C28" t="s">
        <v>829</v>
      </c>
      <c r="E28" t="str">
        <f t="shared" si="0"/>
        <v>diffusion coefficient</v>
      </c>
      <c r="F28" t="str">
        <f t="shared" si="1"/>
        <v>DiffusionCoefficient</v>
      </c>
      <c r="J28" t="s">
        <v>811</v>
      </c>
    </row>
    <row r="29" spans="2:10">
      <c r="B29" t="s">
        <v>168</v>
      </c>
      <c r="C29" t="s">
        <v>830</v>
      </c>
      <c r="D29" t="s">
        <v>818</v>
      </c>
      <c r="E29" t="e">
        <f t="shared" si="0"/>
        <v>#N/A</v>
      </c>
      <c r="F29" t="str">
        <f t="shared" si="1"/>
        <v>DiffusiveTimeOfFlight</v>
      </c>
      <c r="J29" t="s">
        <v>813</v>
      </c>
    </row>
    <row r="30" spans="2:10">
      <c r="B30" t="s">
        <v>831</v>
      </c>
      <c r="C30" t="s">
        <v>832</v>
      </c>
      <c r="E30" t="str">
        <f t="shared" si="0"/>
        <v>digital storage</v>
      </c>
      <c r="F30" t="str">
        <f t="shared" si="1"/>
        <v>DigitalStorage</v>
      </c>
      <c r="J30" t="s">
        <v>815</v>
      </c>
    </row>
    <row r="31" spans="2:10">
      <c r="B31" t="s">
        <v>833</v>
      </c>
      <c r="C31" t="s">
        <v>68</v>
      </c>
      <c r="E31" t="str">
        <f t="shared" si="0"/>
        <v>dimensionless</v>
      </c>
      <c r="F31" t="str">
        <f t="shared" si="1"/>
        <v>Dimensionless</v>
      </c>
      <c r="J31" t="s">
        <v>820</v>
      </c>
    </row>
    <row r="32" spans="2:10">
      <c r="B32" t="s">
        <v>834</v>
      </c>
      <c r="C32" t="s">
        <v>835</v>
      </c>
      <c r="E32" t="str">
        <f t="shared" si="0"/>
        <v>dipole moment</v>
      </c>
      <c r="F32" t="str">
        <f t="shared" si="1"/>
        <v>DipoleMoment</v>
      </c>
      <c r="J32" t="s">
        <v>98</v>
      </c>
    </row>
    <row r="33" spans="2:10">
      <c r="B33" t="s">
        <v>836</v>
      </c>
      <c r="C33" t="s">
        <v>837</v>
      </c>
      <c r="E33" t="str">
        <f t="shared" si="0"/>
        <v>dose equivalent</v>
      </c>
      <c r="F33" t="str">
        <f t="shared" si="1"/>
        <v>DoseEquivalent</v>
      </c>
      <c r="J33" t="s">
        <v>823</v>
      </c>
    </row>
    <row r="34" spans="2:10">
      <c r="B34" t="s">
        <v>838</v>
      </c>
      <c r="C34" t="s">
        <v>839</v>
      </c>
      <c r="E34" t="str">
        <f t="shared" ref="E34:E65" si="2">VLOOKUP(C34,J$2:J$300,1,FALSE)</f>
        <v>dynamic viscosity</v>
      </c>
      <c r="F34" t="str">
        <f t="shared" ref="F34:F65" si="3">SUBSTITUTE(PROPER(LOWER(C34))," ","")</f>
        <v>DynamicViscosity</v>
      </c>
      <c r="J34" t="s">
        <v>825</v>
      </c>
    </row>
    <row r="35" spans="2:10">
      <c r="B35" s="9" t="s">
        <v>840</v>
      </c>
      <c r="C35" t="s">
        <v>841</v>
      </c>
      <c r="E35" t="str">
        <f t="shared" si="2"/>
        <v>electric charge</v>
      </c>
      <c r="F35" t="str">
        <f t="shared" si="3"/>
        <v>ElectricCharge</v>
      </c>
      <c r="J35" t="s">
        <v>827</v>
      </c>
    </row>
    <row r="36" spans="2:10">
      <c r="C36" t="s">
        <v>842</v>
      </c>
      <c r="E36" t="str">
        <f t="shared" si="2"/>
        <v>electric charge per area</v>
      </c>
      <c r="F36" t="str">
        <f t="shared" si="3"/>
        <v>ElectricChargePerArea</v>
      </c>
      <c r="J36" t="s">
        <v>828</v>
      </c>
    </row>
    <row r="37" spans="2:10">
      <c r="C37" t="s">
        <v>843</v>
      </c>
      <c r="E37" t="str">
        <f t="shared" si="2"/>
        <v>electric charge per mass</v>
      </c>
      <c r="F37" t="str">
        <f t="shared" si="3"/>
        <v>ElectricChargePerMass</v>
      </c>
      <c r="J37" t="s">
        <v>829</v>
      </c>
    </row>
    <row r="38" spans="2:10">
      <c r="C38" t="s">
        <v>844</v>
      </c>
      <c r="E38" t="str">
        <f t="shared" si="2"/>
        <v>electric charge per volume</v>
      </c>
      <c r="F38" t="str">
        <f t="shared" si="3"/>
        <v>ElectricChargePerVolume</v>
      </c>
      <c r="J38" t="s">
        <v>832</v>
      </c>
    </row>
    <row r="39" spans="2:10">
      <c r="C39" t="s">
        <v>845</v>
      </c>
      <c r="E39" t="str">
        <f t="shared" si="2"/>
        <v>electric conductance</v>
      </c>
      <c r="F39" t="str">
        <f t="shared" si="3"/>
        <v>ElectricConductance</v>
      </c>
      <c r="J39" t="s">
        <v>68</v>
      </c>
    </row>
    <row r="40" spans="2:10">
      <c r="C40" t="s">
        <v>142</v>
      </c>
      <c r="E40" t="str">
        <f t="shared" si="2"/>
        <v>electric conductivity</v>
      </c>
      <c r="F40" t="str">
        <f t="shared" si="3"/>
        <v>ElectricConductivity</v>
      </c>
      <c r="J40" t="s">
        <v>835</v>
      </c>
    </row>
    <row r="41" spans="2:10">
      <c r="C41" t="s">
        <v>846</v>
      </c>
      <c r="E41" t="str">
        <f t="shared" si="2"/>
        <v>electric current</v>
      </c>
      <c r="F41" t="str">
        <f t="shared" si="3"/>
        <v>ElectricCurrent</v>
      </c>
      <c r="J41" t="s">
        <v>837</v>
      </c>
    </row>
    <row r="42" spans="2:10">
      <c r="C42" t="s">
        <v>847</v>
      </c>
      <c r="E42" t="str">
        <f t="shared" si="2"/>
        <v>electric current density</v>
      </c>
      <c r="F42" t="str">
        <f t="shared" si="3"/>
        <v>ElectricCurrentDensity</v>
      </c>
      <c r="J42" t="s">
        <v>839</v>
      </c>
    </row>
    <row r="43" spans="2:10">
      <c r="C43" t="s">
        <v>848</v>
      </c>
      <c r="E43" t="str">
        <f t="shared" si="2"/>
        <v>electric field strength</v>
      </c>
      <c r="F43" t="str">
        <f t="shared" si="3"/>
        <v>ElectricFieldStrength</v>
      </c>
      <c r="J43" t="s">
        <v>841</v>
      </c>
    </row>
    <row r="44" spans="2:10">
      <c r="C44" t="s">
        <v>235</v>
      </c>
      <c r="E44" t="str">
        <f t="shared" si="2"/>
        <v>electric potential difference</v>
      </c>
      <c r="F44" t="str">
        <f t="shared" si="3"/>
        <v>ElectricPotentialDifference</v>
      </c>
      <c r="J44" t="s">
        <v>842</v>
      </c>
    </row>
    <row r="45" spans="2:10">
      <c r="C45" t="s">
        <v>849</v>
      </c>
      <c r="E45" t="str">
        <f t="shared" si="2"/>
        <v>electric resistance</v>
      </c>
      <c r="F45" t="str">
        <f t="shared" si="3"/>
        <v>ElectricResistance</v>
      </c>
      <c r="J45" t="s">
        <v>843</v>
      </c>
    </row>
    <row r="46" spans="2:10">
      <c r="C46" t="s">
        <v>850</v>
      </c>
      <c r="E46" t="str">
        <f t="shared" si="2"/>
        <v>electric resistance per length</v>
      </c>
      <c r="F46" t="str">
        <f t="shared" si="3"/>
        <v>ElectricResistancePerLength</v>
      </c>
      <c r="J46" t="s">
        <v>844</v>
      </c>
    </row>
    <row r="47" spans="2:10">
      <c r="C47" t="s">
        <v>421</v>
      </c>
      <c r="E47" t="str">
        <f t="shared" si="2"/>
        <v>electrical resistivity</v>
      </c>
      <c r="F47" t="str">
        <f t="shared" si="3"/>
        <v>ElectricalResistivity</v>
      </c>
      <c r="J47" t="s">
        <v>845</v>
      </c>
    </row>
    <row r="48" spans="2:10">
      <c r="C48" t="s">
        <v>851</v>
      </c>
      <c r="E48" t="str">
        <f t="shared" si="2"/>
        <v>electromagnetic moment</v>
      </c>
      <c r="F48" t="str">
        <f t="shared" si="3"/>
        <v>ElectromagneticMoment</v>
      </c>
      <c r="J48" t="s">
        <v>142</v>
      </c>
    </row>
    <row r="49" spans="3:10">
      <c r="C49" t="s">
        <v>852</v>
      </c>
      <c r="E49" t="str">
        <f t="shared" si="2"/>
        <v>energy</v>
      </c>
      <c r="F49" t="str">
        <f t="shared" si="3"/>
        <v>Energy</v>
      </c>
      <c r="J49" t="s">
        <v>846</v>
      </c>
    </row>
    <row r="50" spans="3:10">
      <c r="C50" t="s">
        <v>853</v>
      </c>
      <c r="E50" t="str">
        <f t="shared" si="2"/>
        <v>energy length per area</v>
      </c>
      <c r="F50" t="str">
        <f t="shared" si="3"/>
        <v>EnergyLengthPerArea</v>
      </c>
      <c r="J50" t="s">
        <v>847</v>
      </c>
    </row>
    <row r="51" spans="3:10">
      <c r="C51" t="s">
        <v>854</v>
      </c>
      <c r="E51" t="str">
        <f t="shared" si="2"/>
        <v>energy length per time area temperature</v>
      </c>
      <c r="F51" t="str">
        <f t="shared" si="3"/>
        <v>EnergyLengthPerTimeAreaTemperature</v>
      </c>
      <c r="J51" t="s">
        <v>848</v>
      </c>
    </row>
    <row r="52" spans="3:10">
      <c r="C52" t="s">
        <v>855</v>
      </c>
      <c r="E52" t="str">
        <f t="shared" si="2"/>
        <v>energy per area</v>
      </c>
      <c r="F52" t="str">
        <f t="shared" si="3"/>
        <v>EnergyPerArea</v>
      </c>
      <c r="J52" t="s">
        <v>235</v>
      </c>
    </row>
    <row r="53" spans="3:10">
      <c r="C53" t="s">
        <v>856</v>
      </c>
      <c r="E53" t="str">
        <f t="shared" si="2"/>
        <v>energy per length</v>
      </c>
      <c r="F53" t="str">
        <f t="shared" si="3"/>
        <v>EnergyPerLength</v>
      </c>
      <c r="J53" t="s">
        <v>849</v>
      </c>
    </row>
    <row r="54" spans="3:10">
      <c r="C54" t="s">
        <v>857</v>
      </c>
      <c r="E54" t="str">
        <f t="shared" si="2"/>
        <v>energy per mass</v>
      </c>
      <c r="F54" t="str">
        <f t="shared" si="3"/>
        <v>EnergyPerMass</v>
      </c>
      <c r="J54" t="s">
        <v>850</v>
      </c>
    </row>
    <row r="55" spans="3:10">
      <c r="C55" t="s">
        <v>772</v>
      </c>
      <c r="E55" t="str">
        <f t="shared" si="2"/>
        <v>(energy per mass) per time</v>
      </c>
      <c r="F55" t="str">
        <f t="shared" si="3"/>
        <v>(EnergyPerMass)PerTime</v>
      </c>
      <c r="J55" t="s">
        <v>421</v>
      </c>
    </row>
    <row r="56" spans="3:10">
      <c r="C56" t="s">
        <v>858</v>
      </c>
      <c r="E56" t="str">
        <f t="shared" si="2"/>
        <v>energy per volume</v>
      </c>
      <c r="F56" t="str">
        <f t="shared" si="3"/>
        <v>EnergyPerVolume</v>
      </c>
      <c r="J56" t="s">
        <v>851</v>
      </c>
    </row>
    <row r="57" spans="3:10">
      <c r="C57" t="s">
        <v>511</v>
      </c>
      <c r="E57" t="str">
        <f t="shared" si="2"/>
        <v>force</v>
      </c>
      <c r="F57" t="str">
        <f t="shared" si="3"/>
        <v>Force</v>
      </c>
      <c r="J57" t="s">
        <v>852</v>
      </c>
    </row>
    <row r="58" spans="3:10">
      <c r="C58" t="s">
        <v>859</v>
      </c>
      <c r="E58" t="str">
        <f t="shared" si="2"/>
        <v>force area</v>
      </c>
      <c r="F58" t="str">
        <f t="shared" si="3"/>
        <v>ForceArea</v>
      </c>
      <c r="J58" t="s">
        <v>853</v>
      </c>
    </row>
    <row r="59" spans="3:10">
      <c r="C59" t="s">
        <v>860</v>
      </c>
      <c r="E59" t="str">
        <f t="shared" si="2"/>
        <v>force length per length</v>
      </c>
      <c r="F59" t="str">
        <f t="shared" si="3"/>
        <v>ForceLengthPerLength</v>
      </c>
      <c r="J59" t="s">
        <v>854</v>
      </c>
    </row>
    <row r="60" spans="3:10">
      <c r="C60" t="s">
        <v>72</v>
      </c>
      <c r="D60" t="s">
        <v>861</v>
      </c>
      <c r="E60" t="e">
        <f t="shared" si="2"/>
        <v>#N/A</v>
      </c>
      <c r="F60" t="str">
        <f t="shared" si="3"/>
        <v>ForceOrMassPerVolume</v>
      </c>
      <c r="J60" t="s">
        <v>855</v>
      </c>
    </row>
    <row r="61" spans="3:10">
      <c r="C61" t="s">
        <v>34</v>
      </c>
      <c r="E61" t="str">
        <f t="shared" si="2"/>
        <v>force per force</v>
      </c>
      <c r="F61" t="str">
        <f t="shared" si="3"/>
        <v>ForcePerForce</v>
      </c>
      <c r="J61" t="s">
        <v>856</v>
      </c>
    </row>
    <row r="62" spans="3:10">
      <c r="C62" t="s">
        <v>862</v>
      </c>
      <c r="E62" t="str">
        <f t="shared" si="2"/>
        <v>force per length</v>
      </c>
      <c r="F62" t="str">
        <f t="shared" si="3"/>
        <v>ForcePerLength</v>
      </c>
      <c r="J62" t="s">
        <v>857</v>
      </c>
    </row>
    <row r="63" spans="3:10">
      <c r="C63" t="s">
        <v>642</v>
      </c>
      <c r="E63" t="str">
        <f t="shared" si="2"/>
        <v>force per volume</v>
      </c>
      <c r="F63" t="str">
        <f t="shared" si="3"/>
        <v>ForcePerVolume</v>
      </c>
      <c r="J63" t="s">
        <v>858</v>
      </c>
    </row>
    <row r="64" spans="3:10">
      <c r="C64" t="s">
        <v>863</v>
      </c>
      <c r="E64" t="str">
        <f t="shared" si="2"/>
        <v>frequency</v>
      </c>
      <c r="F64" t="str">
        <f t="shared" si="3"/>
        <v>Frequency</v>
      </c>
      <c r="J64" t="s">
        <v>511</v>
      </c>
    </row>
    <row r="65" spans="3:10">
      <c r="C65" t="s">
        <v>864</v>
      </c>
      <c r="E65" t="str">
        <f t="shared" si="2"/>
        <v>frequency interval</v>
      </c>
      <c r="F65" t="str">
        <f t="shared" si="3"/>
        <v>FrequencyInterval</v>
      </c>
      <c r="J65" t="s">
        <v>859</v>
      </c>
    </row>
    <row r="66" spans="3:10">
      <c r="C66" t="s">
        <v>865</v>
      </c>
      <c r="D66" t="s">
        <v>866</v>
      </c>
      <c r="E66" t="e">
        <f t="shared" ref="E66:E97" si="4">VLOOKUP(C66,J$2:J$300,1,FALSE)</f>
        <v>#N/A</v>
      </c>
      <c r="F66" t="str">
        <f t="shared" ref="F66:F97" si="5">SUBSTITUTE(PROPER(LOWER(C66))," ","")</f>
        <v>GravitationalGradient</v>
      </c>
      <c r="J66" t="s">
        <v>860</v>
      </c>
    </row>
    <row r="67" spans="3:10">
      <c r="C67" t="s">
        <v>867</v>
      </c>
      <c r="E67" t="str">
        <f t="shared" si="4"/>
        <v>heat capacity</v>
      </c>
      <c r="F67" t="str">
        <f t="shared" si="5"/>
        <v>HeatCapacity</v>
      </c>
      <c r="J67" t="s">
        <v>34</v>
      </c>
    </row>
    <row r="68" spans="3:10">
      <c r="C68" t="s">
        <v>868</v>
      </c>
      <c r="E68" t="str">
        <f t="shared" si="4"/>
        <v>heat flow rate</v>
      </c>
      <c r="F68" t="str">
        <f t="shared" si="5"/>
        <v>HeatFlowRate</v>
      </c>
      <c r="J68" t="s">
        <v>862</v>
      </c>
    </row>
    <row r="69" spans="3:10">
      <c r="C69" t="s">
        <v>869</v>
      </c>
      <c r="E69" t="str">
        <f t="shared" si="4"/>
        <v>heat transfer coefficient</v>
      </c>
      <c r="F69" t="str">
        <f t="shared" si="5"/>
        <v>HeatTransferCoefficient</v>
      </c>
      <c r="J69" t="s">
        <v>642</v>
      </c>
    </row>
    <row r="70" spans="3:10">
      <c r="C70" t="s">
        <v>870</v>
      </c>
      <c r="E70" t="str">
        <f t="shared" si="4"/>
        <v>illuminance</v>
      </c>
      <c r="F70" t="str">
        <f t="shared" si="5"/>
        <v>Illuminance</v>
      </c>
      <c r="J70" t="s">
        <v>863</v>
      </c>
    </row>
    <row r="71" spans="3:10">
      <c r="C71" t="s">
        <v>871</v>
      </c>
      <c r="E71" t="str">
        <f t="shared" si="4"/>
        <v>inductance</v>
      </c>
      <c r="F71" t="str">
        <f t="shared" si="5"/>
        <v>Inductance</v>
      </c>
      <c r="J71" t="s">
        <v>864</v>
      </c>
    </row>
    <row r="72" spans="3:10">
      <c r="C72" t="s">
        <v>872</v>
      </c>
      <c r="E72" t="str">
        <f t="shared" si="4"/>
        <v>isothermal compressibility</v>
      </c>
      <c r="F72" t="str">
        <f t="shared" si="5"/>
        <v>IsothermalCompressibility</v>
      </c>
      <c r="J72" t="s">
        <v>867</v>
      </c>
    </row>
    <row r="73" spans="3:10">
      <c r="C73" t="s">
        <v>873</v>
      </c>
      <c r="E73" t="str">
        <f t="shared" si="4"/>
        <v>kinematic viscosity</v>
      </c>
      <c r="F73" t="str">
        <f t="shared" si="5"/>
        <v>KinematicViscosity</v>
      </c>
      <c r="J73" t="s">
        <v>868</v>
      </c>
    </row>
    <row r="74" spans="3:10">
      <c r="C74" t="s">
        <v>151</v>
      </c>
      <c r="E74" t="str">
        <f t="shared" si="4"/>
        <v>length</v>
      </c>
      <c r="F74" t="str">
        <f t="shared" si="5"/>
        <v>Length</v>
      </c>
      <c r="J74" t="s">
        <v>869</v>
      </c>
    </row>
    <row r="75" spans="3:10">
      <c r="C75" t="s">
        <v>64</v>
      </c>
      <c r="E75" t="str">
        <f t="shared" si="4"/>
        <v>length per length</v>
      </c>
      <c r="F75" t="str">
        <f t="shared" si="5"/>
        <v>LengthPerLength</v>
      </c>
      <c r="J75" t="s">
        <v>870</v>
      </c>
    </row>
    <row r="76" spans="3:10">
      <c r="C76" t="s">
        <v>874</v>
      </c>
      <c r="E76" t="str">
        <f t="shared" si="4"/>
        <v>length per mass</v>
      </c>
      <c r="F76" t="str">
        <f t="shared" si="5"/>
        <v>LengthPerMass</v>
      </c>
      <c r="J76" t="s">
        <v>871</v>
      </c>
    </row>
    <row r="77" spans="3:10">
      <c r="C77" t="s">
        <v>875</v>
      </c>
      <c r="E77" t="str">
        <f t="shared" si="4"/>
        <v>length per pressure</v>
      </c>
      <c r="F77" t="str">
        <f t="shared" si="5"/>
        <v>LengthPerPressure</v>
      </c>
      <c r="J77" t="s">
        <v>872</v>
      </c>
    </row>
    <row r="78" spans="3:10">
      <c r="C78" t="s">
        <v>876</v>
      </c>
      <c r="E78" t="str">
        <f t="shared" si="4"/>
        <v>length per temperature</v>
      </c>
      <c r="F78" t="str">
        <f t="shared" si="5"/>
        <v>LengthPerTemperature</v>
      </c>
      <c r="J78" t="s">
        <v>873</v>
      </c>
    </row>
    <row r="79" spans="3:10">
      <c r="C79" t="s">
        <v>111</v>
      </c>
      <c r="E79" t="str">
        <f t="shared" si="4"/>
        <v>length per time</v>
      </c>
      <c r="F79" t="str">
        <f t="shared" si="5"/>
        <v>LengthPerTime</v>
      </c>
      <c r="J79" t="s">
        <v>151</v>
      </c>
    </row>
    <row r="80" spans="3:10">
      <c r="C80" t="s">
        <v>877</v>
      </c>
      <c r="E80" t="str">
        <f t="shared" si="4"/>
        <v>length per volume</v>
      </c>
      <c r="F80" t="str">
        <f t="shared" si="5"/>
        <v>LengthPerVolume</v>
      </c>
      <c r="J80" t="s">
        <v>64</v>
      </c>
    </row>
    <row r="81" spans="3:10">
      <c r="C81" t="s">
        <v>878</v>
      </c>
      <c r="E81" t="str">
        <f t="shared" si="4"/>
        <v>light exposure</v>
      </c>
      <c r="F81" t="str">
        <f t="shared" si="5"/>
        <v>LightExposure</v>
      </c>
      <c r="J81" t="s">
        <v>874</v>
      </c>
    </row>
    <row r="82" spans="3:10">
      <c r="C82" t="s">
        <v>879</v>
      </c>
      <c r="E82" t="str">
        <f t="shared" si="4"/>
        <v>linear acceleration</v>
      </c>
      <c r="F82" t="str">
        <f t="shared" si="5"/>
        <v>LinearAcceleration</v>
      </c>
      <c r="J82" t="s">
        <v>875</v>
      </c>
    </row>
    <row r="83" spans="3:10">
      <c r="C83" t="s">
        <v>880</v>
      </c>
      <c r="E83" t="str">
        <f t="shared" si="4"/>
        <v>linear thermal expansion</v>
      </c>
      <c r="F83" t="str">
        <f t="shared" si="5"/>
        <v>LinearThermalExpansion</v>
      </c>
      <c r="J83" t="s">
        <v>876</v>
      </c>
    </row>
    <row r="84" spans="3:10">
      <c r="C84" t="s">
        <v>881</v>
      </c>
      <c r="E84" t="str">
        <f t="shared" si="4"/>
        <v>logarithmic power ratio</v>
      </c>
      <c r="F84" t="str">
        <f t="shared" si="5"/>
        <v>LogarithmicPowerRatio</v>
      </c>
      <c r="J84" t="s">
        <v>111</v>
      </c>
    </row>
    <row r="85" spans="3:10">
      <c r="C85" t="s">
        <v>882</v>
      </c>
      <c r="E85" t="str">
        <f t="shared" si="4"/>
        <v>logarithmic power ratio per length</v>
      </c>
      <c r="F85" t="str">
        <f t="shared" si="5"/>
        <v>LogarithmicPowerRatioPerLength</v>
      </c>
      <c r="J85" t="s">
        <v>877</v>
      </c>
    </row>
    <row r="86" spans="3:10">
      <c r="C86" t="s">
        <v>883</v>
      </c>
      <c r="E86" t="str">
        <f t="shared" si="4"/>
        <v>luminance</v>
      </c>
      <c r="F86" t="str">
        <f t="shared" si="5"/>
        <v>Luminance</v>
      </c>
      <c r="J86" t="s">
        <v>878</v>
      </c>
    </row>
    <row r="87" spans="3:10">
      <c r="C87" t="s">
        <v>884</v>
      </c>
      <c r="E87" t="str">
        <f t="shared" si="4"/>
        <v>luminous efficacy</v>
      </c>
      <c r="F87" t="str">
        <f t="shared" si="5"/>
        <v>LuminousEfficacy</v>
      </c>
      <c r="J87" t="s">
        <v>879</v>
      </c>
    </row>
    <row r="88" spans="3:10">
      <c r="C88" t="s">
        <v>885</v>
      </c>
      <c r="E88" t="str">
        <f t="shared" si="4"/>
        <v>luminous flux</v>
      </c>
      <c r="F88" t="str">
        <f t="shared" si="5"/>
        <v>LuminousFlux</v>
      </c>
      <c r="J88" t="s">
        <v>880</v>
      </c>
    </row>
    <row r="89" spans="3:10">
      <c r="C89" t="s">
        <v>886</v>
      </c>
      <c r="E89" t="str">
        <f t="shared" si="4"/>
        <v>luminous intensity</v>
      </c>
      <c r="F89" t="str">
        <f t="shared" si="5"/>
        <v>LuminousIntensity</v>
      </c>
      <c r="J89" t="s">
        <v>881</v>
      </c>
    </row>
    <row r="90" spans="3:10">
      <c r="C90" t="s">
        <v>887</v>
      </c>
      <c r="E90" t="str">
        <f t="shared" si="4"/>
        <v>magnetic dipole moment</v>
      </c>
      <c r="F90" t="str">
        <f t="shared" si="5"/>
        <v>MagneticDipoleMoment</v>
      </c>
      <c r="J90" t="s">
        <v>882</v>
      </c>
    </row>
    <row r="91" spans="3:10">
      <c r="C91" t="s">
        <v>888</v>
      </c>
      <c r="E91" t="str">
        <f t="shared" si="4"/>
        <v>magnetic field strength</v>
      </c>
      <c r="F91" t="str">
        <f t="shared" si="5"/>
        <v>MagneticFieldStrength</v>
      </c>
      <c r="J91" t="s">
        <v>883</v>
      </c>
    </row>
    <row r="92" spans="3:10">
      <c r="C92" t="s">
        <v>889</v>
      </c>
      <c r="E92" t="str">
        <f t="shared" si="4"/>
        <v>magnetic flux</v>
      </c>
      <c r="F92" t="str">
        <f t="shared" si="5"/>
        <v>MagneticFlux</v>
      </c>
      <c r="J92" t="s">
        <v>884</v>
      </c>
    </row>
    <row r="93" spans="3:10">
      <c r="C93" t="s">
        <v>890</v>
      </c>
      <c r="E93" t="str">
        <f t="shared" si="4"/>
        <v>magnetic flux density</v>
      </c>
      <c r="F93" t="str">
        <f t="shared" si="5"/>
        <v>MagneticFluxDensity</v>
      </c>
      <c r="J93" t="s">
        <v>885</v>
      </c>
    </row>
    <row r="94" spans="3:10">
      <c r="C94" t="s">
        <v>891</v>
      </c>
      <c r="E94" t="str">
        <f t="shared" si="4"/>
        <v>magnetic flux density per length</v>
      </c>
      <c r="F94" t="str">
        <f t="shared" si="5"/>
        <v>MagneticFluxDensityPerLength</v>
      </c>
      <c r="J94" t="s">
        <v>886</v>
      </c>
    </row>
    <row r="95" spans="3:10">
      <c r="C95" t="s">
        <v>892</v>
      </c>
      <c r="E95" t="str">
        <f t="shared" si="4"/>
        <v>magnetic permeability</v>
      </c>
      <c r="F95" t="str">
        <f t="shared" si="5"/>
        <v>MagneticPermeability</v>
      </c>
      <c r="J95" t="s">
        <v>887</v>
      </c>
    </row>
    <row r="96" spans="3:10">
      <c r="C96" t="s">
        <v>893</v>
      </c>
      <c r="E96" t="str">
        <f t="shared" si="4"/>
        <v>magnetic vector potential</v>
      </c>
      <c r="F96" t="str">
        <f t="shared" si="5"/>
        <v>MagneticVectorPotential</v>
      </c>
      <c r="J96" t="s">
        <v>888</v>
      </c>
    </row>
    <row r="97" spans="3:10">
      <c r="C97" t="s">
        <v>292</v>
      </c>
      <c r="E97" t="str">
        <f t="shared" si="4"/>
        <v>mass</v>
      </c>
      <c r="F97" t="str">
        <f t="shared" si="5"/>
        <v>Mass</v>
      </c>
      <c r="J97" t="s">
        <v>889</v>
      </c>
    </row>
    <row r="98" spans="3:10">
      <c r="C98" t="s">
        <v>894</v>
      </c>
      <c r="E98" t="str">
        <f t="shared" ref="E98:E129" si="6">VLOOKUP(C98,J$2:J$300,1,FALSE)</f>
        <v>mass length</v>
      </c>
      <c r="F98" t="str">
        <f t="shared" ref="F98:F129" si="7">SUBSTITUTE(PROPER(LOWER(C98))," ","")</f>
        <v>MassLength</v>
      </c>
      <c r="J98" t="s">
        <v>890</v>
      </c>
    </row>
    <row r="99" spans="3:10">
      <c r="C99" t="s">
        <v>494</v>
      </c>
      <c r="E99" t="str">
        <f t="shared" si="6"/>
        <v>mass per area</v>
      </c>
      <c r="F99" t="str">
        <f t="shared" si="7"/>
        <v>MassPerArea</v>
      </c>
      <c r="J99" t="s">
        <v>891</v>
      </c>
    </row>
    <row r="100" spans="3:10">
      <c r="C100" t="s">
        <v>895</v>
      </c>
      <c r="E100" t="str">
        <f t="shared" si="6"/>
        <v>mass per energy</v>
      </c>
      <c r="F100" t="str">
        <f t="shared" si="7"/>
        <v>MassPerEnergy</v>
      </c>
      <c r="J100" t="s">
        <v>892</v>
      </c>
    </row>
    <row r="101" spans="3:10">
      <c r="C101" t="s">
        <v>896</v>
      </c>
      <c r="E101" t="str">
        <f t="shared" si="6"/>
        <v>mass per length</v>
      </c>
      <c r="F101" t="str">
        <f t="shared" si="7"/>
        <v>MassPerLength</v>
      </c>
      <c r="J101" t="s">
        <v>893</v>
      </c>
    </row>
    <row r="102" spans="3:10">
      <c r="C102" t="s">
        <v>897</v>
      </c>
      <c r="E102" t="str">
        <f t="shared" si="6"/>
        <v>mass per mass</v>
      </c>
      <c r="F102" t="str">
        <f t="shared" si="7"/>
        <v>MassPerMass</v>
      </c>
      <c r="J102" t="s">
        <v>292</v>
      </c>
    </row>
    <row r="103" spans="3:10">
      <c r="C103" t="s">
        <v>207</v>
      </c>
      <c r="E103" t="str">
        <f t="shared" si="6"/>
        <v>mass per time</v>
      </c>
      <c r="F103" t="str">
        <f t="shared" si="7"/>
        <v>MassPerTime</v>
      </c>
      <c r="J103" t="s">
        <v>894</v>
      </c>
    </row>
    <row r="104" spans="3:10">
      <c r="C104" t="s">
        <v>774</v>
      </c>
      <c r="E104" t="str">
        <f t="shared" si="6"/>
        <v>(mass per time) per area</v>
      </c>
      <c r="F104" t="str">
        <f t="shared" si="7"/>
        <v>(MassPerTime)PerArea</v>
      </c>
      <c r="J104" t="s">
        <v>494</v>
      </c>
    </row>
    <row r="105" spans="3:10">
      <c r="C105" t="s">
        <v>776</v>
      </c>
      <c r="E105" t="str">
        <f t="shared" si="6"/>
        <v>(mass per time) per length</v>
      </c>
      <c r="F105" t="str">
        <f t="shared" si="7"/>
        <v>(MassPerTime)PerLength</v>
      </c>
      <c r="J105" t="s">
        <v>895</v>
      </c>
    </row>
    <row r="106" spans="3:10">
      <c r="C106" t="s">
        <v>898</v>
      </c>
      <c r="E106" t="str">
        <f t="shared" si="6"/>
        <v>mass per volume</v>
      </c>
      <c r="F106" t="str">
        <f t="shared" si="7"/>
        <v>MassPerVolume</v>
      </c>
      <c r="J106" t="s">
        <v>896</v>
      </c>
    </row>
    <row r="107" spans="3:10">
      <c r="C107" t="s">
        <v>779</v>
      </c>
      <c r="E107" t="str">
        <f t="shared" si="6"/>
        <v>(mass per volume) per length</v>
      </c>
      <c r="F107" t="str">
        <f t="shared" si="7"/>
        <v>(MassPerVolume)PerLength</v>
      </c>
      <c r="J107" t="s">
        <v>897</v>
      </c>
    </row>
    <row r="108" spans="3:10">
      <c r="C108" t="s">
        <v>899</v>
      </c>
      <c r="D108" t="s">
        <v>818</v>
      </c>
      <c r="E108" t="e">
        <f t="shared" si="6"/>
        <v>#N/A</v>
      </c>
      <c r="F108" t="str">
        <f t="shared" si="7"/>
        <v>(MassPerVolume)PerPressure</v>
      </c>
      <c r="J108" t="s">
        <v>207</v>
      </c>
    </row>
    <row r="109" spans="3:10">
      <c r="C109" t="s">
        <v>900</v>
      </c>
      <c r="D109" t="s">
        <v>818</v>
      </c>
      <c r="E109" t="e">
        <f t="shared" si="6"/>
        <v>#N/A</v>
      </c>
      <c r="F109" t="str">
        <f t="shared" si="7"/>
        <v>(MassPerVolume)PerTemperature</v>
      </c>
      <c r="J109" t="s">
        <v>898</v>
      </c>
    </row>
    <row r="110" spans="3:10">
      <c r="C110" t="s">
        <v>901</v>
      </c>
      <c r="E110" t="str">
        <f t="shared" si="6"/>
        <v>mobility</v>
      </c>
      <c r="F110" t="str">
        <f t="shared" si="7"/>
        <v>Mobility</v>
      </c>
      <c r="J110" t="s">
        <v>901</v>
      </c>
    </row>
    <row r="111" spans="3:10">
      <c r="C111" t="s">
        <v>902</v>
      </c>
      <c r="E111" t="str">
        <f t="shared" si="6"/>
        <v>molar energy</v>
      </c>
      <c r="F111" t="str">
        <f t="shared" si="7"/>
        <v>MolarEnergy</v>
      </c>
      <c r="J111" t="s">
        <v>902</v>
      </c>
    </row>
    <row r="112" spans="3:10">
      <c r="C112" t="s">
        <v>903</v>
      </c>
      <c r="E112" t="str">
        <f t="shared" si="6"/>
        <v>molar heat capacity</v>
      </c>
      <c r="F112" t="str">
        <f t="shared" si="7"/>
        <v>MolarHeatCapacity</v>
      </c>
      <c r="J112" t="s">
        <v>903</v>
      </c>
    </row>
    <row r="113" spans="3:10">
      <c r="C113" t="s">
        <v>904</v>
      </c>
      <c r="E113" t="str">
        <f t="shared" si="6"/>
        <v>molar volume</v>
      </c>
      <c r="F113" t="str">
        <f t="shared" si="7"/>
        <v>MolarVolume</v>
      </c>
      <c r="J113" t="s">
        <v>904</v>
      </c>
    </row>
    <row r="114" spans="3:10">
      <c r="C114" t="s">
        <v>905</v>
      </c>
      <c r="E114" t="str">
        <f t="shared" si="6"/>
        <v>molecular weight</v>
      </c>
      <c r="F114" t="str">
        <f t="shared" si="7"/>
        <v>MolecularWeight</v>
      </c>
      <c r="J114" t="s">
        <v>905</v>
      </c>
    </row>
    <row r="115" spans="3:10">
      <c r="C115" t="s">
        <v>523</v>
      </c>
      <c r="E115" t="str">
        <f t="shared" si="6"/>
        <v>moment of force</v>
      </c>
      <c r="F115" t="str">
        <f t="shared" si="7"/>
        <v>MomentOfForce</v>
      </c>
      <c r="J115" t="s">
        <v>523</v>
      </c>
    </row>
    <row r="116" spans="3:10">
      <c r="C116" t="s">
        <v>906</v>
      </c>
      <c r="E116" t="str">
        <f t="shared" si="6"/>
        <v>moment of inertia</v>
      </c>
      <c r="F116" t="str">
        <f t="shared" si="7"/>
        <v>MomentOfInertia</v>
      </c>
      <c r="J116" t="s">
        <v>906</v>
      </c>
    </row>
    <row r="117" spans="3:10">
      <c r="C117" t="s">
        <v>907</v>
      </c>
      <c r="E117" t="str">
        <f t="shared" si="6"/>
        <v>momentum</v>
      </c>
      <c r="F117" t="str">
        <f t="shared" si="7"/>
        <v>Momentum</v>
      </c>
      <c r="J117" t="s">
        <v>907</v>
      </c>
    </row>
    <row r="118" spans="3:10">
      <c r="C118" t="s">
        <v>908</v>
      </c>
      <c r="E118" t="str">
        <f t="shared" si="6"/>
        <v>normalized power</v>
      </c>
      <c r="F118" t="str">
        <f t="shared" si="7"/>
        <v>NormalizedPower</v>
      </c>
      <c r="J118" t="s">
        <v>908</v>
      </c>
    </row>
    <row r="119" spans="3:10">
      <c r="C119" t="s">
        <v>909</v>
      </c>
      <c r="E119" t="str">
        <f t="shared" si="6"/>
        <v>permeability length</v>
      </c>
      <c r="F119" t="str">
        <f t="shared" si="7"/>
        <v>PermeabilityLength</v>
      </c>
      <c r="J119" t="s">
        <v>909</v>
      </c>
    </row>
    <row r="120" spans="3:10">
      <c r="C120" t="s">
        <v>910</v>
      </c>
      <c r="E120" t="str">
        <f t="shared" si="6"/>
        <v>permeability rock</v>
      </c>
      <c r="F120" t="str">
        <f t="shared" si="7"/>
        <v>PermeabilityRock</v>
      </c>
      <c r="J120" t="s">
        <v>910</v>
      </c>
    </row>
    <row r="121" spans="3:10">
      <c r="C121" t="s">
        <v>911</v>
      </c>
      <c r="E121" t="str">
        <f t="shared" si="6"/>
        <v>permittivity</v>
      </c>
      <c r="F121" t="str">
        <f t="shared" si="7"/>
        <v>Permittivity</v>
      </c>
      <c r="J121" t="s">
        <v>911</v>
      </c>
    </row>
    <row r="122" spans="3:10">
      <c r="C122" t="s">
        <v>175</v>
      </c>
      <c r="E122" t="str">
        <f t="shared" si="6"/>
        <v>plane angle</v>
      </c>
      <c r="F122" t="str">
        <f t="shared" si="7"/>
        <v>PlaneAngle</v>
      </c>
      <c r="J122" t="s">
        <v>175</v>
      </c>
    </row>
    <row r="123" spans="3:10">
      <c r="C123" t="s">
        <v>912</v>
      </c>
      <c r="E123" t="str">
        <f t="shared" si="6"/>
        <v>potential difference per power drop</v>
      </c>
      <c r="F123" t="str">
        <f t="shared" si="7"/>
        <v>PotentialDifferencePerPowerDrop</v>
      </c>
      <c r="J123" t="s">
        <v>912</v>
      </c>
    </row>
    <row r="124" spans="3:10">
      <c r="C124" t="s">
        <v>913</v>
      </c>
      <c r="E124" t="str">
        <f t="shared" si="6"/>
        <v>power</v>
      </c>
      <c r="F124" t="str">
        <f t="shared" si="7"/>
        <v>Power</v>
      </c>
      <c r="J124" t="s">
        <v>913</v>
      </c>
    </row>
    <row r="125" spans="3:10">
      <c r="C125" t="s">
        <v>914</v>
      </c>
      <c r="E125" t="str">
        <f t="shared" si="6"/>
        <v>power per area</v>
      </c>
      <c r="F125" t="str">
        <f t="shared" si="7"/>
        <v>PowerPerArea</v>
      </c>
      <c r="J125" t="s">
        <v>914</v>
      </c>
    </row>
    <row r="126" spans="3:10">
      <c r="C126" t="s">
        <v>915</v>
      </c>
      <c r="E126" t="str">
        <f t="shared" si="6"/>
        <v>power per power</v>
      </c>
      <c r="F126" t="str">
        <f t="shared" si="7"/>
        <v>PowerPerPower</v>
      </c>
      <c r="J126" t="s">
        <v>915</v>
      </c>
    </row>
    <row r="127" spans="3:10">
      <c r="C127" t="s">
        <v>916</v>
      </c>
      <c r="E127" t="str">
        <f t="shared" si="6"/>
        <v>power per volume</v>
      </c>
      <c r="F127" t="str">
        <f t="shared" si="7"/>
        <v>PowerPerVolume</v>
      </c>
      <c r="J127" t="s">
        <v>916</v>
      </c>
    </row>
    <row r="128" spans="3:10">
      <c r="C128" t="s">
        <v>14</v>
      </c>
      <c r="E128" t="str">
        <f t="shared" si="6"/>
        <v>pressure</v>
      </c>
      <c r="F128" t="str">
        <f t="shared" si="7"/>
        <v>Pressure</v>
      </c>
      <c r="J128" t="s">
        <v>14</v>
      </c>
    </row>
    <row r="129" spans="3:10">
      <c r="C129" t="s">
        <v>917</v>
      </c>
      <c r="D129" t="s">
        <v>818</v>
      </c>
      <c r="E129" t="e">
        <f t="shared" si="6"/>
        <v>#N/A</v>
      </c>
      <c r="F129" t="str">
        <f t="shared" si="7"/>
        <v>PressurePerPressure</v>
      </c>
      <c r="J129" t="s">
        <v>918</v>
      </c>
    </row>
    <row r="130" spans="3:10">
      <c r="C130" t="s">
        <v>918</v>
      </c>
      <c r="E130" t="str">
        <f t="shared" ref="E130:E161" si="8">VLOOKUP(C130,J$2:J$300,1,FALSE)</f>
        <v>pressure per time</v>
      </c>
      <c r="F130" t="str">
        <f t="shared" ref="F130:F161" si="9">SUBSTITUTE(PROPER(LOWER(C130))," ","")</f>
        <v>PressurePerTime</v>
      </c>
      <c r="J130" t="s">
        <v>919</v>
      </c>
    </row>
    <row r="131" spans="3:10">
      <c r="C131" t="s">
        <v>919</v>
      </c>
      <c r="E131" t="str">
        <f t="shared" si="8"/>
        <v>pressure per volume</v>
      </c>
      <c r="F131" t="str">
        <f t="shared" si="9"/>
        <v>PressurePerVolume</v>
      </c>
      <c r="J131" t="s">
        <v>920</v>
      </c>
    </row>
    <row r="132" spans="3:10">
      <c r="C132" t="s">
        <v>920</v>
      </c>
      <c r="E132" t="str">
        <f t="shared" si="8"/>
        <v>pressure squared</v>
      </c>
      <c r="F132" t="str">
        <f t="shared" si="9"/>
        <v>PressureSquared</v>
      </c>
      <c r="J132" t="s">
        <v>921</v>
      </c>
    </row>
    <row r="133" spans="3:10">
      <c r="C133" t="s">
        <v>921</v>
      </c>
      <c r="E133" t="str">
        <f t="shared" si="8"/>
        <v>pressure squared per (force time per area)</v>
      </c>
      <c r="F133" t="str">
        <f t="shared" si="9"/>
        <v>PressureSquaredPer(ForceTimePerArea)</v>
      </c>
      <c r="J133" t="s">
        <v>922</v>
      </c>
    </row>
    <row r="134" spans="3:10">
      <c r="C134" t="s">
        <v>922</v>
      </c>
      <c r="E134" t="str">
        <f t="shared" si="8"/>
        <v>pressure time per volume</v>
      </c>
      <c r="F134" t="str">
        <f t="shared" si="9"/>
        <v>PressureTimePerVolume</v>
      </c>
      <c r="J134" t="s">
        <v>923</v>
      </c>
    </row>
    <row r="135" spans="3:10">
      <c r="C135" t="s">
        <v>923</v>
      </c>
      <c r="E135" t="str">
        <f t="shared" si="8"/>
        <v>quantity of light</v>
      </c>
      <c r="F135" t="str">
        <f t="shared" si="9"/>
        <v>QuantityOfLight</v>
      </c>
      <c r="J135" t="s">
        <v>924</v>
      </c>
    </row>
    <row r="136" spans="3:10">
      <c r="C136" t="s">
        <v>924</v>
      </c>
      <c r="E136" t="str">
        <f t="shared" si="8"/>
        <v>radiance</v>
      </c>
      <c r="F136" t="str">
        <f t="shared" si="9"/>
        <v>Radiance</v>
      </c>
      <c r="J136" t="s">
        <v>925</v>
      </c>
    </row>
    <row r="137" spans="3:10">
      <c r="C137" t="s">
        <v>925</v>
      </c>
      <c r="E137" t="str">
        <f t="shared" si="8"/>
        <v>radiant intensity</v>
      </c>
      <c r="F137" t="str">
        <f t="shared" si="9"/>
        <v>RadiantIntensity</v>
      </c>
      <c r="J137" t="s">
        <v>926</v>
      </c>
    </row>
    <row r="138" spans="3:10">
      <c r="C138" t="s">
        <v>927</v>
      </c>
      <c r="E138" t="str">
        <f t="shared" si="8"/>
        <v>reciprocal area</v>
      </c>
      <c r="F138" t="str">
        <f t="shared" si="9"/>
        <v>ReciprocalArea</v>
      </c>
      <c r="J138" t="s">
        <v>927</v>
      </c>
    </row>
    <row r="139" spans="3:10">
      <c r="C139" t="s">
        <v>928</v>
      </c>
      <c r="E139" t="str">
        <f t="shared" si="8"/>
        <v>reciprocal electric potential difference</v>
      </c>
      <c r="F139" t="str">
        <f t="shared" si="9"/>
        <v>ReciprocalElectricPotentialDifference</v>
      </c>
      <c r="J139" t="s">
        <v>928</v>
      </c>
    </row>
    <row r="140" spans="3:10">
      <c r="C140" t="s">
        <v>929</v>
      </c>
      <c r="E140" t="str">
        <f t="shared" si="8"/>
        <v>reciprocal force</v>
      </c>
      <c r="F140" t="str">
        <f t="shared" si="9"/>
        <v>ReciprocalForce</v>
      </c>
      <c r="J140" t="s">
        <v>929</v>
      </c>
    </row>
    <row r="141" spans="3:10">
      <c r="C141" t="s">
        <v>930</v>
      </c>
      <c r="E141" t="str">
        <f t="shared" si="8"/>
        <v>reciprocal length</v>
      </c>
      <c r="F141" t="str">
        <f t="shared" si="9"/>
        <v>ReciprocalLength</v>
      </c>
      <c r="J141" t="s">
        <v>930</v>
      </c>
    </row>
    <row r="142" spans="3:10">
      <c r="C142" t="s">
        <v>931</v>
      </c>
      <c r="E142" t="str">
        <f t="shared" si="8"/>
        <v>reciprocal mass</v>
      </c>
      <c r="F142" t="str">
        <f t="shared" si="9"/>
        <v>ReciprocalMass</v>
      </c>
      <c r="J142" t="s">
        <v>931</v>
      </c>
    </row>
    <row r="143" spans="3:10">
      <c r="C143" t="s">
        <v>926</v>
      </c>
      <c r="E143" t="str">
        <f t="shared" si="8"/>
        <v>reciprocal (mass time)</v>
      </c>
      <c r="F143" t="str">
        <f t="shared" si="9"/>
        <v>Reciprocal(MassTime)</v>
      </c>
      <c r="J143" t="s">
        <v>932</v>
      </c>
    </row>
    <row r="144" spans="3:10">
      <c r="C144" t="s">
        <v>932</v>
      </c>
      <c r="E144" t="str">
        <f t="shared" si="8"/>
        <v>reciprocal pressure</v>
      </c>
      <c r="F144" t="str">
        <f t="shared" si="9"/>
        <v>ReciprocalPressure</v>
      </c>
      <c r="J144" t="s">
        <v>933</v>
      </c>
    </row>
    <row r="145" spans="3:10">
      <c r="C145" t="s">
        <v>933</v>
      </c>
      <c r="E145" t="str">
        <f t="shared" si="8"/>
        <v>reciprocal time</v>
      </c>
      <c r="F145" t="str">
        <f t="shared" si="9"/>
        <v>ReciprocalTime</v>
      </c>
      <c r="J145" t="s">
        <v>934</v>
      </c>
    </row>
    <row r="146" spans="3:10">
      <c r="C146" t="s">
        <v>934</v>
      </c>
      <c r="E146" t="str">
        <f t="shared" si="8"/>
        <v>reciprocal volume</v>
      </c>
      <c r="F146" t="str">
        <f t="shared" si="9"/>
        <v>ReciprocalVolume</v>
      </c>
      <c r="J146" t="s">
        <v>935</v>
      </c>
    </row>
    <row r="147" spans="3:10">
      <c r="C147" t="s">
        <v>936</v>
      </c>
      <c r="D147" t="s">
        <v>937</v>
      </c>
      <c r="E147" t="e">
        <f t="shared" si="8"/>
        <v>#N/A</v>
      </c>
      <c r="F147" t="str">
        <f t="shared" si="9"/>
        <v>RelativeRate</v>
      </c>
      <c r="J147" t="s">
        <v>938</v>
      </c>
    </row>
    <row r="148" spans="3:10">
      <c r="C148" t="s">
        <v>935</v>
      </c>
      <c r="E148" t="str">
        <f t="shared" si="8"/>
        <v>reluctance</v>
      </c>
      <c r="F148" t="str">
        <f t="shared" si="9"/>
        <v>Reluctance</v>
      </c>
      <c r="J148" t="s">
        <v>939</v>
      </c>
    </row>
    <row r="149" spans="3:10">
      <c r="C149" t="s">
        <v>938</v>
      </c>
      <c r="E149" t="str">
        <f t="shared" si="8"/>
        <v>second moment of area</v>
      </c>
      <c r="F149" t="str">
        <f t="shared" si="9"/>
        <v>SecondMomentOfArea</v>
      </c>
      <c r="J149" t="s">
        <v>940</v>
      </c>
    </row>
    <row r="150" spans="3:10">
      <c r="C150" t="s">
        <v>939</v>
      </c>
      <c r="E150" t="str">
        <f t="shared" si="8"/>
        <v>signaling event per time</v>
      </c>
      <c r="F150" t="str">
        <f t="shared" si="9"/>
        <v>SignalingEventPerTime</v>
      </c>
      <c r="J150" t="s">
        <v>941</v>
      </c>
    </row>
    <row r="151" spans="3:10">
      <c r="C151" t="s">
        <v>940</v>
      </c>
      <c r="E151" t="str">
        <f t="shared" si="8"/>
        <v>solid angle</v>
      </c>
      <c r="F151" t="str">
        <f t="shared" si="9"/>
        <v>SolidAngle</v>
      </c>
      <c r="J151" t="s">
        <v>942</v>
      </c>
    </row>
    <row r="152" spans="3:10">
      <c r="C152" t="s">
        <v>941</v>
      </c>
      <c r="E152" t="str">
        <f t="shared" si="8"/>
        <v>specific heat capacity</v>
      </c>
      <c r="F152" t="str">
        <f t="shared" si="9"/>
        <v>SpecificHeatCapacity</v>
      </c>
      <c r="J152" t="s">
        <v>943</v>
      </c>
    </row>
    <row r="153" spans="3:10">
      <c r="C153" t="s">
        <v>942</v>
      </c>
      <c r="E153" t="str">
        <f t="shared" si="8"/>
        <v>temperature interval</v>
      </c>
      <c r="F153" t="str">
        <f t="shared" si="9"/>
        <v>TemperatureInterval</v>
      </c>
      <c r="J153" t="s">
        <v>944</v>
      </c>
    </row>
    <row r="154" spans="3:10">
      <c r="C154" t="s">
        <v>943</v>
      </c>
      <c r="E154" t="str">
        <f t="shared" si="8"/>
        <v>temperature interval per length</v>
      </c>
      <c r="F154" t="str">
        <f t="shared" si="9"/>
        <v>TemperatureIntervalPerLength</v>
      </c>
      <c r="J154" t="s">
        <v>945</v>
      </c>
    </row>
    <row r="155" spans="3:10">
      <c r="C155" t="s">
        <v>944</v>
      </c>
      <c r="E155" t="str">
        <f t="shared" si="8"/>
        <v>temperature interval per pressure</v>
      </c>
      <c r="F155" t="str">
        <f t="shared" si="9"/>
        <v>TemperatureIntervalPerPressure</v>
      </c>
      <c r="J155" t="s">
        <v>946</v>
      </c>
    </row>
    <row r="156" spans="3:10">
      <c r="C156" t="s">
        <v>945</v>
      </c>
      <c r="E156" t="str">
        <f t="shared" si="8"/>
        <v>temperature interval per time</v>
      </c>
      <c r="F156" t="str">
        <f t="shared" si="9"/>
        <v>TemperatureIntervalPerTime</v>
      </c>
      <c r="J156" t="s">
        <v>947</v>
      </c>
    </row>
    <row r="157" spans="3:10">
      <c r="C157" t="s">
        <v>946</v>
      </c>
      <c r="E157" t="str">
        <f t="shared" si="8"/>
        <v>thermal conductance</v>
      </c>
      <c r="F157" t="str">
        <f t="shared" si="9"/>
        <v>ThermalConductance</v>
      </c>
      <c r="J157" t="s">
        <v>948</v>
      </c>
    </row>
    <row r="158" spans="3:10">
      <c r="C158" t="s">
        <v>947</v>
      </c>
      <c r="E158" t="str">
        <f t="shared" si="8"/>
        <v>thermal conductivity</v>
      </c>
      <c r="F158" t="str">
        <f t="shared" si="9"/>
        <v>ThermalConductivity</v>
      </c>
      <c r="J158" t="s">
        <v>949</v>
      </c>
    </row>
    <row r="159" spans="3:10">
      <c r="C159" t="s">
        <v>948</v>
      </c>
      <c r="E159" t="str">
        <f t="shared" si="8"/>
        <v>thermal diffusivity</v>
      </c>
      <c r="F159" t="str">
        <f t="shared" si="9"/>
        <v>ThermalDiffusivity</v>
      </c>
      <c r="J159" t="s">
        <v>950</v>
      </c>
    </row>
    <row r="160" spans="3:10">
      <c r="C160" t="s">
        <v>949</v>
      </c>
      <c r="E160" t="str">
        <f t="shared" si="8"/>
        <v>thermal insulance</v>
      </c>
      <c r="F160" t="str">
        <f t="shared" si="9"/>
        <v>ThermalInsulance</v>
      </c>
      <c r="J160" t="s">
        <v>501</v>
      </c>
    </row>
    <row r="161" spans="3:10">
      <c r="C161" t="s">
        <v>950</v>
      </c>
      <c r="E161" t="str">
        <f t="shared" si="8"/>
        <v>thermal resistance</v>
      </c>
      <c r="F161" t="str">
        <f t="shared" si="9"/>
        <v>ThermalResistance</v>
      </c>
      <c r="J161" t="s">
        <v>168</v>
      </c>
    </row>
    <row r="162" spans="3:10">
      <c r="C162" t="s">
        <v>501</v>
      </c>
      <c r="E162" t="str">
        <f t="shared" ref="E162:E188" si="10">VLOOKUP(C162,J$2:J$300,1,FALSE)</f>
        <v>thermodynamic temperature</v>
      </c>
      <c r="F162" t="str">
        <f t="shared" ref="F162:F174" si="11">SUBSTITUTE(PROPER(LOWER(C162))," ","")</f>
        <v>ThermodynamicTemperature</v>
      </c>
      <c r="J162" t="s">
        <v>951</v>
      </c>
    </row>
    <row r="163" spans="3:10">
      <c r="C163" t="s">
        <v>952</v>
      </c>
      <c r="D163" t="s">
        <v>818</v>
      </c>
      <c r="E163" t="e">
        <f t="shared" si="10"/>
        <v>#N/A</v>
      </c>
      <c r="F163" t="str">
        <f t="shared" si="11"/>
        <v>ThermodynamicTemperaturePerThermodynamicTemperature</v>
      </c>
      <c r="J163" t="s">
        <v>953</v>
      </c>
    </row>
    <row r="164" spans="3:10">
      <c r="C164" t="s">
        <v>168</v>
      </c>
      <c r="E164" t="str">
        <f t="shared" si="10"/>
        <v>time</v>
      </c>
      <c r="F164" t="str">
        <f t="shared" si="11"/>
        <v>Time</v>
      </c>
      <c r="J164" t="s">
        <v>954</v>
      </c>
    </row>
    <row r="165" spans="3:10">
      <c r="C165" t="s">
        <v>951</v>
      </c>
      <c r="E165" t="str">
        <f t="shared" si="10"/>
        <v>time per length</v>
      </c>
      <c r="F165" t="str">
        <f t="shared" si="11"/>
        <v>TimePerLength</v>
      </c>
      <c r="J165" t="s">
        <v>955</v>
      </c>
    </row>
    <row r="166" spans="3:10">
      <c r="C166" t="s">
        <v>953</v>
      </c>
      <c r="E166" t="str">
        <f t="shared" si="10"/>
        <v>time per mass</v>
      </c>
      <c r="F166" t="str">
        <f t="shared" si="11"/>
        <v>TimePerMass</v>
      </c>
      <c r="J166" t="s">
        <v>542</v>
      </c>
    </row>
    <row r="167" spans="3:10">
      <c r="C167" t="s">
        <v>954</v>
      </c>
      <c r="E167" t="str">
        <f t="shared" si="10"/>
        <v>time per time</v>
      </c>
      <c r="F167" t="str">
        <f t="shared" si="11"/>
        <v>TimePerTime</v>
      </c>
      <c r="J167" t="s">
        <v>956</v>
      </c>
    </row>
    <row r="168" spans="3:10">
      <c r="C168" t="s">
        <v>955</v>
      </c>
      <c r="E168" t="str">
        <f t="shared" si="10"/>
        <v>time per volume</v>
      </c>
      <c r="F168" t="str">
        <f t="shared" si="11"/>
        <v>TimePerVolume</v>
      </c>
      <c r="J168" t="s">
        <v>957</v>
      </c>
    </row>
    <row r="169" spans="3:10">
      <c r="C169" t="s">
        <v>542</v>
      </c>
      <c r="E169" t="str">
        <f t="shared" si="10"/>
        <v>volume</v>
      </c>
      <c r="F169" t="str">
        <f t="shared" si="11"/>
        <v>Volume</v>
      </c>
      <c r="J169" t="s">
        <v>958</v>
      </c>
    </row>
    <row r="170" spans="3:10">
      <c r="C170" t="s">
        <v>956</v>
      </c>
      <c r="E170" t="str">
        <f t="shared" si="10"/>
        <v>volume flow rate per volume flow rate</v>
      </c>
      <c r="F170" t="str">
        <f t="shared" si="11"/>
        <v>VolumeFlowRatePerVolumeFlowRate</v>
      </c>
      <c r="J170" t="s">
        <v>959</v>
      </c>
    </row>
    <row r="171" spans="3:10">
      <c r="C171" t="s">
        <v>960</v>
      </c>
      <c r="E171" t="e">
        <f t="shared" si="10"/>
        <v>#N/A</v>
      </c>
      <c r="F171" t="str">
        <f t="shared" si="11"/>
        <v>VolumePerArea</v>
      </c>
      <c r="J171" t="s">
        <v>961</v>
      </c>
    </row>
    <row r="172" spans="3:10">
      <c r="C172" t="s">
        <v>957</v>
      </c>
      <c r="E172" t="str">
        <f t="shared" si="10"/>
        <v>volume per length</v>
      </c>
      <c r="F172" t="str">
        <f t="shared" si="11"/>
        <v>VolumePerLength</v>
      </c>
      <c r="J172" t="s">
        <v>211</v>
      </c>
    </row>
    <row r="173" spans="3:10">
      <c r="C173" t="s">
        <v>958</v>
      </c>
      <c r="E173" t="str">
        <f t="shared" si="10"/>
        <v>volume per mass</v>
      </c>
      <c r="F173" t="str">
        <f t="shared" si="11"/>
        <v>VolumePerMass</v>
      </c>
      <c r="J173" t="s">
        <v>197</v>
      </c>
    </row>
    <row r="174" spans="3:10">
      <c r="C174" t="s">
        <v>959</v>
      </c>
      <c r="E174" t="str">
        <f t="shared" si="10"/>
        <v>volume per pressure</v>
      </c>
      <c r="F174" t="str">
        <f t="shared" si="11"/>
        <v>VolumePerPressure</v>
      </c>
      <c r="J174" t="s">
        <v>962</v>
      </c>
    </row>
    <row r="175" spans="3:10">
      <c r="C175" t="s">
        <v>961</v>
      </c>
      <c r="E175" t="str">
        <f t="shared" si="10"/>
        <v>volume per rotation</v>
      </c>
      <c r="F175" t="e">
        <f>VLOOKUP(K175,D$2:D$199,1,FALSE)</f>
        <v>#N/A</v>
      </c>
      <c r="J175" t="s">
        <v>963</v>
      </c>
    </row>
    <row r="176" spans="3:10">
      <c r="C176" t="s">
        <v>211</v>
      </c>
      <c r="E176" t="str">
        <f t="shared" si="10"/>
        <v>volume per time</v>
      </c>
      <c r="F176" t="str">
        <f t="shared" ref="F176:F186" si="12">SUBSTITUTE(PROPER(LOWER(C176))," ","")</f>
        <v>VolumePerTime</v>
      </c>
    </row>
    <row r="177" spans="3:6">
      <c r="C177" t="s">
        <v>783</v>
      </c>
      <c r="E177" t="str">
        <f t="shared" si="10"/>
        <v>(volume per time) length</v>
      </c>
      <c r="F177" t="str">
        <f t="shared" si="12"/>
        <v>(VolumePerTime)Length</v>
      </c>
    </row>
    <row r="178" spans="3:6">
      <c r="C178" t="s">
        <v>787</v>
      </c>
      <c r="E178" t="str">
        <f t="shared" si="10"/>
        <v>(volume per time) per area</v>
      </c>
      <c r="F178" t="str">
        <f t="shared" si="12"/>
        <v>(VolumePerTime)PerArea</v>
      </c>
    </row>
    <row r="179" spans="3:6">
      <c r="C179" t="s">
        <v>790</v>
      </c>
      <c r="E179" t="str">
        <f t="shared" si="10"/>
        <v>(volume per time) per length</v>
      </c>
      <c r="F179" t="str">
        <f t="shared" si="12"/>
        <v>(VolumePerTime)PerLength</v>
      </c>
    </row>
    <row r="180" spans="3:6">
      <c r="C180" t="s">
        <v>793</v>
      </c>
      <c r="E180" t="str">
        <f t="shared" si="10"/>
        <v>(volume per time) per pressure</v>
      </c>
      <c r="F180" t="str">
        <f t="shared" si="12"/>
        <v>(VolumePerTime)PerPressure</v>
      </c>
    </row>
    <row r="181" spans="3:6">
      <c r="C181" t="s">
        <v>786</v>
      </c>
      <c r="E181" t="str">
        <f t="shared" si="10"/>
        <v>(volume per time) per (pressure length)</v>
      </c>
      <c r="F181" t="str">
        <f t="shared" si="12"/>
        <v>(VolumePerTime)Per(PressureLength)</v>
      </c>
    </row>
    <row r="182" spans="3:6">
      <c r="C182" t="s">
        <v>796</v>
      </c>
      <c r="E182" t="str">
        <f t="shared" si="10"/>
        <v>(volume per time) per time</v>
      </c>
      <c r="F182" t="str">
        <f t="shared" si="12"/>
        <v>(VolumePerTime)PerTime</v>
      </c>
    </row>
    <row r="183" spans="3:6">
      <c r="C183" t="s">
        <v>799</v>
      </c>
      <c r="E183" t="str">
        <f t="shared" si="10"/>
        <v>(volume per time) per volume</v>
      </c>
      <c r="F183" t="str">
        <f t="shared" si="12"/>
        <v>(VolumePerTime)PerVolume</v>
      </c>
    </row>
    <row r="184" spans="3:6">
      <c r="C184" t="s">
        <v>197</v>
      </c>
      <c r="E184" t="str">
        <f t="shared" si="10"/>
        <v>volume per volume</v>
      </c>
      <c r="F184" t="str">
        <f t="shared" si="12"/>
        <v>VolumePerVolume</v>
      </c>
    </row>
    <row r="185" spans="3:6">
      <c r="C185" t="s">
        <v>962</v>
      </c>
      <c r="E185" t="str">
        <f t="shared" si="10"/>
        <v>volumetric heat transfer coefficient</v>
      </c>
      <c r="F185" t="str">
        <f t="shared" si="12"/>
        <v>VolumetricHeatTransferCoefficient</v>
      </c>
    </row>
    <row r="186" spans="3:6">
      <c r="C186" t="s">
        <v>963</v>
      </c>
      <c r="E186" t="str">
        <f t="shared" si="10"/>
        <v>volumetric thermal expansion</v>
      </c>
      <c r="F186" t="str">
        <f t="shared" si="12"/>
        <v>VolumetricThermalExpansion</v>
      </c>
    </row>
    <row r="187" spans="3:6">
      <c r="C187" t="s">
        <v>964</v>
      </c>
      <c r="D187" t="s">
        <v>965</v>
      </c>
      <c r="E187" t="e">
        <f t="shared" si="10"/>
        <v>#N/A</v>
      </c>
    </row>
    <row r="188" spans="3:6">
      <c r="C188" t="s">
        <v>966</v>
      </c>
      <c r="D188" t="s">
        <v>965</v>
      </c>
      <c r="E188" t="e">
        <f t="shared" si="10"/>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cp:lastPrinted>2024-01-23T07:37:04Z</cp:lastPrinted>
  <dcterms:created xsi:type="dcterms:W3CDTF">2018-10-28T20:07:54Z</dcterms:created>
  <dcterms:modified xsi:type="dcterms:W3CDTF">2026-09-10T07:34:32Z</dcterms:modified>
</cp:coreProperties>
</file>