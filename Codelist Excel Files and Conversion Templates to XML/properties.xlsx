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517"/>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91B2F44E-23C8-2141-9CB5-BDB76AF1154E}" xr6:coauthVersionLast="47" xr6:coauthVersionMax="47" xr10:uidLastSave="{00000000-0000-0000-0000-000000000000}"/>
  <bookViews>
    <workbookView xWindow="10020" yWindow="2560" windowWidth="35840" windowHeight="2070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5" i="2" l="1"/>
  <c r="A296" i="2"/>
  <c r="A297" i="2"/>
  <c r="A298" i="2"/>
  <c r="A299" i="2"/>
  <c r="A300" i="2"/>
  <c r="A301" i="2"/>
  <c r="A302" i="2"/>
  <c r="A303" i="2"/>
  <c r="A304" i="2"/>
  <c r="A305" i="2"/>
  <c r="A306" i="2"/>
  <c r="A307" i="2"/>
  <c r="A308" i="2"/>
  <c r="A309" i="2"/>
  <c r="A310" i="2"/>
  <c r="A311" i="2"/>
  <c r="A312" i="2"/>
  <c r="A313" i="2"/>
  <c r="A314" i="2"/>
  <c r="A190" i="1"/>
  <c r="A191" i="1"/>
  <c r="A192" i="1"/>
  <c r="A193" i="1"/>
  <c r="A194" i="1"/>
  <c r="A195" i="1"/>
  <c r="A196" i="1"/>
  <c r="A197" i="1"/>
  <c r="A198" i="1"/>
  <c r="A199" i="1"/>
  <c r="A161" i="1"/>
  <c r="A258" i="2"/>
  <c r="A198" i="2"/>
  <c r="A290" i="2"/>
  <c r="A293"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281" i="2" l="1"/>
  <c r="A189" i="1"/>
  <c r="A188" i="1"/>
  <c r="A28" i="2"/>
  <c r="A73" i="2"/>
  <c r="A187" i="1"/>
  <c r="A110" i="2"/>
  <c r="A249" i="2"/>
  <c r="A186" i="1"/>
  <c r="A185" i="1"/>
  <c r="A269" i="2"/>
  <c r="A98" i="2"/>
  <c r="A270" i="2"/>
  <c r="A184" i="1"/>
  <c r="A183" i="1"/>
  <c r="A182" i="1"/>
  <c r="A181" i="1"/>
  <c r="A95" i="2"/>
  <c r="A96" i="2"/>
  <c r="A24" i="2"/>
  <c r="A25" i="2"/>
  <c r="A26" i="2"/>
  <c r="A23" i="2"/>
  <c r="A97" i="1"/>
  <c r="A96" i="1"/>
  <c r="A152" i="2"/>
  <c r="A247" i="2"/>
  <c r="A255" i="2"/>
  <c r="A291" i="2"/>
  <c r="A294" i="2"/>
  <c r="A265" i="2" l="1"/>
  <c r="A264" i="2"/>
  <c r="A88"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63" i="2"/>
  <c r="A260" i="2"/>
  <c r="A100" i="2"/>
  <c r="A261" i="2"/>
  <c r="A253" i="2"/>
  <c r="A251" i="2"/>
  <c r="A103" i="2"/>
  <c r="A148" i="2"/>
  <c r="A277" i="2"/>
  <c r="A149" i="2"/>
  <c r="A278" i="2"/>
  <c r="A174" i="1"/>
  <c r="A93" i="1"/>
  <c r="A173" i="1"/>
  <c r="A92" i="1"/>
  <c r="A101" i="2"/>
  <c r="A108" i="2"/>
  <c r="A109" i="2"/>
  <c r="A124" i="2"/>
  <c r="A271" i="2"/>
  <c r="A167" i="1"/>
  <c r="A70" i="1"/>
  <c r="A63" i="1"/>
  <c r="A64" i="1"/>
  <c r="A102" i="2"/>
  <c r="A59" i="1"/>
  <c r="A89" i="2" l="1"/>
  <c r="A52" i="1"/>
  <c r="A194" i="2"/>
  <c r="A192" i="2"/>
  <c r="A190" i="2"/>
  <c r="A292" i="2"/>
  <c r="A289" i="2"/>
  <c r="A285" i="2"/>
  <c r="A284" i="2"/>
  <c r="A4" i="1"/>
  <c r="A3" i="1"/>
  <c r="A115" i="1"/>
  <c r="A111" i="1"/>
  <c r="A169" i="2"/>
  <c r="A170" i="2"/>
  <c r="A177" i="2"/>
  <c r="A178" i="2"/>
  <c r="A3" i="2"/>
  <c r="A4" i="2"/>
  <c r="A169" i="1"/>
  <c r="A273" i="2"/>
  <c r="A69" i="2"/>
  <c r="A141" i="2"/>
  <c r="A142" i="2"/>
  <c r="A143" i="2"/>
  <c r="A161" i="2"/>
  <c r="A183" i="2"/>
  <c r="A184" i="2"/>
  <c r="A236" i="2"/>
  <c r="A237" i="2"/>
  <c r="A275" i="2"/>
  <c r="A279" i="2"/>
  <c r="A39" i="2"/>
  <c r="A63" i="2"/>
  <c r="A71" i="2"/>
  <c r="A162" i="2"/>
  <c r="A196" i="2"/>
  <c r="A199" i="2"/>
  <c r="A60" i="2"/>
  <c r="A61" i="2"/>
  <c r="A111" i="2"/>
  <c r="A113" i="2"/>
  <c r="A117" i="2"/>
  <c r="A158" i="2"/>
  <c r="A159" i="2"/>
  <c r="A160" i="2"/>
  <c r="A201" i="2"/>
  <c r="A18" i="2"/>
  <c r="A87" i="2"/>
  <c r="A168" i="2"/>
  <c r="A268" i="2"/>
  <c r="A105" i="2"/>
  <c r="A181" i="2"/>
  <c r="A106" i="2"/>
  <c r="A2" i="2"/>
  <c r="A16" i="2"/>
  <c r="A27" i="2"/>
  <c r="A37" i="2"/>
  <c r="A42" i="2"/>
  <c r="A72" i="2"/>
  <c r="A91" i="2"/>
  <c r="A92" i="2"/>
  <c r="A99" i="2"/>
  <c r="A114" i="2"/>
  <c r="A118" i="2"/>
  <c r="A128" i="2"/>
  <c r="A150" i="2"/>
  <c r="A163" i="2"/>
  <c r="A165" i="2"/>
  <c r="A166" i="2"/>
  <c r="A167" i="2"/>
  <c r="A187" i="2"/>
  <c r="A189" i="2"/>
  <c r="A216" i="2"/>
  <c r="A224" i="2"/>
  <c r="A243" i="2"/>
  <c r="A259" i="2"/>
  <c r="A276" i="2"/>
  <c r="A19" i="2"/>
  <c r="A29" i="2"/>
  <c r="A31" i="2"/>
  <c r="A282" i="2"/>
  <c r="A207" i="2"/>
  <c r="A217" i="2"/>
  <c r="A225" i="2"/>
  <c r="A21" i="2"/>
  <c r="A30" i="2"/>
  <c r="A32" i="2"/>
  <c r="A283" i="2"/>
  <c r="A34" i="2"/>
  <c r="A179" i="2"/>
  <c r="A248" i="2"/>
  <c r="A94" i="2"/>
  <c r="A288" i="2"/>
  <c r="A22" i="2"/>
  <c r="A93" i="2"/>
  <c r="A45" i="2"/>
  <c r="A48" i="2"/>
  <c r="A50" i="2"/>
  <c r="A55" i="2"/>
  <c r="A204" i="2"/>
  <c r="A208" i="2"/>
  <c r="A219" i="2"/>
  <c r="A227" i="2"/>
  <c r="A145" i="2"/>
  <c r="A40" i="2"/>
  <c r="A58" i="2"/>
  <c r="A74" i="2"/>
  <c r="A78" i="2"/>
  <c r="A80" i="2"/>
  <c r="A82" i="2"/>
  <c r="A171" i="2"/>
  <c r="A173" i="2"/>
  <c r="A175" i="2"/>
  <c r="A76" i="2"/>
  <c r="A84" i="2"/>
  <c r="A35" i="2"/>
  <c r="A36" i="2"/>
  <c r="A41" i="2"/>
  <c r="A59" i="2"/>
  <c r="A62" i="2"/>
  <c r="A75" i="2"/>
  <c r="A79" i="2"/>
  <c r="A81" i="2"/>
  <c r="A83" i="2"/>
  <c r="A172" i="2"/>
  <c r="A174" i="2"/>
  <c r="A176" i="2"/>
  <c r="A274" i="2"/>
  <c r="A77" i="2"/>
  <c r="A85" i="2"/>
  <c r="A182" i="2"/>
  <c r="A66" i="2"/>
  <c r="A212" i="2"/>
  <c r="A220" i="2"/>
  <c r="A228" i="2"/>
  <c r="A133" i="2"/>
  <c r="A134" i="2"/>
  <c r="A185" i="2"/>
  <c r="A38" i="2"/>
  <c r="A51" i="2"/>
  <c r="A188" i="2"/>
  <c r="A254" i="2"/>
  <c r="A272" i="2"/>
  <c r="A180" i="2"/>
  <c r="A200" i="2"/>
  <c r="A244" i="2"/>
  <c r="A245" i="2"/>
  <c r="A246" i="2"/>
  <c r="A47" i="2"/>
  <c r="A53" i="2"/>
  <c r="A57" i="2"/>
  <c r="A68" i="2"/>
  <c r="A122" i="2"/>
  <c r="A127" i="2"/>
  <c r="A129" i="2"/>
  <c r="A130" i="2"/>
  <c r="A131" i="2"/>
  <c r="A135" i="2"/>
  <c r="A191" i="2"/>
  <c r="A193" i="2"/>
  <c r="A195" i="2"/>
  <c r="A239" i="2"/>
  <c r="A241" i="2"/>
  <c r="A256" i="2"/>
  <c r="A262" i="2"/>
  <c r="A266" i="2"/>
  <c r="A267" i="2"/>
  <c r="A286" i="2"/>
  <c r="A116" i="2"/>
  <c r="A121" i="2"/>
  <c r="A215" i="2"/>
  <c r="A223" i="2"/>
  <c r="A231" i="2"/>
  <c r="A67" i="2"/>
  <c r="A155" i="2"/>
  <c r="A156" i="2"/>
  <c r="A186" i="2"/>
  <c r="A209" i="2"/>
  <c r="A70" i="2"/>
  <c r="A86" i="2"/>
  <c r="A144" i="2"/>
  <c r="A287" i="2"/>
  <c r="A49" i="1"/>
  <c r="A45" i="1"/>
  <c r="A166" i="1"/>
  <c r="A51" i="1" l="1"/>
  <c r="A110" i="1"/>
  <c r="A18" i="1" l="1"/>
  <c r="A14" i="2"/>
  <c r="A14" i="1"/>
  <c r="A64" i="2"/>
  <c r="A164" i="2"/>
  <c r="A106" i="1"/>
  <c r="A141" i="1" l="1"/>
  <c r="A234" i="2" l="1"/>
  <c r="A153" i="2"/>
  <c r="A232" i="2"/>
  <c r="A203"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6" i="2"/>
  <c r="A7" i="2"/>
  <c r="A8" i="2"/>
  <c r="A9" i="2"/>
  <c r="A13" i="2"/>
  <c r="A238" i="2"/>
  <c r="A257" i="2"/>
  <c r="A15" i="2"/>
  <c r="A33" i="2"/>
  <c r="A123" i="2"/>
  <c r="A20" i="2"/>
  <c r="A44" i="2"/>
  <c r="A49" i="2"/>
  <c r="A54" i="2"/>
  <c r="A65" i="2"/>
  <c r="A211" i="2"/>
  <c r="A218" i="2"/>
  <c r="A226" i="2"/>
  <c r="A10" i="2"/>
  <c r="A11" i="2"/>
  <c r="A12" i="2"/>
  <c r="A151" i="2"/>
  <c r="A43" i="2"/>
  <c r="A90" i="2"/>
  <c r="A112" i="2"/>
  <c r="A119" i="2"/>
  <c r="A132" i="2"/>
  <c r="A136" i="2"/>
  <c r="A154" i="2"/>
  <c r="A213" i="2"/>
  <c r="A221" i="2"/>
  <c r="A229" i="2"/>
  <c r="A46" i="2"/>
  <c r="A52" i="2"/>
  <c r="A56" i="2"/>
  <c r="A202" i="2"/>
  <c r="A205" i="2"/>
  <c r="A206" i="2"/>
  <c r="A233" i="2"/>
  <c r="A242" i="2"/>
  <c r="A115" i="2"/>
  <c r="A120" i="2"/>
  <c r="A214" i="2"/>
  <c r="A222" i="2"/>
  <c r="A230" i="2"/>
  <c r="A17" i="2"/>
  <c r="A107" i="2"/>
  <c r="A137" i="2"/>
  <c r="A138" i="2"/>
  <c r="A139" i="2"/>
  <c r="A140" i="2"/>
  <c r="A146" i="2"/>
  <c r="A147" i="2"/>
  <c r="A157" i="2"/>
  <c r="A104" i="2"/>
  <c r="A197" i="2"/>
  <c r="A210" i="2"/>
  <c r="A235" i="2"/>
  <c r="A240" i="2"/>
  <c r="A250" i="2"/>
  <c r="A252" i="2"/>
  <c r="A125" i="2"/>
  <c r="A126" i="2"/>
  <c r="A280" i="2"/>
  <c r="A5" i="2"/>
  <c r="A2" i="1"/>
</calcChain>
</file>

<file path=xl/sharedStrings.xml><?xml version="1.0" encoding="utf-8"?>
<sst xmlns="http://schemas.openxmlformats.org/spreadsheetml/2006/main" count="2337" uniqueCount="920">
  <si>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</si>
  <si>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</si>
  <si>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</si>
  <si>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</si>
  <si>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</si>
  <si>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</si>
  <si>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</si>
  <si>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</si>
  <si>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</si>
  <si>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</si>
  <si>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</si>
  <si>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</si>
  <si>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</si>
  <si>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</si>
  <si>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</si>
  <si>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</si>
  <si>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</si>
  <si>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</si>
  <si>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</si>
  <si>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</si>
  <si>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</si>
  <si>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</si>
  <si>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</si>
  <si>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</si>
  <si>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</si>
  <si>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</si>
  <si>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</si>
  <si>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</si>
  <si>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</si>
  <si>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</si>
  <si>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</si>
  <si>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</si>
  <si>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</si>
  <si>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</si>
  <si>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</si>
  <si>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</si>
  <si>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</si>
  <si>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</si>
  <si>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</si>
  <si>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</si>
  <si>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</si>
  <si>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</si>
  <si>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</si>
  <si>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</si>
  <si>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</si>
  <si>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</si>
  <si>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</si>
  <si>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</si>
  <si>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</si>
  <si>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</si>
  <si>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</si>
  <si>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</si>
  <si>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</si>
  <si>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</si>
  <si>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</si>
  <si>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</si>
  <si>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</si>
  <si>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</si>
  <si>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</si>
  <si>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</si>
  <si>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</si>
  <si>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</si>
  <si>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</si>
  <si>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</si>
  <si>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</si>
  <si>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</si>
  <si>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</si>
  <si>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</si>
  <si>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</si>
  <si>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</si>
  <si>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</si>
  <si>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</si>
  <si>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</si>
  <si>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</si>
  <si>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</si>
  <si>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</si>
  <si>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</si>
  <si>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</si>
  <si>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</si>
  <si>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</si>
  <si>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</si>
  <si>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</si>
  <si>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</si>
  <si>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</si>
  <si>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</si>
  <si>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</si>
  <si>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</si>
  <si>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</si>
  <si>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</si>
  <si>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</si>
  <si>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</si>
  <si>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</si>
  <si>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</si>
  <si>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</si>
  <si>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</si>
  <si>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</si>
  <si>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</si>
  <si>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</si>
  <si>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</si>
  <si>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</si>
  <si>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</si>
  <si>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</si>
  <si>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</si>
  <si>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</si>
  <si>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</si>
  <si>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</si>
  <si>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</si>
  <si>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</si>
  <si>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</si>
  <si>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</si>
  <si>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</si>
  <si>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</si>
  <si>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</si>
  <si>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</si>
  <si>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</si>
  <si>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</si>
  <si>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</si>
  <si>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</si>
  <si>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</si>
  <si>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</si>
  <si>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</si>
  <si>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</si>
  <si>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</si>
  <si>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</si>
  <si>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</si>
  <si>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</si>
  <si>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</si>
  <si>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</si>
  <si>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</si>
  <si>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</si>
  <si>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</si>
  <si>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</si>
  <si>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</si>
  <si>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</si>
  <si>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</si>
  <si>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</si>
  <si>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</si>
  <si>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</si>
  <si>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</si>
  <si>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</si>
  <si>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</si>
  <si>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</si>
  <si>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</si>
  <si>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</si>
  <si>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</si>
  <si>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</si>
  <si>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</si>
  <si>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</si>
  <si>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</si>
  <si>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</si>
  <si>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</si>
  <si>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</si>
  <si>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</si>
  <si>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</si>
  <si>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</si>
  <si>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</si>
  <si>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</si>
  <si>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</si>
  <si>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</si>
  <si>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</si>
  <si>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</si>
  <si>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</si>
  <si>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</si>
  <si>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</si>
  <si>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</si>
  <si>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</si>
  <si>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</si>
  <si>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</si>
  <si>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</si>
  <si>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</si>
  <si>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</si>
  <si>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</si>
  <si>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</si>
  <si>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</si>
  <si>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</si>
  <si>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</si>
  <si>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</si>
  <si>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</si>
  <si>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</si>
  <si>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</si>
  <si>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</si>
  <si>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</si>
  <si>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</si>
  <si>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</si>
  <si>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</si>
  <si>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</si>
  <si>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</si>
  <si>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</si>
  <si>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</si>
  <si>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</si>
  <si>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</si>
  <si>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</si>
  <si>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</si>
  <si>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</si>
  <si>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</si>
  <si>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</si>
  <si>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</si>
  <si>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</si>
  <si>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</si>
  <si>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</si>
  <si>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</si>
  <si>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</si>
  <si>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</si>
  <si>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</si>
  <si>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</si>
  <si>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</si>
  <si>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</si>
  <si>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</si>
  <si>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</si>
  <si>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</si>
  <si>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</si>
  <si>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</si>
  <si>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</si>
  <si>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</si>
  <si>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</si>
  <si>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</si>
  <si>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</si>
  <si>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</si>
  <si>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</si>
  <si>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</si>
  <si>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</si>
  <si>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</si>
  <si>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</si>
  <si>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</si>
  <si>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</si>
  <si>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</si>
  <si>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</si>
  <si>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</si>
  <si>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</si>
  <si>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</si>
  <si>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</si>
  <si>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</si>
  <si>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</si>
  <si>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</si>
  <si>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</si>
  <si>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</si>
  <si>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</si>
  <si>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</si>
  <si>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</si>
  <si>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</si>
  <si>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</si>
  <si>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</si>
  <si>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</si>
  <si>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</si>
  <si>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</si>
  <si>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</si>
  <si>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</si>
  <si>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</si>
  <si>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</si>
  <si>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</si>
  <si>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</si>
  <si>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</si>
  <si>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</si>
  <si>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</si>
  <si>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</si>
  <si>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</si>
  <si>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</si>
  <si>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</si>
  <si>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</si>
  <si>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</si>
  <si>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</si>
  <si>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</si>
  <si>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</si>
  <si>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</si>
  <si>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</si>
  <si>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</si>
  <si>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</si>
  <si>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</si>
  <si>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</si>
  <si>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</si>
  <si>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</si>
  <si>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</si>
  <si>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</si>
  <si>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</si>
  <si>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</si>
  <si>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</si>
  <si>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</si>
  <si>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</si>
  <si>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</si>
  <si>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</si>
  <si>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</si>
  <si>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</si>
  <si>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</si>
  <si>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</si>
  <si>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</si>
  <si>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</si>
  <si>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</si>
  <si>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</si>
  <si>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</si>
  <si>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</si>
  <si>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</si>
  <si>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</si>
  <si>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</si>
  <si>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</si>
  <si>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</si>
  <si>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</si>
  <si>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</si>
  <si>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</si>
  <si>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</si>
  <si>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</si>
  <si>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</si>
  <si>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</si>
  <si>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</si>
  <si>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</si>
  <si>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</si>
  <si>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</si>
  <si>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</si>
  <si>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</si>
  <si>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</si>
  <si>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</si>
  <si>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</si>
  <si>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</si>
  <si>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</si>
  <si>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</si>
  <si>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</si>
  <si>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</si>
  <si>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</si>
  <si>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</si>
  <si>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</si>
  <si>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</si>
  <si>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</si>
  <si>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</si>
  <si>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</si>
  <si>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</si>
  <si>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</si>
  <si>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</si>
  <si>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</si>
  <si>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</si>
  <si>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</si>
  <si>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</si>
  <si>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</si>
  <si>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</si>
  <si>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</si>
  <si>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</si>
  <si>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</si>
  <si>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</si>
  <si>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</si>
  <si>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</si>
  <si>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</si>
  <si>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</si>
  <si>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</si>
  <si>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</si>
  <si>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</si>
  <si>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</si>
  <si>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</si>
  <si>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</si>
  <si>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</si>
  <si>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</si>
  <si>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</si>
  <si>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</si>
  <si>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</si>
  <si>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</si>
  <si>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</si>
  <si>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</si>
  <si>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</si>
  <si>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</si>
  <si>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</si>
  <si>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</si>
  <si>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</si>
  <si>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</si>
  <si>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</si>
  <si>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</si>
  <si>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</si>
  <si>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</si>
  <si>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</si>
  <si>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</si>
  <si>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</si>
  <si>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</si>
  <si>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</si>
  <si>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</si>
  <si>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</si>
  <si>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</si>
  <si>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</si>
  <si>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</si>
  <si>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</si>
  <si>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</si>
  <si>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</si>
  <si>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</si>
  <si>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</si>
  <si>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</si>
  <si>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</si>
  <si>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</si>
  <si>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</si>
  <si>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</si>
  <si>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</si>
  <si>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</si>
  <si>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</si>
  <si>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</si>
  <si>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</si>
  <si>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</si>
  <si>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</si>
  <si>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</si>
  <si>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</si>
  <si>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</si>
  <si>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</si>
  <si>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</si>
  <si>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</si>
  <si>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</si>
  <si>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</si>
  <si>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</si>
  <si>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</si>
  <si>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</si>
  <si>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</si>
  <si>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</si>
  <si>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</si>
  <si>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</si>
  <si>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</si>
  <si>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</si>
  <si>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</si>
  <si>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</si>
  <si>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</si>
  <si>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</si>
  <si>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</si>
  <si>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</si>
  <si>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</si>
  <si>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</si>
  <si>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</si>
  <si>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</si>
  <si>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</si>
  <si>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</si>
  <si>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</si>
  <si>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</si>
  <si>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</si>
  <si>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</si>
  <si>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</si>
  <si>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</si>
  <si>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</si>
  <si>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</si>
  <si>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</si>
  <si>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</si>
  <si>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</si>
  <si>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</si>
  <si>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</si>
  <si>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</si>
  <si>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</si>
  <si>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</si>
  <si>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</si>
  <si>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</si>
  <si>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</si>
  <si>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</si>
  <si>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</si>
  <si>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</si>
  <si>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</si>
  <si>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</si>
  <si>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</si>
  <si>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</si>
  <si>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</si>
  <si>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</si>
  <si>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</si>
  <si>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</si>
  <si>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</si>
  <si>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</si>
  <si>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</si>
  <si>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</si>
  <si>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</si>
  <si>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</si>
  <si>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</si>
  <si>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</si>
  <si>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</si>
  <si>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</si>
  <si>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</si>
  <si>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</si>
  <si>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</si>
  <si>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</si>
  <si>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</si>
  <si>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</si>
  <si>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</si>
  <si>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</si>
  <si>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</si>
  <si>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</si>
  <si>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</si>
  <si>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</si>
  <si>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</si>
  <si>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</si>
  <si>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</si>
  <si>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</si>
  <si>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</si>
  <si>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</si>
  <si>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</si>
  <si>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</si>
  <si>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</si>
  <si>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</si>
  <si>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</si>
  <si>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</si>
  <si>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</si>
  <si>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</si>
  <si>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</si>
  <si>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</si>
  <si>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</si>
  <si>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</si>
  <si>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</si>
  <si>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</si>
  <si>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</si>
  <si>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</si>
  <si>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</si>
  <si>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</si>
  <si>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</si>
  <si>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</si>
  <si>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</si>
  <si>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</si>
  <si>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</si>
  <si>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</si>
  <si>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</si>
  <si>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</si>
  <si>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</si>
  <si>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</si>
  <si>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</si>
  <si>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</si>
  <si>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</si>
  <si>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</si>
  <si>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</si>
  <si>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</si>
  <si>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</si>
  <si>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</si>
  <si>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</si>
  <si>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</si>
  <si>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</si>
  <si>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</si>
  <si>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</si>
  <si>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</si>
  <si>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</si>
  <si>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</si>
  <si>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</si>
  <si>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</si>
  <si>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</si>
  <si>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</si>
  <si>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</si>
  <si>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</si>
  <si>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</si>
  <si>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</si>
  <si>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</si>
  <si>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</si>
  <si>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</si>
  <si>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</si>
  <si>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</si>
  <si>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</si>
  <si>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</si>
  <si>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</si>
  <si>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</si>
  <si>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</si>
  <si>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</si>
  <si>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</si>
  <si>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</si>
  <si>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</si>
  <si>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</si>
  <si>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</si>
  <si>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</si>
  <si>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</si>
  <si>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</si>
  <si>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</si>
  <si>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</si>
  <si>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</si>
  <si>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</si>
  <si>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</si>
  <si>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</si>
  <si>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</si>
  <si>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</si>
  <si>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</si>
  <si>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</si>
  <si>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</si>
  <si>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</si>
  <si>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</si>
  <si>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</si>
  <si>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</si>
  <si>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</si>
  <si>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</si>
  <si>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</si>
  <si>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</si>
  <si>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</si>
  <si>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</si>
  <si>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</si>
  <si>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</si>
  <si>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</si>
  <si>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</si>
  <si>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</si>
  <si>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</si>
  <si>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</si>
  <si>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</si>
  <si>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</si>
  <si>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</si>
  <si>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</si>
  <si>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</si>
  <si>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</si>
  <si>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</si>
  <si>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</si>
  <si>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</si>
  <si>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</si>
  <si>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</si>
  <si>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</si>
  <si>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</si>
  <si>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</si>
  <si>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</si>
  <si>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</si>
  <si>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</si>
  <si>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</si>
  <si>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</si>
  <si>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</si>
  <si>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</si>
  <si>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</si>
  <si>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</si>
  <si>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</si>
  <si>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</si>
  <si>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</si>
  <si>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</si>
  <si>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</si>
  <si>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</si>
  <si>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</si>
  <si>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</si>
  <si>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</si>
  <si>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</si>
  <si>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</si>
  <si>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</si>
  <si>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</si>
  <si>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</si>
  <si>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</si>
  <si>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</si>
  <si>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</si>
  <si>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</si>
  <si>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</si>
  <si>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</si>
  <si>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</si>
  <si>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</si>
  <si>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</si>
  <si>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</si>
  <si>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</si>
  <si>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</si>
  <si>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</si>
  <si>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</si>
  <si>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</si>
  <si>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</si>
  <si>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</si>
  <si>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</si>
  <si>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</si>
  <si>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</si>
  <si>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</si>
  <si>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</si>
  <si>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</si>
  <si>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</si>
  <si>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</si>
  <si>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</si>
  <si>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</si>
  <si>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</si>
  <si>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</si>
  <si>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</si>
  <si>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</si>
  <si>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</si>
  <si>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</si>
  <si>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</si>
  <si>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</si>
  <si>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</si>
  <si>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</si>
  <si>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</si>
  <si>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</si>
  <si>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</si>
  <si>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</si>
  <si>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</si>
  <si>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</si>
  <si>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</si>
  <si>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</si>
  <si>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</si>
  <si>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</si>
  <si>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</si>
  <si>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</si>
  <si>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</si>
  <si>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</si>
  <si>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</si>
  <si>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</si>
  <si>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</si>
  <si>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</si>
  <si>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</si>
  <si>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</si>
  <si>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</si>
  <si>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</si>
  <si>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</si>
  <si>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</si>
  <si>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</si>
  <si>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</si>
  <si>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</si>
  <si>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</si>
  <si>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</si>
  <si>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</si>
  <si>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</si>
  <si>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</si>
  <si>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</si>
  <si>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</si>
  <si>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</si>
  <si>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</si>
  <si>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</si>
  <si>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</si>
  <si>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</si>
  <si>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</si>
  <si>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</si>
  <si>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</si>
  <si>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</si>
  <si>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</si>
  <si>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</si>
  <si>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</si>
  <si>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</si>
  <si>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</si>
  <si>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</si>
  <si>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</si>
  <si>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</si>
  <si>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</si>
  <si>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</si>
  <si>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</si>
  <si>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</si>
  <si>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</si>
  <si>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</si>
  <si>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</si>
  <si>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</si>
  <si>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</si>
  <si>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</si>
  <si>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</si>
  <si>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</si>
  <si>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</si>
  <si>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</si>
  <si>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</si>
  <si>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</si>
  <si>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</si>
  <si>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</si>
  <si>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</si>
  <si>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</si>
  <si>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</si>
  <si>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</si>
  <si>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</si>
  <si>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</si>
  <si>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</si>
  <si>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</si>
  <si>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</si>
  <si>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</si>
  <si>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</si>
  <si>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</si>
  <si>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</si>
  <si>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</si>
  <si>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</si>
  <si>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</si>
  <si>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</si>
  <si>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</si>
  <si>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</si>
  <si>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</si>
  <si>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</si>
  <si>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</si>
  <si>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</si>
  <si>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</si>
  <si>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</si>
  <si>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</si>
  <si>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</si>
  <si>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</si>
  <si>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</si>
  <si>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</si>
  <si>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</si>
  <si>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</si>
  <si>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</si>
  <si>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</si>
  <si>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</si>
  <si>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</si>
  <si>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</si>
  <si>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</si>
  <si>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</si>
  <si>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</si>
  <si>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</si>
  <si>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</si>
  <si>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</si>
  <si>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</si>
  <si>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</si>
  <si>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</si>
  <si>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</si>
  <si>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</si>
  <si>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</si>
  <si>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</si>
  <si>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</si>
  <si>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</si>
  <si>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</si>
  <si>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</si>
  <si>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</si>
  <si>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</si>
  <si>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</si>
  <si>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</si>
  <si>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</si>
  <si>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</si>
  <si>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</si>
  <si>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</si>
  <si>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</si>
  <si>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</si>
  <si>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</si>
  <si>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</si>
  <si>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</si>
  <si>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</si>
  <si>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</si>
  <si>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</si>
  <si>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</si>
  <si>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</si>
  <si>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</si>
  <si>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</si>
  <si>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</si>
  <si>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</si>
  <si>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</si>
  <si>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</si>
  <si>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</si>
  <si>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</si>
  <si>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</si>
  <si>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</si>
  <si>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</si>
  <si>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</si>
  <si>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</si>
  <si>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</si>
  <si>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</si>
  <si>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</si>
  <si>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</si>
  <si>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</si>
  <si>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</si>
  <si>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</si>
  <si>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</si>
  <si>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</si>
  <si>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</si>
  <si>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</si>
  <si>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</si>
  <si>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</si>
  <si>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</si>
  <si>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</si>
  <si>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</si>
  <si>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</si>
  <si>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</si>
  <si>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</si>
  <si>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</si>
  <si>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</si>
  <si>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</si>
  <si>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</si>
  <si>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</si>
  <si>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</si>
  <si>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</si>
  <si>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</si>
  <si>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</si>
  <si>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</si>
  <si>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</si>
  <si>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</si>
  <si>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</si>
  <si>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</si>
  <si>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</si>
  <si>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</si>
  <si>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</si>
  <si>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</si>
  <si>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</si>
  <si>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</si>
  <si>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</si>
  <si>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</si>
  <si>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</si>
  <si>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</si>
  <si>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</si>
  <si>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</si>
  <si>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</si>
  <si>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</si>
  <si>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</si>
  <si>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</si>
  <si>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</si>
  <si>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</si>
  <si>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</si>
  <si>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</si>
  <si>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</si>
  <si>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</si>
  <si>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</si>
  <si>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</si>
  <si>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</si>
  <si>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</si>
  <si>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</si>
  <si>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</si>
  <si>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</si>
  <si>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</si>
  <si>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</si>
  <si>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</si>
  <si>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</si>
  <si>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</si>
  <si>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</si>
  <si>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</si>
  <si>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</si>
  <si>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</si>
  <si>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</si>
  <si>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</si>
  <si>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</si>
  <si>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</si>
  <si>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</si>
  <si>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</si>
  <si>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</si>
  <si>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</si>
  <si>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</si>
  <si>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</si>
  <si>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</si>
  <si>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</si>
  <si>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</si>
  <si>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</si>
  <si>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</si>
  <si>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</si>
  <si>
    <t>d84</t>
  </si>
  <si>
    <t>Grain diameter corresponding to 84 percent passing.  Intermediate value used to report other results.</t>
  </si>
  <si>
    <t>d90</t>
  </si>
  <si>
    <t>Grain diameter corresponding to 90 percent passing.  Intermediate value used to report other results.</t>
  </si>
  <si>
    <t>percent_coarse_gravel</t>
  </si>
  <si>
    <t>percent coarse gravel</t>
  </si>
  <si>
    <t>The percentage of particles that pass the 75 mm sieve and are retained on the 19mm sieve (&lt;75 mm and &gt;19mm).</t>
  </si>
  <si>
    <t>percent_fine_gravel</t>
  </si>
  <si>
    <t>percent fine gravel</t>
  </si>
  <si>
    <t>The percentage of particles that pass the 19 mm sieve and are retained on the 4.75mm sieve (&lt;19 mm and &gt;4.75mm).</t>
  </si>
  <si>
    <t>percent_coarse_sand</t>
  </si>
  <si>
    <t>percent coarse sand</t>
  </si>
  <si>
    <t>The percentage of particles thatpass the #4 sieve and are retained on the #10 sieve (&lt;4.75 mm and &gt;2 mm).</t>
  </si>
  <si>
    <t>percent_medium_sand</t>
  </si>
  <si>
    <t>percent medium sand</t>
  </si>
  <si>
    <t>The percentage of particles thatpass the #10 sieve and are retained on the #40 sieve (&lt;2 mm and &gt;0.425 mm).</t>
  </si>
  <si>
    <t>percent_fine_sand</t>
  </si>
  <si>
    <t>percent fine sand</t>
  </si>
  <si>
    <t>The percentage of particles thatpass the #40 sieve and are retained on the #200 sieve (&lt;0.425 mm and &gt;0.075 mm).</t>
  </si>
  <si>
    <t>aashto_percent_gravel</t>
  </si>
  <si>
    <t>percent gravel aashto</t>
  </si>
  <si>
    <t>The percentage of particles that pass the 75mm sieve and are retained on the #10 sieve (&lt;75 mm and &gt;0.075 mm).</t>
  </si>
  <si>
    <t>aashto_percent_coarse_sand</t>
  </si>
  <si>
    <t>percent coarse sand aashto</t>
  </si>
  <si>
    <t>The percentage of particles that pass the #10 sieve and are retained on the #40 sieve (&lt;2 mm and &gt;0.425 mm).</t>
  </si>
  <si>
    <t>aashto_percent_fine_sand</t>
  </si>
  <si>
    <t>percent fine sand aashto</t>
  </si>
  <si>
    <t>The percentage of particles that pass the #40 sieve and are retained on the #200 sieve (&lt;0.425 mm and &gt;0.075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</si>
</sst>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39">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10" dataDxfId="9">
  <autoFilter ref="A1:E3" xr:uid="{00000000-0009-0000-0100-000002000000}"/>
  <tableColumns count="5">
    <tableColumn id="1" xr3:uid="{00000000-0010-0000-0000-000001000000}" name="Start" dataDxfId="8"/>
    <tableColumn id="4" xr3:uid="{00000000-0010-0000-0000-000004000000}" name="Dictionary ID" dataDxfId="7"/>
    <tableColumn id="5" xr3:uid="{00000000-0010-0000-0000-000005000000}" name="DictionaryFile"/>
    <tableColumn id="2" xr3:uid="{00000000-0010-0000-0000-000002000000}" name="DictionaryName" dataDxfId="6"/>
    <tableColumn id="3" xr3:uid="{00000000-0010-0000-0000-000003000000}" name="Description"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99" totalsRowShown="0" headerRowDxfId="22" dataDxfId="21">
  <autoFilter ref="A1:J199" xr:uid="{00000000-0009-0000-0100-000001000000}"/>
  <sortState xmlns:xlrd2="http://schemas.microsoft.com/office/spreadsheetml/2017/richdata2" ref="A2:H180">
    <sortCondition ref="B1:B180"/>
  </sortState>
  <tableColumns count="10">
    <tableColumn id="1" xr3:uid="{00000000-0010-0000-0100-000001000000}" name="Start" dataDxfId="20">
      <calculatedColumnFormula>IF(ISNA(VLOOKUP(B2,AssociatedElements!B$2:B659,1,FALSE)),"Not used","")</calculatedColumnFormula>
    </tableColumn>
    <tableColumn id="10" xr3:uid="{00000000-0010-0000-0100-00000A000000}" name="ID" dataDxfId="19"/>
    <tableColumn id="7" xr3:uid="{00000000-0010-0000-0100-000007000000}" name="Name" dataDxfId="18"/>
    <tableColumn id="3" xr3:uid="{00000000-0010-0000-0100-000003000000}" name="Description" dataDxfId="17"/>
    <tableColumn id="4" xr3:uid="{00000000-0010-0000-0100-000004000000}" name="DataType" dataDxfId="16"/>
    <tableColumn id="5" xr3:uid="{00000000-0010-0000-0100-000005000000}" name="QuantityClass" dataDxfId="15"/>
    <tableColumn id="6" xr3:uid="{00000000-0010-0000-0100-000006000000}" name="Authority" dataDxfId="14"/>
    <tableColumn id="9" xr3:uid="{00000000-0010-0000-0100-000009000000}" name="Reference" dataDxfId="13"/>
    <tableColumn id="2" xr3:uid="{514A6BB8-33C8-4E31-A303-203B88580677}" name="SLD Comment" dataDxfId="12"/>
    <tableColumn id="8" xr3:uid="{941837FD-9A64-45F5-AA1B-805F9901FDC7}" name="SLD Changed" dataDxfId="1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314" totalsRowShown="0" headerRowDxfId="4">
  <autoFilter ref="A1:D314"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99"/>
  <sheetViews>
    <sheetView tabSelected="1" topLeftCell="A194" zoomScale="150" zoomScaleNormal="150" workbookViewId="0">
      <selection activeCell="B200" sqref="B200"/>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807</v>
      </c>
      <c r="J1" s="1" t="s">
        <v>806</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808</v>
      </c>
      <c r="E7" s="2" t="s">
        <v>1</v>
      </c>
    </row>
    <row r="8" spans="1:10" ht="51">
      <c r="A8" s="2" t="str">
        <f>IF(ISNA(VLOOKUP(B8,AssociatedElements!B$2:B663,1,FALSE)),"Not used","")</f>
        <v/>
      </c>
      <c r="B8" s="2" t="s">
        <v>217</v>
      </c>
      <c r="C8" s="2" t="s">
        <v>366</v>
      </c>
      <c r="D8" s="2" t="s">
        <v>821</v>
      </c>
      <c r="E8" s="2" t="s">
        <v>1</v>
      </c>
      <c r="F8" s="28" t="s">
        <v>18</v>
      </c>
      <c r="J8" s="2" t="s">
        <v>805</v>
      </c>
    </row>
    <row r="9" spans="1:10" ht="60.75" customHeight="1">
      <c r="A9" s="2" t="str">
        <f>IF(ISNA(VLOOKUP(B9,AssociatedElements!B$2:B664,1,FALSE)),"Not used","")</f>
        <v/>
      </c>
      <c r="B9" s="11" t="s">
        <v>218</v>
      </c>
      <c r="C9" s="11" t="s">
        <v>367</v>
      </c>
      <c r="D9" s="12" t="s">
        <v>822</v>
      </c>
      <c r="E9" s="11" t="s">
        <v>1</v>
      </c>
      <c r="F9" s="28" t="s">
        <v>18</v>
      </c>
      <c r="J9" s="2" t="s">
        <v>805</v>
      </c>
    </row>
    <row r="10" spans="1:10" ht="51">
      <c r="A10" s="2" t="str">
        <f>IF(ISNA(VLOOKUP(B10,AssociatedElements!B$2:B665,1,FALSE)),"Not used","")</f>
        <v/>
      </c>
      <c r="B10" s="11" t="s">
        <v>290</v>
      </c>
      <c r="C10" s="11" t="s">
        <v>368</v>
      </c>
      <c r="D10" s="12" t="s">
        <v>823</v>
      </c>
      <c r="E10" s="11" t="s">
        <v>1</v>
      </c>
      <c r="F10" s="28" t="s">
        <v>18</v>
      </c>
      <c r="J10" s="2" t="s">
        <v>805</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809</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824</v>
      </c>
      <c r="E14" s="2" t="s">
        <v>1</v>
      </c>
      <c r="F14" s="28" t="s">
        <v>18</v>
      </c>
      <c r="J14" s="2" t="s">
        <v>805</v>
      </c>
    </row>
    <row r="15" spans="1:10" ht="85">
      <c r="A15" s="32" t="str">
        <f>IF(ISNA(VLOOKUP(B15,AssociatedElements!B$2:B669,1,FALSE)),"Not used","")</f>
        <v/>
      </c>
      <c r="B15" s="11" t="s">
        <v>222</v>
      </c>
      <c r="C15" s="11" t="s">
        <v>372</v>
      </c>
      <c r="D15" s="12" t="s">
        <v>542</v>
      </c>
      <c r="E15" s="11" t="s">
        <v>1</v>
      </c>
      <c r="F15" s="28" t="s">
        <v>18</v>
      </c>
      <c r="G15" s="11"/>
      <c r="H15" s="11"/>
      <c r="J15" s="2" t="s">
        <v>805</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866</v>
      </c>
      <c r="E19" s="11" t="s">
        <v>1</v>
      </c>
      <c r="F19" s="11" t="s">
        <v>862</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825</v>
      </c>
      <c r="E25" s="34" t="s">
        <v>1</v>
      </c>
      <c r="F25" s="28" t="s">
        <v>18</v>
      </c>
      <c r="G25" s="11"/>
      <c r="H25" s="11"/>
      <c r="J25" s="2" t="s">
        <v>805</v>
      </c>
    </row>
    <row r="26" spans="1:10" ht="51">
      <c r="A26" s="2" t="str">
        <f>IF(ISNA(VLOOKUP(B26,AssociatedElements!B$2:B679,1,FALSE)),"Not used","")</f>
        <v/>
      </c>
      <c r="B26" s="11" t="s">
        <v>296</v>
      </c>
      <c r="C26" s="11" t="s">
        <v>382</v>
      </c>
      <c r="D26" s="28" t="s">
        <v>826</v>
      </c>
      <c r="E26" s="34" t="s">
        <v>1</v>
      </c>
      <c r="F26" s="28" t="s">
        <v>18</v>
      </c>
      <c r="G26" s="11"/>
      <c r="H26" s="11"/>
      <c r="J26" s="2" t="s">
        <v>805</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827</v>
      </c>
      <c r="E38" s="11" t="s">
        <v>1</v>
      </c>
      <c r="F38" s="28" t="s">
        <v>18</v>
      </c>
      <c r="J38" s="2" t="s">
        <v>805</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810</v>
      </c>
      <c r="E50" s="11" t="s">
        <v>1</v>
      </c>
      <c r="J50" s="2" t="s">
        <v>805</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805</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863</v>
      </c>
      <c r="E56" s="11" t="s">
        <v>1</v>
      </c>
      <c r="F56" s="11" t="s">
        <v>862</v>
      </c>
    </row>
    <row r="57" spans="1:10" ht="119">
      <c r="A57" s="2" t="str">
        <f>IF(ISNA(VLOOKUP(B57,AssociatedElements!B$2:B706,1,FALSE)),"Not used","")</f>
        <v/>
      </c>
      <c r="B57" s="11" t="s">
        <v>283</v>
      </c>
      <c r="C57" s="11" t="s">
        <v>403</v>
      </c>
      <c r="D57" s="12" t="s">
        <v>864</v>
      </c>
      <c r="E57" s="11" t="s">
        <v>1</v>
      </c>
      <c r="F57" s="11" t="s">
        <v>862</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10</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811</v>
      </c>
      <c r="E89" s="11" t="s">
        <v>1</v>
      </c>
      <c r="F89" s="28" t="s">
        <v>18</v>
      </c>
      <c r="J89" s="2" t="s">
        <v>805</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812</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802</v>
      </c>
      <c r="C96" s="2" t="s">
        <v>804</v>
      </c>
      <c r="D96" s="2" t="s">
        <v>889</v>
      </c>
      <c r="E96" s="2" t="s">
        <v>1</v>
      </c>
    </row>
    <row r="97" spans="1:10" ht="17">
      <c r="A97" s="2" t="str">
        <f>IF(ISNA(VLOOKUP(B97,AssociatedElements!B$2:B835,1,FALSE)),"Not used","")</f>
        <v/>
      </c>
      <c r="B97" s="2" t="s">
        <v>801</v>
      </c>
      <c r="C97" s="24" t="s">
        <v>803</v>
      </c>
      <c r="D97" s="24" t="s">
        <v>890</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865</v>
      </c>
      <c r="E100" s="11" t="s">
        <v>1</v>
      </c>
      <c r="F100" s="11" t="s">
        <v>862</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805</v>
      </c>
    </row>
    <row r="112" spans="1:10" ht="34">
      <c r="A112" s="2" t="str">
        <f>IF(ISNA(VLOOKUP(B112,AssociatedElements!B$2:B750,1,FALSE)),"Not used","")</f>
        <v/>
      </c>
      <c r="B112" s="11" t="s">
        <v>304</v>
      </c>
      <c r="C112" s="15" t="s">
        <v>445</v>
      </c>
      <c r="D112" s="28" t="s">
        <v>817</v>
      </c>
      <c r="E112" s="36" t="s">
        <v>1</v>
      </c>
      <c r="F112" s="28" t="s">
        <v>18</v>
      </c>
      <c r="J112" s="2" t="s">
        <v>805</v>
      </c>
    </row>
    <row r="113" spans="1:10" ht="34">
      <c r="A113" s="2" t="str">
        <f>IF(ISNA(VLOOKUP(B113,AssociatedElements!B$2:B751,1,FALSE)),"Not used","")</f>
        <v/>
      </c>
      <c r="B113" s="11" t="s">
        <v>305</v>
      </c>
      <c r="C113" s="15" t="s">
        <v>446</v>
      </c>
      <c r="D113" s="28" t="s">
        <v>818</v>
      </c>
      <c r="E113" s="36" t="s">
        <v>1</v>
      </c>
      <c r="F113" s="28" t="s">
        <v>18</v>
      </c>
      <c r="J113" s="2" t="s">
        <v>805</v>
      </c>
    </row>
    <row r="114" spans="1:10" ht="34">
      <c r="A114" s="2" t="str">
        <f>IF(ISNA(VLOOKUP(B114,AssociatedElements!B$2:B752,1,FALSE)),"Not used","")</f>
        <v/>
      </c>
      <c r="B114" s="11" t="s">
        <v>306</v>
      </c>
      <c r="C114" s="15" t="s">
        <v>599</v>
      </c>
      <c r="D114" s="28" t="s">
        <v>819</v>
      </c>
      <c r="E114" s="36" t="s">
        <v>1</v>
      </c>
      <c r="F114" s="28" t="s">
        <v>18</v>
      </c>
      <c r="J114" s="2" t="s">
        <v>805</v>
      </c>
    </row>
    <row r="115" spans="1:10" ht="119">
      <c r="A115" s="2" t="str">
        <f>IF(ISNA(VLOOKUP(B115,AssociatedElements!B$2:B829,1,FALSE)),"Not used","")</f>
        <v/>
      </c>
      <c r="B115" s="2" t="s">
        <v>657</v>
      </c>
      <c r="C115" s="15" t="s">
        <v>664</v>
      </c>
      <c r="D115" s="28" t="s">
        <v>820</v>
      </c>
      <c r="E115" s="36" t="s">
        <v>1</v>
      </c>
      <c r="F115" s="28" t="s">
        <v>18</v>
      </c>
      <c r="J115" s="2" t="s">
        <v>805</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828</v>
      </c>
      <c r="E117" s="36" t="s">
        <v>1</v>
      </c>
      <c r="F117" s="28" t="s">
        <v>28</v>
      </c>
      <c r="I117" s="33"/>
      <c r="J117" s="2" t="s">
        <v>805</v>
      </c>
    </row>
    <row r="118" spans="1:10" ht="51">
      <c r="A118" s="2" t="str">
        <f>IF(ISNA(VLOOKUP(B118,AssociatedElements!B$2:B755,1,FALSE)),"Not used","")</f>
        <v/>
      </c>
      <c r="B118" s="11" t="s">
        <v>228</v>
      </c>
      <c r="C118" s="15" t="s">
        <v>449</v>
      </c>
      <c r="D118" s="28" t="s">
        <v>813</v>
      </c>
      <c r="E118" s="36" t="s">
        <v>180</v>
      </c>
      <c r="F118" s="36"/>
      <c r="J118" s="2" t="s">
        <v>805</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805</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861</v>
      </c>
      <c r="C128" s="15" t="s">
        <v>860</v>
      </c>
      <c r="D128" s="14" t="s">
        <v>465</v>
      </c>
      <c r="E128" s="15" t="s">
        <v>1</v>
      </c>
      <c r="F128" s="15" t="s">
        <v>201</v>
      </c>
    </row>
    <row r="129" spans="1:10" ht="17">
      <c r="A129" s="2" t="str">
        <f>IF(ISNA(VLOOKUP(B129,AssociatedElements!B$2:B786,1,FALSE)),"Not used","")</f>
        <v/>
      </c>
      <c r="B129" s="11" t="s">
        <v>881</v>
      </c>
      <c r="C129" s="11" t="s">
        <v>882</v>
      </c>
      <c r="D129" s="2" t="s">
        <v>883</v>
      </c>
      <c r="E129" s="11" t="s">
        <v>1</v>
      </c>
      <c r="F129" s="1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805</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891</v>
      </c>
      <c r="E143" s="15" t="s">
        <v>1</v>
      </c>
      <c r="F143" s="2" t="s">
        <v>12</v>
      </c>
      <c r="J143" s="2" t="s">
        <v>805</v>
      </c>
    </row>
    <row r="144" spans="1:10" ht="34">
      <c r="A144" s="2" t="str">
        <f>IF(ISNA(VLOOKUP(B144,AssociatedElements!B$2:B779,1,FALSE)),"Not used","")</f>
        <v/>
      </c>
      <c r="B144" s="11" t="s">
        <v>230</v>
      </c>
      <c r="C144" s="15" t="s">
        <v>488</v>
      </c>
      <c r="D144" s="14" t="s">
        <v>489</v>
      </c>
      <c r="E144" s="15" t="s">
        <v>180</v>
      </c>
      <c r="F144" s="2" t="s">
        <v>10</v>
      </c>
      <c r="J144" s="2" t="s">
        <v>805</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805</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2" t="str">
        <f>IF(ISNA(VLOOKUP(B161,AssociatedElements!B$2:B818,1,FALSE)),"Not used","")</f>
        <v/>
      </c>
      <c r="B161" s="11" t="s">
        <v>885</v>
      </c>
      <c r="C161" s="11" t="s">
        <v>887</v>
      </c>
      <c r="D161" s="2" t="s">
        <v>888</v>
      </c>
      <c r="E161" s="11" t="s">
        <v>1</v>
      </c>
      <c r="F161" s="1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805</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805</v>
      </c>
    </row>
    <row r="178" spans="1:10" ht="102">
      <c r="A178" s="2" t="str">
        <f>IF(ISNA(VLOOKUP(B178,AssociatedElements!B$2:B808,1,FALSE)),"Not used","")</f>
        <v/>
      </c>
      <c r="B178" s="11" t="s">
        <v>284</v>
      </c>
      <c r="C178" s="15" t="s">
        <v>613</v>
      </c>
      <c r="D178" s="28" t="s">
        <v>608</v>
      </c>
      <c r="E178" s="36" t="s">
        <v>1</v>
      </c>
      <c r="F178" s="28" t="s">
        <v>18</v>
      </c>
      <c r="J178" s="2" t="s">
        <v>805</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830</v>
      </c>
      <c r="D180" s="2" t="s">
        <v>843</v>
      </c>
      <c r="E180" s="11" t="s">
        <v>1</v>
      </c>
      <c r="F180" s="11" t="s">
        <v>2</v>
      </c>
    </row>
    <row r="181" spans="1:10" ht="34">
      <c r="A181" s="2" t="str">
        <f>IF(ISNA(VLOOKUP(B181,AssociatedElements!B$2:B839,1,FALSE)),"Not used","")</f>
        <v/>
      </c>
      <c r="B181" s="2" t="s">
        <v>829</v>
      </c>
      <c r="C181" s="2" t="s">
        <v>831</v>
      </c>
      <c r="D181" s="2" t="s">
        <v>844</v>
      </c>
      <c r="E181" s="2" t="s">
        <v>1</v>
      </c>
      <c r="F181" s="2" t="s">
        <v>28</v>
      </c>
    </row>
    <row r="182" spans="1:10" ht="34">
      <c r="A182" s="2" t="str">
        <f>IF(ISNA(VLOOKUP(B182,AssociatedElements!B$2:B840,1,FALSE)),"Not used","")</f>
        <v/>
      </c>
      <c r="B182" s="2" t="s">
        <v>832</v>
      </c>
      <c r="C182" s="2" t="s">
        <v>833</v>
      </c>
      <c r="D182" s="2" t="s">
        <v>845</v>
      </c>
      <c r="E182" s="2" t="s">
        <v>1</v>
      </c>
      <c r="F182" s="2" t="s">
        <v>28</v>
      </c>
    </row>
    <row r="183" spans="1:10" ht="34">
      <c r="A183" s="2" t="str">
        <f>IF(ISNA(VLOOKUP(B183,AssociatedElements!B$2:B841,1,FALSE)),"Not used","")</f>
        <v/>
      </c>
      <c r="B183" s="2" t="s">
        <v>834</v>
      </c>
      <c r="C183" s="2" t="s">
        <v>835</v>
      </c>
      <c r="D183" s="2" t="s">
        <v>846</v>
      </c>
      <c r="E183" s="2" t="s">
        <v>1</v>
      </c>
      <c r="F183" s="2" t="s">
        <v>28</v>
      </c>
    </row>
    <row r="184" spans="1:10" ht="34">
      <c r="A184" s="2" t="str">
        <f>IF(ISNA(VLOOKUP(B184,AssociatedElements!B$2:B842,1,FALSE)),"Not used","")</f>
        <v/>
      </c>
      <c r="B184" s="2" t="s">
        <v>836</v>
      </c>
      <c r="C184" s="2" t="s">
        <v>837</v>
      </c>
      <c r="D184" s="2" t="s">
        <v>847</v>
      </c>
      <c r="E184" s="2" t="s">
        <v>1</v>
      </c>
      <c r="F184" s="2" t="s">
        <v>28</v>
      </c>
    </row>
    <row r="185" spans="1:10" ht="51">
      <c r="A185" s="2" t="str">
        <f>IF(ISNA(VLOOKUP(B185,AssociatedElements!B$2:B843,1,FALSE)),"Not used","")</f>
        <v/>
      </c>
      <c r="B185" s="2" t="s">
        <v>839</v>
      </c>
      <c r="C185" s="2" t="s">
        <v>840</v>
      </c>
      <c r="D185" s="2" t="s">
        <v>848</v>
      </c>
      <c r="E185" s="2" t="s">
        <v>1</v>
      </c>
      <c r="F185" s="2" t="s">
        <v>19</v>
      </c>
    </row>
    <row r="186" spans="1:10" ht="34">
      <c r="A186" s="2" t="str">
        <f>IF(ISNA(VLOOKUP(B186,AssociatedElements!B$2:B844,1,FALSE)),"Not used","")</f>
        <v/>
      </c>
      <c r="B186" s="2" t="s">
        <v>841</v>
      </c>
      <c r="C186" s="2" t="s">
        <v>842</v>
      </c>
      <c r="D186" s="2" t="s">
        <v>849</v>
      </c>
      <c r="E186" s="2" t="s">
        <v>1</v>
      </c>
      <c r="F186" s="2" t="s">
        <v>3</v>
      </c>
    </row>
    <row r="187" spans="1:10" ht="51">
      <c r="A187" s="2" t="str">
        <f>IF(ISNA(VLOOKUP(B187,AssociatedElements!B$2:B845,1,FALSE)),"Not used","")</f>
        <v/>
      </c>
      <c r="B187" s="2" t="s">
        <v>851</v>
      </c>
      <c r="C187" s="2" t="s">
        <v>852</v>
      </c>
      <c r="D187" s="38" t="s">
        <v>853</v>
      </c>
      <c r="E187" s="2" t="s">
        <v>1</v>
      </c>
      <c r="F187" s="2" t="s">
        <v>10</v>
      </c>
    </row>
    <row r="188" spans="1:10" ht="34">
      <c r="A188" s="2" t="str">
        <f>IF(ISNA(VLOOKUP(B188,AssociatedElements!B$2:B846,1,FALSE)),"Not used","")</f>
        <v/>
      </c>
      <c r="B188" s="2" t="s">
        <v>854</v>
      </c>
      <c r="C188" s="2" t="s">
        <v>855</v>
      </c>
      <c r="D188" s="2" t="s">
        <v>859</v>
      </c>
      <c r="E188" s="2" t="s">
        <v>1</v>
      </c>
      <c r="F188" s="2" t="s">
        <v>10</v>
      </c>
    </row>
    <row r="189" spans="1:10" ht="34">
      <c r="A189" s="2" t="str">
        <f>IF(ISNA(VLOOKUP(B189,AssociatedElements!B$2:B847,1,FALSE)),"Not used","")</f>
        <v/>
      </c>
      <c r="B189" s="2" t="s">
        <v>856</v>
      </c>
      <c r="C189" s="2" t="s">
        <v>857</v>
      </c>
      <c r="D189" s="2" t="s">
        <v>858</v>
      </c>
      <c r="E189" s="2" t="s">
        <v>1</v>
      </c>
      <c r="F189" s="2" t="s">
        <v>18</v>
      </c>
    </row>
    <row r="190" spans="1:10" ht="34">
      <c r="A190" s="2" t="str">
        <f>IF(ISNA(VLOOKUP(B190,AssociatedElements!B$2:B847,1,FALSE)),"Not used","")</f>
        <v/>
      </c>
      <c r="B190" s="2" t="s">
        <v>892</v>
      </c>
      <c r="C190" s="2" t="s">
        <v>892</v>
      </c>
      <c r="D190" s="2" t="s">
        <v>893</v>
      </c>
      <c r="E190" s="2" t="s">
        <v>1</v>
      </c>
      <c r="F190" s="2" t="s">
        <v>2</v>
      </c>
    </row>
    <row r="191" spans="1:10" ht="34">
      <c r="A191" s="2" t="str">
        <f>IF(ISNA(VLOOKUP(B191,AssociatedElements!B$2:B848,1,FALSE)),"Not used","")</f>
        <v/>
      </c>
      <c r="B191" s="2" t="s">
        <v>894</v>
      </c>
      <c r="C191" s="2" t="s">
        <v>894</v>
      </c>
      <c r="D191" s="2" t="s">
        <v>895</v>
      </c>
      <c r="E191" s="2" t="s">
        <v>1</v>
      </c>
      <c r="F191" s="2" t="s">
        <v>2</v>
      </c>
    </row>
    <row r="192" spans="1:10" ht="34">
      <c r="A192" s="2" t="str">
        <f>IF(ISNA(VLOOKUP(B192,AssociatedElements!B$2:B849,1,FALSE)),"Not used","")</f>
        <v/>
      </c>
      <c r="B192" s="2" t="s">
        <v>896</v>
      </c>
      <c r="C192" s="2" t="s">
        <v>897</v>
      </c>
      <c r="D192" s="2" t="s">
        <v>898</v>
      </c>
      <c r="E192" s="2" t="s">
        <v>1</v>
      </c>
      <c r="F192" s="2" t="s">
        <v>18</v>
      </c>
    </row>
    <row r="193" spans="1:6" ht="34">
      <c r="A193" s="2" t="str">
        <f>IF(ISNA(VLOOKUP(B193,AssociatedElements!B$2:B850,1,FALSE)),"Not used","")</f>
        <v/>
      </c>
      <c r="B193" s="2" t="s">
        <v>899</v>
      </c>
      <c r="C193" s="2" t="s">
        <v>900</v>
      </c>
      <c r="D193" s="2" t="s">
        <v>901</v>
      </c>
      <c r="E193" s="2" t="s">
        <v>1</v>
      </c>
      <c r="F193" s="2" t="s">
        <v>18</v>
      </c>
    </row>
    <row r="194" spans="1:6" ht="34">
      <c r="A194" s="2" t="str">
        <f>IF(ISNA(VLOOKUP(B194,AssociatedElements!B$2:B851,1,FALSE)),"Not used","")</f>
        <v/>
      </c>
      <c r="B194" s="2" t="s">
        <v>902</v>
      </c>
      <c r="C194" s="2" t="s">
        <v>903</v>
      </c>
      <c r="D194" s="2" t="s">
        <v>904</v>
      </c>
      <c r="E194" s="2" t="s">
        <v>1</v>
      </c>
      <c r="F194" s="2" t="s">
        <v>18</v>
      </c>
    </row>
    <row r="195" spans="1:6" ht="34">
      <c r="A195" s="2" t="str">
        <f>IF(ISNA(VLOOKUP(B195,AssociatedElements!B$2:B852,1,FALSE)),"Not used","")</f>
        <v/>
      </c>
      <c r="B195" s="2" t="s">
        <v>905</v>
      </c>
      <c r="C195" s="2" t="s">
        <v>906</v>
      </c>
      <c r="D195" s="2" t="s">
        <v>907</v>
      </c>
      <c r="E195" s="2" t="s">
        <v>1</v>
      </c>
      <c r="F195" s="2" t="s">
        <v>18</v>
      </c>
    </row>
    <row r="196" spans="1:6" ht="34">
      <c r="A196" s="2" t="str">
        <f>IF(ISNA(VLOOKUP(B196,AssociatedElements!B$2:B853,1,FALSE)),"Not used","")</f>
        <v/>
      </c>
      <c r="B196" s="2" t="s">
        <v>908</v>
      </c>
      <c r="C196" s="2" t="s">
        <v>909</v>
      </c>
      <c r="D196" s="2" t="s">
        <v>910</v>
      </c>
      <c r="E196" s="2" t="s">
        <v>1</v>
      </c>
      <c r="F196" s="2" t="s">
        <v>18</v>
      </c>
    </row>
    <row r="197" spans="1:6" ht="34">
      <c r="A197" s="2" t="str">
        <f>IF(ISNA(VLOOKUP(B197,AssociatedElements!B$2:B854,1,FALSE)),"Not used","")</f>
        <v/>
      </c>
      <c r="B197" s="2" t="s">
        <v>911</v>
      </c>
      <c r="C197" s="2" t="s">
        <v>912</v>
      </c>
      <c r="D197" s="2" t="s">
        <v>913</v>
      </c>
      <c r="E197" s="2" t="s">
        <v>1</v>
      </c>
      <c r="F197" s="2" t="s">
        <v>18</v>
      </c>
    </row>
    <row r="198" spans="1:6" ht="34">
      <c r="A198" s="2" t="str">
        <f>IF(ISNA(VLOOKUP(B198,AssociatedElements!B$2:B855,1,FALSE)),"Not used","")</f>
        <v/>
      </c>
      <c r="B198" s="2" t="s">
        <v>914</v>
      </c>
      <c r="C198" s="2" t="s">
        <v>915</v>
      </c>
      <c r="D198" s="2" t="s">
        <v>916</v>
      </c>
      <c r="E198" s="2" t="s">
        <v>1</v>
      </c>
      <c r="F198" s="2" t="s">
        <v>18</v>
      </c>
    </row>
    <row r="199" spans="1:6" ht="34">
      <c r="A199" s="2" t="str">
        <f>IF(ISNA(VLOOKUP(B199,AssociatedElements!B$2:B856,1,FALSE)),"Not used","")</f>
        <v/>
      </c>
      <c r="B199" s="2" t="s">
        <v>917</v>
      </c>
      <c r="C199" s="2" t="s">
        <v>918</v>
      </c>
      <c r="D199" s="2" t="s">
        <v>919</v>
      </c>
      <c r="E199" s="2" t="s">
        <v>1</v>
      </c>
      <c r="F19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314"/>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6" t="s">
        <v>251</v>
      </c>
      <c r="C2" s="21" t="s">
        <v>632</v>
      </c>
      <c r="D2" s="21" t="s">
        <v>740</v>
      </c>
    </row>
    <row r="3" spans="1:4" ht="17">
      <c r="A3" t="str">
        <f>IF(ISNA(VLOOKUP(B3,Definitions!B$2:B$1623,1,FALSE)),"Not listed","")</f>
        <v/>
      </c>
      <c r="B3" s="2" t="s">
        <v>656</v>
      </c>
      <c r="C3" s="4" t="s">
        <v>632</v>
      </c>
      <c r="D3" s="21" t="s">
        <v>768</v>
      </c>
    </row>
    <row r="4" spans="1:4" ht="17">
      <c r="A4" t="str">
        <f>IF(ISNA(VLOOKUP(B4,Definitions!B$2:B$1623,1,FALSE)),"Not listed","")</f>
        <v/>
      </c>
      <c r="B4" s="2" t="s">
        <v>655</v>
      </c>
      <c r="C4" s="4" t="s">
        <v>632</v>
      </c>
      <c r="D4" s="21" t="s">
        <v>768</v>
      </c>
    </row>
    <row r="5" spans="1:4">
      <c r="A5" t="str">
        <f>IF(ISNA(VLOOKUP(B5,Definitions!B$2:B$1623,1,FALSE)),"Not listed","")</f>
        <v/>
      </c>
      <c r="B5" t="s">
        <v>214</v>
      </c>
      <c r="C5" s="4" t="s">
        <v>632</v>
      </c>
      <c r="D5" s="21" t="s">
        <v>721</v>
      </c>
    </row>
    <row r="6" spans="1:4">
      <c r="A6" t="str">
        <f>IF(ISNA(VLOOKUP(B6,Definitions!B$2:B$1623,1,FALSE)),"Not listed","")</f>
        <v/>
      </c>
      <c r="B6" t="s">
        <v>215</v>
      </c>
      <c r="C6" s="4" t="s">
        <v>632</v>
      </c>
      <c r="D6" s="21" t="s">
        <v>722</v>
      </c>
    </row>
    <row r="7" spans="1:4">
      <c r="A7" t="str">
        <f>IF(ISNA(VLOOKUP(B7,Definitions!B$2:B$1623,1,FALSE)),"Not listed","")</f>
        <v/>
      </c>
      <c r="B7" t="s">
        <v>216</v>
      </c>
      <c r="C7" s="4" t="s">
        <v>632</v>
      </c>
      <c r="D7" s="21" t="s">
        <v>723</v>
      </c>
    </row>
    <row r="8" spans="1:4">
      <c r="A8" t="str">
        <f>IF(ISNA(VLOOKUP(B8,Definitions!B$2:B$1623,1,FALSE)),"Not listed","")</f>
        <v/>
      </c>
      <c r="B8" t="s">
        <v>217</v>
      </c>
      <c r="C8" s="4" t="s">
        <v>632</v>
      </c>
      <c r="D8" s="21" t="s">
        <v>724</v>
      </c>
    </row>
    <row r="9" spans="1:4">
      <c r="A9" t="str">
        <f>IF(ISNA(VLOOKUP(B9,Definitions!B$2:B$1623,1,FALSE)),"Not listed","")</f>
        <v/>
      </c>
      <c r="B9" t="s">
        <v>218</v>
      </c>
      <c r="C9" s="4" t="s">
        <v>632</v>
      </c>
      <c r="D9" s="21" t="s">
        <v>725</v>
      </c>
    </row>
    <row r="10" spans="1:4">
      <c r="A10" t="str">
        <f>IF(ISNA(VLOOKUP(B10,Definitions!B$2:B$1623,1,FALSE)),"Not listed","")</f>
        <v/>
      </c>
      <c r="B10" t="s">
        <v>290</v>
      </c>
      <c r="C10" s="4" t="s">
        <v>632</v>
      </c>
      <c r="D10" s="21" t="s">
        <v>760</v>
      </c>
    </row>
    <row r="11" spans="1:4">
      <c r="A11" t="str">
        <f>IF(ISNA(VLOOKUP(B11,Definitions!B$2:B$1623,1,FALSE)),"Not listed","")</f>
        <v/>
      </c>
      <c r="B11" t="s">
        <v>291</v>
      </c>
      <c r="C11" s="4" t="s">
        <v>632</v>
      </c>
      <c r="D11" s="21" t="s">
        <v>760</v>
      </c>
    </row>
    <row r="12" spans="1:4">
      <c r="A12" t="str">
        <f>IF(ISNA(VLOOKUP(B12,Definitions!B$2:B$1623,1,FALSE)),"Not listed","")</f>
        <v/>
      </c>
      <c r="B12" t="s">
        <v>292</v>
      </c>
      <c r="C12" s="4" t="s">
        <v>632</v>
      </c>
      <c r="D12" s="21" t="s">
        <v>760</v>
      </c>
    </row>
    <row r="13" spans="1:4">
      <c r="A13" t="str">
        <f>IF(ISNA(VLOOKUP(B13,Definitions!B$2:B$1623,1,FALSE)),"Not listed","")</f>
        <v/>
      </c>
      <c r="B13" t="s">
        <v>219</v>
      </c>
      <c r="C13" s="4" t="s">
        <v>632</v>
      </c>
      <c r="D13" s="21" t="s">
        <v>726</v>
      </c>
    </row>
    <row r="14" spans="1:4" ht="17">
      <c r="A14" t="str">
        <f>IF(ISNA(VLOOKUP(B14,Definitions!B$2:B$1623,1,FALSE)),"Not listed","")</f>
        <v/>
      </c>
      <c r="B14" s="2" t="s">
        <v>625</v>
      </c>
      <c r="C14" s="4" t="s">
        <v>632</v>
      </c>
      <c r="D14" s="21" t="s">
        <v>728</v>
      </c>
    </row>
    <row r="15" spans="1:4">
      <c r="A15" t="str">
        <f>IF(ISNA(VLOOKUP(B15,Definitions!B$2:B$1623,1,FALSE)),"Not listed","")</f>
        <v/>
      </c>
      <c r="B15" t="s">
        <v>222</v>
      </c>
      <c r="C15" s="4" t="s">
        <v>632</v>
      </c>
      <c r="D15" s="21" t="s">
        <v>730</v>
      </c>
    </row>
    <row r="16" spans="1:4" ht="17">
      <c r="A16" t="str">
        <f>IF(ISNA(VLOOKUP(B16,Definitions!B$2:B$1623,1,FALSE)),"Not listed","")</f>
        <v/>
      </c>
      <c r="B16" s="26" t="s">
        <v>252</v>
      </c>
      <c r="C16" s="21" t="s">
        <v>632</v>
      </c>
      <c r="D16" s="21" t="s">
        <v>740</v>
      </c>
    </row>
    <row r="17" spans="1:4">
      <c r="A17" t="str">
        <f>IF(ISNA(VLOOKUP(B17,Definitions!B$2:B$1623,1,FALSE)),"Not listed","")</f>
        <v/>
      </c>
      <c r="B17" t="s">
        <v>344</v>
      </c>
      <c r="C17" s="4" t="s">
        <v>632</v>
      </c>
      <c r="D17" s="21" t="s">
        <v>732</v>
      </c>
    </row>
    <row r="18" spans="1:4" ht="17">
      <c r="A18" t="str">
        <f>IF(ISNA(VLOOKUP(B18,Definitions!B$2:B$1623,1,FALSE)),"Not listed","")</f>
        <v/>
      </c>
      <c r="B18" s="26" t="s">
        <v>627</v>
      </c>
      <c r="C18" s="21" t="s">
        <v>632</v>
      </c>
      <c r="D18" s="21" t="s">
        <v>737</v>
      </c>
    </row>
    <row r="19" spans="1:4" ht="17">
      <c r="A19" t="str">
        <f>IF(ISNA(VLOOKUP(B19,Definitions!B$2:B$1623,1,FALSE)),"Not listed","")</f>
        <v/>
      </c>
      <c r="B19" s="26" t="s">
        <v>272</v>
      </c>
      <c r="C19" s="21" t="s">
        <v>632</v>
      </c>
      <c r="D19" s="21" t="s">
        <v>743</v>
      </c>
    </row>
    <row r="20" spans="1:4">
      <c r="A20" t="str">
        <f>IF(ISNA(VLOOKUP(B20,Definitions!B$2:B$1623,1,FALSE)),"Not listed","")</f>
        <v/>
      </c>
      <c r="B20" t="s">
        <v>272</v>
      </c>
      <c r="C20" s="4" t="s">
        <v>632</v>
      </c>
      <c r="D20" s="21" t="s">
        <v>744</v>
      </c>
    </row>
    <row r="21" spans="1:4" ht="17">
      <c r="A21" t="str">
        <f>IF(ISNA(VLOOKUP(B21,Definitions!B$2:B$1623,1,FALSE)),"Not listed","")</f>
        <v/>
      </c>
      <c r="B21" s="26" t="s">
        <v>272</v>
      </c>
      <c r="C21" s="21" t="s">
        <v>632</v>
      </c>
      <c r="D21" s="21" t="s">
        <v>749</v>
      </c>
    </row>
    <row r="22" spans="1:4" ht="17">
      <c r="A22" t="str">
        <f>IF(ISNA(VLOOKUP(B22,Definitions!B$2:B$1623,1,FALSE)),"Not listed","")</f>
        <v/>
      </c>
      <c r="B22" s="26" t="s">
        <v>272</v>
      </c>
      <c r="C22" s="21" t="s">
        <v>632</v>
      </c>
      <c r="D22" s="21" t="s">
        <v>752</v>
      </c>
    </row>
    <row r="23" spans="1:4" ht="17">
      <c r="A23" t="str">
        <f>IF(ISNA(VLOOKUP([1]AssociatedElements!B279,Definitions!B$2:B$1623,1,FALSE)),"Not listed","")</f>
        <v/>
      </c>
      <c r="B23" s="11" t="s">
        <v>814</v>
      </c>
      <c r="C23" s="4" t="s">
        <v>632</v>
      </c>
      <c r="D23" s="21" t="s">
        <v>743</v>
      </c>
    </row>
    <row r="24" spans="1:4" ht="17">
      <c r="A24" t="str">
        <f>IF(ISNA(VLOOKUP([1]AssociatedElements!B280,Definitions!B$2:B$1623,1,FALSE)),"Not listed","")</f>
        <v/>
      </c>
      <c r="B24" s="11" t="s">
        <v>814</v>
      </c>
      <c r="C24" s="4" t="s">
        <v>632</v>
      </c>
      <c r="D24" s="21" t="s">
        <v>744</v>
      </c>
    </row>
    <row r="25" spans="1:4" ht="17">
      <c r="A25" t="str">
        <f>IF(ISNA(VLOOKUP([1]AssociatedElements!B281,Definitions!B$2:B$1623,1,FALSE)),"Not listed","")</f>
        <v/>
      </c>
      <c r="B25" s="11" t="s">
        <v>814</v>
      </c>
      <c r="C25" s="4" t="s">
        <v>632</v>
      </c>
      <c r="D25" s="21" t="s">
        <v>749</v>
      </c>
    </row>
    <row r="26" spans="1:4" ht="17">
      <c r="A26" t="str">
        <f>IF(ISNA(VLOOKUP([1]AssociatedElements!B282,Definitions!B$2:B$1623,1,FALSE)),"Not listed","")</f>
        <v/>
      </c>
      <c r="B26" s="11" t="s">
        <v>814</v>
      </c>
      <c r="C26" s="4" t="s">
        <v>632</v>
      </c>
      <c r="D26" s="21" t="s">
        <v>752</v>
      </c>
    </row>
    <row r="27" spans="1:4" ht="17">
      <c r="A27" t="str">
        <f>IF(ISNA(VLOOKUP(B27,Definitions!B$2:B$1623,1,FALSE)),"Not listed","")</f>
        <v/>
      </c>
      <c r="B27" s="26" t="s">
        <v>253</v>
      </c>
      <c r="C27" s="21" t="s">
        <v>632</v>
      </c>
      <c r="D27" s="21" t="s">
        <v>740</v>
      </c>
    </row>
    <row r="28" spans="1:4" ht="17">
      <c r="A28" t="str">
        <f>IF(ISNA(VLOOKUP([1]AssociatedElements!B289,Definitions!B$2:B$1623,1,FALSE)),"Not listed","")</f>
        <v/>
      </c>
      <c r="B28" s="2" t="s">
        <v>854</v>
      </c>
      <c r="C28" s="4" t="s">
        <v>632</v>
      </c>
      <c r="D28" s="21" t="s">
        <v>751</v>
      </c>
    </row>
    <row r="29" spans="1:4" ht="17">
      <c r="A29" t="str">
        <f>IF(ISNA(VLOOKUP(B29,Definitions!B$2:B$1623,1,FALSE)),"Not listed","")</f>
        <v/>
      </c>
      <c r="B29" s="26" t="s">
        <v>273</v>
      </c>
      <c r="C29" s="21" t="s">
        <v>632</v>
      </c>
      <c r="D29" s="21" t="s">
        <v>743</v>
      </c>
    </row>
    <row r="30" spans="1:4" ht="17">
      <c r="A30" t="str">
        <f>IF(ISNA(VLOOKUP(B30,Definitions!B$2:B$1623,1,FALSE)),"Not listed","")</f>
        <v/>
      </c>
      <c r="B30" s="26" t="s">
        <v>273</v>
      </c>
      <c r="C30" s="21" t="s">
        <v>632</v>
      </c>
      <c r="D30" s="21" t="s">
        <v>749</v>
      </c>
    </row>
    <row r="31" spans="1:4" ht="17">
      <c r="A31" t="str">
        <f>IF(ISNA(VLOOKUP(B31,Definitions!B$2:B$1623,1,FALSE)),"Not listed","")</f>
        <v/>
      </c>
      <c r="B31" s="26" t="s">
        <v>274</v>
      </c>
      <c r="C31" s="21" t="s">
        <v>632</v>
      </c>
      <c r="D31" s="21" t="s">
        <v>743</v>
      </c>
    </row>
    <row r="32" spans="1:4" ht="17">
      <c r="A32" t="str">
        <f>IF(ISNA(VLOOKUP(B32,Definitions!B$2:B$1623,1,FALSE)),"Not listed","")</f>
        <v/>
      </c>
      <c r="B32" s="26" t="s">
        <v>274</v>
      </c>
      <c r="C32" s="21" t="s">
        <v>632</v>
      </c>
      <c r="D32" s="21" t="s">
        <v>749</v>
      </c>
    </row>
    <row r="33" spans="1:4">
      <c r="A33" t="str">
        <f>IF(ISNA(VLOOKUP(B33,Definitions!B$2:B$1623,1,FALSE)),"Not listed","")</f>
        <v/>
      </c>
      <c r="B33" t="s">
        <v>234</v>
      </c>
      <c r="C33" s="4" t="s">
        <v>632</v>
      </c>
      <c r="D33" s="21" t="s">
        <v>733</v>
      </c>
    </row>
    <row r="34" spans="1:4" ht="17">
      <c r="A34" t="str">
        <f>IF(ISNA(VLOOKUP(B34,Definitions!B$2:B$1623,1,FALSE)),"Not listed","")</f>
        <v/>
      </c>
      <c r="B34" s="26" t="s">
        <v>280</v>
      </c>
      <c r="C34" s="21" t="s">
        <v>632</v>
      </c>
      <c r="D34" s="21" t="s">
        <v>750</v>
      </c>
    </row>
    <row r="35" spans="1:4" ht="17">
      <c r="A35" t="str">
        <f>IF(ISNA(VLOOKUP(B35,Definitions!B$2:B$1623,1,FALSE)),"Not listed","")</f>
        <v/>
      </c>
      <c r="B35" s="26" t="s">
        <v>295</v>
      </c>
      <c r="C35" s="21" t="s">
        <v>632</v>
      </c>
      <c r="D35" s="21" t="s">
        <v>768</v>
      </c>
    </row>
    <row r="36" spans="1:4" ht="17">
      <c r="A36" t="str">
        <f>IF(ISNA(VLOOKUP(B36,Definitions!B$2:B$1623,1,FALSE)),"Not listed","")</f>
        <v/>
      </c>
      <c r="B36" s="26" t="s">
        <v>296</v>
      </c>
      <c r="C36" s="21" t="s">
        <v>632</v>
      </c>
      <c r="D36" s="21" t="s">
        <v>768</v>
      </c>
    </row>
    <row r="37" spans="1:4" ht="17">
      <c r="A37" t="str">
        <f>IF(ISNA(VLOOKUP(B37,Definitions!B$2:B$1623,1,FALSE)),"Not listed","")</f>
        <v/>
      </c>
      <c r="B37" s="26" t="s">
        <v>254</v>
      </c>
      <c r="C37" s="21" t="s">
        <v>632</v>
      </c>
      <c r="D37" s="21" t="s">
        <v>740</v>
      </c>
    </row>
    <row r="38" spans="1:4" ht="17">
      <c r="A38" t="str">
        <f>IF(ISNA(VLOOKUP(B38,Definitions!B$2:B$1623,1,FALSE)),"Not listed","")</f>
        <v/>
      </c>
      <c r="B38" s="26" t="s">
        <v>254</v>
      </c>
      <c r="C38" s="21" t="s">
        <v>632</v>
      </c>
      <c r="D38" s="21" t="s">
        <v>772</v>
      </c>
    </row>
    <row r="39" spans="1:4" ht="17">
      <c r="A39" t="str">
        <f>IF(ISNA(VLOOKUP(B39,Definitions!B$2:B$1623,1,FALSE)),"Not listed","")</f>
        <v/>
      </c>
      <c r="B39" s="26" t="s">
        <v>235</v>
      </c>
      <c r="C39" s="21" t="s">
        <v>632</v>
      </c>
      <c r="D39" s="21" t="s">
        <v>734</v>
      </c>
    </row>
    <row r="40" spans="1:4" ht="17">
      <c r="A40" t="str">
        <f>IF(ISNA(VLOOKUP(B40,Definitions!B$2:B$1623,1,FALSE)),"Not listed","")</f>
        <v/>
      </c>
      <c r="B40" s="26" t="s">
        <v>297</v>
      </c>
      <c r="C40" s="21" t="s">
        <v>632</v>
      </c>
      <c r="D40" s="21" t="s">
        <v>764</v>
      </c>
    </row>
    <row r="41" spans="1:4" ht="17">
      <c r="A41" t="str">
        <f>IF(ISNA(VLOOKUP(B41,Definitions!B$2:B$1623,1,FALSE)),"Not listed","")</f>
        <v/>
      </c>
      <c r="B41" s="26" t="s">
        <v>297</v>
      </c>
      <c r="C41" s="21" t="s">
        <v>632</v>
      </c>
      <c r="D41" s="21" t="s">
        <v>768</v>
      </c>
    </row>
    <row r="42" spans="1:4" ht="17">
      <c r="A42" t="str">
        <f>IF(ISNA(VLOOKUP(B42,Definitions!B$2:B$1623,1,FALSE)),"Not listed","")</f>
        <v/>
      </c>
      <c r="B42" s="26" t="s">
        <v>255</v>
      </c>
      <c r="C42" s="21" t="s">
        <v>632</v>
      </c>
      <c r="D42" s="21" t="s">
        <v>740</v>
      </c>
    </row>
    <row r="43" spans="1:4">
      <c r="A43" t="str">
        <f>IF(ISNA(VLOOKUP(B43,Definitions!B$2:B$1623,1,FALSE)),"Not listed","")</f>
        <v/>
      </c>
      <c r="B43" t="s">
        <v>255</v>
      </c>
      <c r="C43" s="4" t="s">
        <v>632</v>
      </c>
      <c r="D43" s="21" t="s">
        <v>774</v>
      </c>
    </row>
    <row r="44" spans="1:4">
      <c r="A44" t="str">
        <f>IF(ISNA(VLOOKUP(B44,Definitions!B$2:B$1623,1,FALSE)),"Not listed","")</f>
        <v/>
      </c>
      <c r="B44" t="s">
        <v>276</v>
      </c>
      <c r="C44" s="4" t="s">
        <v>632</v>
      </c>
      <c r="D44" s="21" t="s">
        <v>746</v>
      </c>
    </row>
    <row r="45" spans="1:4" ht="17">
      <c r="A45" t="str">
        <f>IF(ISNA(VLOOKUP(B45,Definitions!B$2:B$1623,1,FALSE)),"Not listed","")</f>
        <v/>
      </c>
      <c r="B45" s="26" t="s">
        <v>276</v>
      </c>
      <c r="C45" s="21" t="s">
        <v>632</v>
      </c>
      <c r="D45" s="21" t="s">
        <v>754</v>
      </c>
    </row>
    <row r="46" spans="1:4">
      <c r="A46" t="str">
        <f>IF(ISNA(VLOOKUP(B46,Definitions!B$2:B$1623,1,FALSE)),"Not listed","")</f>
        <v/>
      </c>
      <c r="B46" t="s">
        <v>276</v>
      </c>
      <c r="C46" s="4" t="s">
        <v>632</v>
      </c>
      <c r="D46" s="21" t="s">
        <v>775</v>
      </c>
    </row>
    <row r="47" spans="1:4" ht="17">
      <c r="A47" t="str">
        <f>IF(ISNA(VLOOKUP(B47,Definitions!B$2:B$1623,1,FALSE)),"Not listed","")</f>
        <v/>
      </c>
      <c r="B47" s="26" t="s">
        <v>276</v>
      </c>
      <c r="C47" s="21" t="s">
        <v>632</v>
      </c>
      <c r="D47" s="21" t="s">
        <v>785</v>
      </c>
    </row>
    <row r="48" spans="1:4" ht="17">
      <c r="A48" t="str">
        <f>IF(ISNA(VLOOKUP(B48,Definitions!B$2:B$1623,1,FALSE)),"Not listed","")</f>
        <v/>
      </c>
      <c r="B48" s="26" t="s">
        <v>288</v>
      </c>
      <c r="C48" s="21" t="s">
        <v>632</v>
      </c>
      <c r="D48" s="21" t="s">
        <v>754</v>
      </c>
    </row>
    <row r="49" spans="1:4">
      <c r="A49" t="str">
        <f>IF(ISNA(VLOOKUP(B49,Definitions!B$2:B$1623,1,FALSE)),"Not listed","")</f>
        <v/>
      </c>
      <c r="B49" t="s">
        <v>277</v>
      </c>
      <c r="C49" s="4" t="s">
        <v>632</v>
      </c>
      <c r="D49" s="21" t="s">
        <v>746</v>
      </c>
    </row>
    <row r="50" spans="1:4" ht="17">
      <c r="A50" t="str">
        <f>IF(ISNA(VLOOKUP(B50,Definitions!B$2:B$1623,1,FALSE)),"Not listed","")</f>
        <v/>
      </c>
      <c r="B50" s="26" t="s">
        <v>277</v>
      </c>
      <c r="C50" s="21" t="s">
        <v>632</v>
      </c>
      <c r="D50" s="21" t="s">
        <v>754</v>
      </c>
    </row>
    <row r="51" spans="1:4" ht="17">
      <c r="A51" t="str">
        <f>IF(ISNA(VLOOKUP(B51,Definitions!B$2:B$1623,1,FALSE)),"Not listed","")</f>
        <v/>
      </c>
      <c r="B51" s="26" t="s">
        <v>277</v>
      </c>
      <c r="C51" s="21" t="s">
        <v>632</v>
      </c>
      <c r="D51" s="21" t="s">
        <v>772</v>
      </c>
    </row>
    <row r="52" spans="1:4">
      <c r="A52" t="str">
        <f>IF(ISNA(VLOOKUP(B52,Definitions!B$2:B$1623,1,FALSE)),"Not listed","")</f>
        <v/>
      </c>
      <c r="B52" t="s">
        <v>277</v>
      </c>
      <c r="C52" s="4" t="s">
        <v>632</v>
      </c>
      <c r="D52" s="21" t="s">
        <v>775</v>
      </c>
    </row>
    <row r="53" spans="1:4" ht="17">
      <c r="A53" t="str">
        <f>IF(ISNA(VLOOKUP(B53,Definitions!B$2:B$1623,1,FALSE)),"Not listed","")</f>
        <v/>
      </c>
      <c r="B53" s="26" t="s">
        <v>277</v>
      </c>
      <c r="C53" s="21" t="s">
        <v>632</v>
      </c>
      <c r="D53" s="21" t="s">
        <v>785</v>
      </c>
    </row>
    <row r="54" spans="1:4">
      <c r="A54" t="str">
        <f>IF(ISNA(VLOOKUP(B54,Definitions!B$2:B$1623,1,FALSE)),"Not listed","")</f>
        <v/>
      </c>
      <c r="B54" t="s">
        <v>278</v>
      </c>
      <c r="C54" s="4" t="s">
        <v>632</v>
      </c>
      <c r="D54" s="21" t="s">
        <v>746</v>
      </c>
    </row>
    <row r="55" spans="1:4" ht="17">
      <c r="A55" t="str">
        <f>IF(ISNA(VLOOKUP(B55,Definitions!B$2:B$1623,1,FALSE)),"Not listed","")</f>
        <v/>
      </c>
      <c r="B55" s="26" t="s">
        <v>278</v>
      </c>
      <c r="C55" s="21" t="s">
        <v>632</v>
      </c>
      <c r="D55" s="21" t="s">
        <v>754</v>
      </c>
    </row>
    <row r="56" spans="1:4">
      <c r="A56" t="str">
        <f>IF(ISNA(VLOOKUP(B56,Definitions!B$2:B$1623,1,FALSE)),"Not listed","")</f>
        <v/>
      </c>
      <c r="B56" t="s">
        <v>278</v>
      </c>
      <c r="C56" s="4" t="s">
        <v>632</v>
      </c>
      <c r="D56" s="21" t="s">
        <v>775</v>
      </c>
    </row>
    <row r="57" spans="1:4" ht="17">
      <c r="A57" t="str">
        <f>IF(ISNA(VLOOKUP(B57,Definitions!B$2:B$1623,1,FALSE)),"Not listed","")</f>
        <v/>
      </c>
      <c r="B57" s="26" t="s">
        <v>278</v>
      </c>
      <c r="C57" s="21" t="s">
        <v>632</v>
      </c>
      <c r="D57" s="21" t="s">
        <v>785</v>
      </c>
    </row>
    <row r="58" spans="1:4" ht="17">
      <c r="A58" t="str">
        <f>IF(ISNA(VLOOKUP(B58,Definitions!B$2:B$1623,1,FALSE)),"Not listed","")</f>
        <v/>
      </c>
      <c r="B58" s="26" t="s">
        <v>298</v>
      </c>
      <c r="C58" s="21" t="s">
        <v>632</v>
      </c>
      <c r="D58" s="21" t="s">
        <v>764</v>
      </c>
    </row>
    <row r="59" spans="1:4" ht="17">
      <c r="A59" t="str">
        <f>IF(ISNA(VLOOKUP(B59,Definitions!B$2:B$1623,1,FALSE)),"Not listed","")</f>
        <v/>
      </c>
      <c r="B59" s="26" t="s">
        <v>298</v>
      </c>
      <c r="C59" s="21" t="s">
        <v>632</v>
      </c>
      <c r="D59" s="21" t="s">
        <v>768</v>
      </c>
    </row>
    <row r="60" spans="1:4" ht="17">
      <c r="A60" t="str">
        <f>IF(ISNA(VLOOKUP(B60,Definitions!B$2:B$1623,1,FALSE)),"Not listed","")</f>
        <v/>
      </c>
      <c r="B60" s="26" t="s">
        <v>241</v>
      </c>
      <c r="C60" s="21" t="s">
        <v>632</v>
      </c>
      <c r="D60" s="21" t="s">
        <v>735</v>
      </c>
    </row>
    <row r="61" spans="1:4" ht="17">
      <c r="A61" t="str">
        <f>IF(ISNA(VLOOKUP(B61,Definitions!B$2:B$1623,1,FALSE)),"Not listed","")</f>
        <v/>
      </c>
      <c r="B61" s="26" t="s">
        <v>242</v>
      </c>
      <c r="C61" s="21" t="s">
        <v>632</v>
      </c>
      <c r="D61" s="21" t="s">
        <v>735</v>
      </c>
    </row>
    <row r="62" spans="1:4" ht="17">
      <c r="A62" t="str">
        <f>IF(ISNA(VLOOKUP(B62,Definitions!B$2:B$1623,1,FALSE)),"Not listed","")</f>
        <v/>
      </c>
      <c r="B62" s="26" t="s">
        <v>299</v>
      </c>
      <c r="C62" s="21" t="s">
        <v>632</v>
      </c>
      <c r="D62" s="21" t="s">
        <v>768</v>
      </c>
    </row>
    <row r="63" spans="1:4" ht="17">
      <c r="A63" t="str">
        <f>IF(ISNA(VLOOKUP(B63,Definitions!B$2:B$1623,1,FALSE)),"Not listed","")</f>
        <v/>
      </c>
      <c r="B63" s="26" t="s">
        <v>236</v>
      </c>
      <c r="C63" s="21" t="s">
        <v>632</v>
      </c>
      <c r="D63" s="21" t="s">
        <v>734</v>
      </c>
    </row>
    <row r="64" spans="1:4" ht="17">
      <c r="A64" t="str">
        <f>IF(ISNA(VLOOKUP(B64,Definitions!B$2:B$1623,1,FALSE)),"Not listed","")</f>
        <v/>
      </c>
      <c r="B64" s="2" t="s">
        <v>286</v>
      </c>
      <c r="C64" s="4" t="s">
        <v>632</v>
      </c>
      <c r="D64" s="21" t="s">
        <v>745</v>
      </c>
    </row>
    <row r="65" spans="1:4">
      <c r="A65" t="str">
        <f>IF(ISNA(VLOOKUP(B65,Definitions!B$2:B$1623,1,FALSE)),"Not listed","")</f>
        <v/>
      </c>
      <c r="B65" t="s">
        <v>286</v>
      </c>
      <c r="C65" s="4" t="s">
        <v>632</v>
      </c>
      <c r="D65" s="21" t="s">
        <v>753</v>
      </c>
    </row>
    <row r="66" spans="1:4" ht="17">
      <c r="A66" t="str">
        <f>IF(ISNA(VLOOKUP(B66,Definitions!B$2:B$1623,1,FALSE)),"Not listed","")</f>
        <v/>
      </c>
      <c r="B66" s="26" t="s">
        <v>286</v>
      </c>
      <c r="C66" s="21" t="s">
        <v>632</v>
      </c>
      <c r="D66" s="30" t="s">
        <v>770</v>
      </c>
    </row>
    <row r="67" spans="1:4" ht="17">
      <c r="A67" t="str">
        <f>IF(ISNA(VLOOKUP(B67,Definitions!B$2:B$1623,1,FALSE)),"Not listed","")</f>
        <v/>
      </c>
      <c r="B67" s="26" t="s">
        <v>286</v>
      </c>
      <c r="C67" s="21" t="s">
        <v>632</v>
      </c>
      <c r="D67" s="21" t="s">
        <v>790</v>
      </c>
    </row>
    <row r="68" spans="1:4" ht="17">
      <c r="A68" t="str">
        <f>IF(ISNA(VLOOKUP(B68,Definitions!B$2:B$1623,1,FALSE)),"Not listed","")</f>
        <v/>
      </c>
      <c r="B68" s="26" t="s">
        <v>325</v>
      </c>
      <c r="C68" s="21" t="s">
        <v>632</v>
      </c>
      <c r="D68" s="21" t="s">
        <v>785</v>
      </c>
    </row>
    <row r="69" spans="1:4" ht="17">
      <c r="A69" t="str">
        <f>IF(ISNA(VLOOKUP(B69,Definitions!B$2:B$1623,1,FALSE)),"Not listed","")</f>
        <v/>
      </c>
      <c r="B69" s="26" t="s">
        <v>223</v>
      </c>
      <c r="C69" s="21" t="s">
        <v>632</v>
      </c>
      <c r="D69" s="21" t="s">
        <v>731</v>
      </c>
    </row>
    <row r="70" spans="1:4" ht="17">
      <c r="A70" t="str">
        <f>IF(ISNA(VLOOKUP(B70,Definitions!B$2:B$1623,1,FALSE)),"Not listed","")</f>
        <v/>
      </c>
      <c r="B70" s="26" t="s">
        <v>223</v>
      </c>
      <c r="C70" s="21" t="s">
        <v>632</v>
      </c>
      <c r="D70" s="21" t="s">
        <v>793</v>
      </c>
    </row>
    <row r="71" spans="1:4" ht="17">
      <c r="A71" t="str">
        <f>IF(ISNA(VLOOKUP(B71,Definitions!B$2:B$1623,1,FALSE)),"Not listed","")</f>
        <v/>
      </c>
      <c r="B71" s="26" t="s">
        <v>237</v>
      </c>
      <c r="C71" s="21" t="s">
        <v>632</v>
      </c>
      <c r="D71" s="21" t="s">
        <v>734</v>
      </c>
    </row>
    <row r="72" spans="1:4" ht="17">
      <c r="A72" t="str">
        <f>IF(ISNA(VLOOKUP(B72,Definitions!B$2:B$1623,1,FALSE)),"Not listed","")</f>
        <v/>
      </c>
      <c r="B72" s="26" t="s">
        <v>237</v>
      </c>
      <c r="C72" s="21" t="s">
        <v>632</v>
      </c>
      <c r="D72" s="21" t="s">
        <v>740</v>
      </c>
    </row>
    <row r="73" spans="1:4" ht="17">
      <c r="A73" t="str">
        <f>IF(ISNA(VLOOKUP([1]AssociatedElements!B288,Definitions!B$2:B$1623,1,FALSE)),"Not listed","")</f>
        <v/>
      </c>
      <c r="B73" s="2" t="s">
        <v>851</v>
      </c>
      <c r="C73" s="4" t="s">
        <v>632</v>
      </c>
      <c r="D73" s="21" t="s">
        <v>751</v>
      </c>
    </row>
    <row r="74" spans="1:4" ht="17">
      <c r="A74" t="str">
        <f>IF(ISNA(VLOOKUP(B74,Definitions!B$2:B$1623,1,FALSE)),"Not listed","")</f>
        <v/>
      </c>
      <c r="B74" s="26" t="s">
        <v>300</v>
      </c>
      <c r="C74" s="21" t="s">
        <v>632</v>
      </c>
      <c r="D74" s="21" t="s">
        <v>764</v>
      </c>
    </row>
    <row r="75" spans="1:4" ht="17">
      <c r="A75" t="str">
        <f>IF(ISNA(VLOOKUP(B75,Definitions!B$2:B$1623,1,FALSE)),"Not listed","")</f>
        <v/>
      </c>
      <c r="B75" s="26" t="s">
        <v>300</v>
      </c>
      <c r="C75" s="21" t="s">
        <v>632</v>
      </c>
      <c r="D75" s="21" t="s">
        <v>768</v>
      </c>
    </row>
    <row r="76" spans="1:4" ht="17">
      <c r="A76" t="str">
        <f>IF(ISNA(VLOOKUP(B76,Definitions!B$2:B$1623,1,FALSE)),"Not listed","")</f>
        <v/>
      </c>
      <c r="B76" s="26" t="s">
        <v>641</v>
      </c>
      <c r="C76" s="21" t="s">
        <v>632</v>
      </c>
      <c r="D76" s="21" t="s">
        <v>764</v>
      </c>
    </row>
    <row r="77" spans="1:4" ht="17">
      <c r="A77" t="str">
        <f>IF(ISNA(VLOOKUP(B77,Definitions!B$2:B$1623,1,FALSE)),"Not listed","")</f>
        <v/>
      </c>
      <c r="B77" s="26" t="s">
        <v>641</v>
      </c>
      <c r="C77" s="21" t="s">
        <v>632</v>
      </c>
      <c r="D77" s="21" t="s">
        <v>768</v>
      </c>
    </row>
    <row r="78" spans="1:4" ht="17">
      <c r="A78" t="str">
        <f>IF(ISNA(VLOOKUP(B78,Definitions!B$2:B$1623,1,FALSE)),"Not listed","")</f>
        <v/>
      </c>
      <c r="B78" s="26" t="s">
        <v>301</v>
      </c>
      <c r="C78" s="21" t="s">
        <v>632</v>
      </c>
      <c r="D78" s="21" t="s">
        <v>764</v>
      </c>
    </row>
    <row r="79" spans="1:4" ht="17">
      <c r="A79" t="str">
        <f>IF(ISNA(VLOOKUP(B79,Definitions!B$2:B$1623,1,FALSE)),"Not listed","")</f>
        <v/>
      </c>
      <c r="B79" s="26" t="s">
        <v>301</v>
      </c>
      <c r="C79" s="21" t="s">
        <v>632</v>
      </c>
      <c r="D79" s="21" t="s">
        <v>768</v>
      </c>
    </row>
    <row r="80" spans="1:4" ht="17">
      <c r="A80" t="str">
        <f>IF(ISNA(VLOOKUP(B80,Definitions!B$2:B$1623,1,FALSE)),"Not listed","")</f>
        <v/>
      </c>
      <c r="B80" s="26" t="s">
        <v>302</v>
      </c>
      <c r="C80" s="21" t="s">
        <v>632</v>
      </c>
      <c r="D80" s="21" t="s">
        <v>764</v>
      </c>
    </row>
    <row r="81" spans="1:4" ht="17">
      <c r="A81" t="str">
        <f>IF(ISNA(VLOOKUP(B81,Definitions!B$2:B$1623,1,FALSE)),"Not listed","")</f>
        <v/>
      </c>
      <c r="B81" s="26" t="s">
        <v>302</v>
      </c>
      <c r="C81" s="21" t="s">
        <v>632</v>
      </c>
      <c r="D81" s="21" t="s">
        <v>768</v>
      </c>
    </row>
    <row r="82" spans="1:4" ht="17">
      <c r="A82" t="str">
        <f>IF(ISNA(VLOOKUP(B82,Definitions!B$2:B$1623,1,FALSE)),"Not listed","")</f>
        <v/>
      </c>
      <c r="B82" s="26" t="s">
        <v>303</v>
      </c>
      <c r="C82" s="21" t="s">
        <v>632</v>
      </c>
      <c r="D82" s="21" t="s">
        <v>764</v>
      </c>
    </row>
    <row r="83" spans="1:4" ht="17">
      <c r="A83" t="str">
        <f>IF(ISNA(VLOOKUP(B83,Definitions!B$2:B$1623,1,FALSE)),"Not listed","")</f>
        <v/>
      </c>
      <c r="B83" s="26" t="s">
        <v>303</v>
      </c>
      <c r="C83" s="21" t="s">
        <v>632</v>
      </c>
      <c r="D83" s="21" t="s">
        <v>768</v>
      </c>
    </row>
    <row r="84" spans="1:4" ht="17">
      <c r="A84" t="str">
        <f>IF(ISNA(VLOOKUP(B84,Definitions!B$2:B$1623,1,FALSE)),"Not listed","")</f>
        <v/>
      </c>
      <c r="B84" s="26" t="s">
        <v>642</v>
      </c>
      <c r="C84" s="21" t="s">
        <v>632</v>
      </c>
      <c r="D84" s="21" t="s">
        <v>764</v>
      </c>
    </row>
    <row r="85" spans="1:4" ht="17">
      <c r="A85" t="str">
        <f>IF(ISNA(VLOOKUP(B85,Definitions!B$2:B$1623,1,FALSE)),"Not listed","")</f>
        <v/>
      </c>
      <c r="B85" s="26" t="s">
        <v>642</v>
      </c>
      <c r="C85" s="21" t="s">
        <v>632</v>
      </c>
      <c r="D85" s="21" t="s">
        <v>768</v>
      </c>
    </row>
    <row r="86" spans="1:4" ht="17">
      <c r="A86" t="str">
        <f>IF(ISNA(VLOOKUP(B86,Definitions!B$2:B$1623,1,FALSE)),"Not listed","")</f>
        <v/>
      </c>
      <c r="B86" s="26" t="s">
        <v>343</v>
      </c>
      <c r="C86" s="21" t="s">
        <v>632</v>
      </c>
      <c r="D86" s="21" t="s">
        <v>793</v>
      </c>
    </row>
    <row r="87" spans="1:4" ht="17">
      <c r="A87" t="str">
        <f>IF(ISNA(VLOOKUP(B87,Definitions!B$2:B$1623,1,FALSE)),"Not listed","")</f>
        <v/>
      </c>
      <c r="B87" s="26" t="s">
        <v>633</v>
      </c>
      <c r="C87" s="21" t="s">
        <v>632</v>
      </c>
      <c r="D87" s="21" t="s">
        <v>737</v>
      </c>
    </row>
    <row r="88" spans="1:4" ht="17">
      <c r="A88" t="str">
        <f>IF(ISNA(VLOOKUP(B88,Definitions!B$2:B$1623,1,FALSE)),"Not listed","")</f>
        <v/>
      </c>
      <c r="B88" s="2" t="s">
        <v>672</v>
      </c>
      <c r="C88" s="4" t="s">
        <v>632</v>
      </c>
      <c r="D88" s="21" t="s">
        <v>795</v>
      </c>
    </row>
    <row r="89" spans="1:4" ht="17">
      <c r="A89" t="str">
        <f>IF(ISNA(VLOOKUP(B89,Definitions!B$2:B$1623,1,FALSE)),"Not listed","")</f>
        <v/>
      </c>
      <c r="B89" s="2" t="s">
        <v>672</v>
      </c>
      <c r="C89" s="4" t="s">
        <v>632</v>
      </c>
      <c r="D89" s="21" t="s">
        <v>794</v>
      </c>
    </row>
    <row r="90" spans="1:4">
      <c r="A90" t="str">
        <f>IF(ISNA(VLOOKUP(B90,Definitions!B$2:B$1623,1,FALSE)),"Not listed","")</f>
        <v/>
      </c>
      <c r="B90" t="s">
        <v>314</v>
      </c>
      <c r="C90" s="4" t="s">
        <v>632</v>
      </c>
      <c r="D90" s="21" t="s">
        <v>774</v>
      </c>
    </row>
    <row r="91" spans="1:4" ht="17">
      <c r="A91" t="str">
        <f>IF(ISNA(VLOOKUP(B91,Definitions!B$2:B$1623,1,FALSE)),"Not listed","")</f>
        <v/>
      </c>
      <c r="B91" s="26" t="s">
        <v>256</v>
      </c>
      <c r="C91" s="21" t="s">
        <v>632</v>
      </c>
      <c r="D91" s="21" t="s">
        <v>740</v>
      </c>
    </row>
    <row r="92" spans="1:4" ht="17">
      <c r="A92" t="str">
        <f>IF(ISNA(VLOOKUP(B92,Definitions!B$2:B$1623,1,FALSE)),"Not listed","")</f>
        <v/>
      </c>
      <c r="B92" s="26" t="s">
        <v>257</v>
      </c>
      <c r="C92" s="21" t="s">
        <v>632</v>
      </c>
      <c r="D92" s="21" t="s">
        <v>740</v>
      </c>
    </row>
    <row r="93" spans="1:4" ht="17">
      <c r="A93" t="str">
        <f>IF(ISNA(VLOOKUP(B93,Definitions!B$2:B$1623,1,FALSE)),"Not listed","")</f>
        <v/>
      </c>
      <c r="B93" s="26" t="s">
        <v>285</v>
      </c>
      <c r="C93" s="21" t="s">
        <v>632</v>
      </c>
      <c r="D93" s="21" t="s">
        <v>752</v>
      </c>
    </row>
    <row r="94" spans="1:4" ht="17">
      <c r="A94" t="str">
        <f>IF(ISNA(VLOOKUP(B94,Definitions!B$2:B$1623,1,FALSE)),"Not listed","")</f>
        <v/>
      </c>
      <c r="B94" s="26" t="s">
        <v>283</v>
      </c>
      <c r="C94" s="21" t="s">
        <v>632</v>
      </c>
      <c r="D94" s="21" t="s">
        <v>751</v>
      </c>
    </row>
    <row r="95" spans="1:4" ht="17">
      <c r="A95" t="str">
        <f>IF(ISNA(VLOOKUP([1]AssociatedElements!B284,Definitions!B$2:B$1623,1,FALSE)),"Not listed","")</f>
        <v/>
      </c>
      <c r="B95" s="2" t="s">
        <v>816</v>
      </c>
      <c r="C95" s="21" t="s">
        <v>632</v>
      </c>
      <c r="D95" s="21" t="s">
        <v>751</v>
      </c>
    </row>
    <row r="96" spans="1:4" ht="17">
      <c r="A96" t="str">
        <f>IF(ISNA(VLOOKUP([1]AssociatedElements!B283,Definitions!B$2:B$1623,1,FALSE)),"Not listed","")</f>
        <v/>
      </c>
      <c r="B96" s="11" t="s">
        <v>815</v>
      </c>
      <c r="C96" s="21" t="s">
        <v>632</v>
      </c>
      <c r="D96" s="21" t="s">
        <v>752</v>
      </c>
    </row>
    <row r="97" spans="1:4" ht="17">
      <c r="B97" s="2" t="s">
        <v>829</v>
      </c>
      <c r="C97" s="4" t="s">
        <v>632</v>
      </c>
      <c r="D97" s="21" t="s">
        <v>838</v>
      </c>
    </row>
    <row r="98" spans="1:4" ht="17">
      <c r="A98" t="str">
        <f>IF(ISNA(VLOOKUP([1]AssociatedElements!B284,Definitions!B$2:B$1623,1,FALSE)),"Not listed","")</f>
        <v/>
      </c>
      <c r="B98" s="2" t="s">
        <v>834</v>
      </c>
      <c r="C98" s="4" t="s">
        <v>632</v>
      </c>
      <c r="D98" s="21" t="s">
        <v>838</v>
      </c>
    </row>
    <row r="99" spans="1:4" ht="17">
      <c r="A99" t="str">
        <f>IF(ISNA(VLOOKUP(B99,Definitions!B$2:B$1623,1,FALSE)),"Not listed","")</f>
        <v/>
      </c>
      <c r="B99" s="26" t="s">
        <v>258</v>
      </c>
      <c r="C99" s="21" t="s">
        <v>632</v>
      </c>
      <c r="D99" s="21" t="s">
        <v>740</v>
      </c>
    </row>
    <row r="100" spans="1:4" ht="17">
      <c r="A100" t="str">
        <f>IF(ISNA(VLOOKUP(B100,Definitions!B$2:B$1623,1,FALSE)),"Not listed","")</f>
        <v/>
      </c>
      <c r="B100" s="2" t="s">
        <v>675</v>
      </c>
      <c r="C100" s="4" t="s">
        <v>632</v>
      </c>
      <c r="D100" s="29" t="s">
        <v>718</v>
      </c>
    </row>
    <row r="101" spans="1:4" ht="17">
      <c r="A101" t="str">
        <f>IF(ISNA(VLOOKUP(B101,Definitions!B$2:B$1623,1,FALSE)),"Not listed","")</f>
        <v/>
      </c>
      <c r="B101" s="2" t="s">
        <v>675</v>
      </c>
      <c r="C101" s="4" t="s">
        <v>632</v>
      </c>
      <c r="D101" s="21" t="s">
        <v>719</v>
      </c>
    </row>
    <row r="102" spans="1:4" ht="17">
      <c r="A102" t="str">
        <f>IF(ISNA(VLOOKUP(B102,Definitions!B$2:B$1623,1,FALSE)),"Not listed","")</f>
        <v/>
      </c>
      <c r="B102" s="2" t="s">
        <v>675</v>
      </c>
      <c r="C102" s="4" t="s">
        <v>632</v>
      </c>
      <c r="D102" s="21" t="s">
        <v>785</v>
      </c>
    </row>
    <row r="103" spans="1:4" ht="17">
      <c r="A103" t="str">
        <f>IF(ISNA(VLOOKUP(B103,Definitions!B$2:B$1623,1,FALSE)),"Not listed","")</f>
        <v/>
      </c>
      <c r="B103" s="2" t="s">
        <v>675</v>
      </c>
      <c r="C103" s="4" t="s">
        <v>632</v>
      </c>
      <c r="D103" s="21" t="s">
        <v>720</v>
      </c>
    </row>
    <row r="104" spans="1:4">
      <c r="A104" t="str">
        <f>IF(ISNA(VLOOKUP(B104,Definitions!B$2:B$1623,1,FALSE)),"Not listed","")</f>
        <v/>
      </c>
      <c r="B104" t="s">
        <v>353</v>
      </c>
      <c r="C104" s="4" t="s">
        <v>632</v>
      </c>
      <c r="D104" s="21" t="s">
        <v>773</v>
      </c>
    </row>
    <row r="105" spans="1:4" ht="17">
      <c r="A105" t="str">
        <f>IF(ISNA(VLOOKUP(B105,Definitions!B$2:B$1623,1,FALSE)),"Not listed","")</f>
        <v/>
      </c>
      <c r="B105" s="26" t="s">
        <v>250</v>
      </c>
      <c r="C105" s="21" t="s">
        <v>632</v>
      </c>
      <c r="D105" s="21" t="s">
        <v>738</v>
      </c>
    </row>
    <row r="106" spans="1:4" ht="17">
      <c r="A106" t="str">
        <f>IF(ISNA(VLOOKUP(B106,Definitions!B$2:B$1623,1,FALSE)),"Not listed","")</f>
        <v/>
      </c>
      <c r="B106" s="26" t="s">
        <v>250</v>
      </c>
      <c r="C106" s="21" t="s">
        <v>632</v>
      </c>
      <c r="D106" s="21" t="s">
        <v>739</v>
      </c>
    </row>
    <row r="107" spans="1:4">
      <c r="A107" t="str">
        <f>IF(ISNA(VLOOKUP(B107,Definitions!B$2:B$1623,1,FALSE)),"Not listed","")</f>
        <v/>
      </c>
      <c r="B107" t="s">
        <v>345</v>
      </c>
      <c r="C107" s="4" t="s">
        <v>632</v>
      </c>
      <c r="D107" s="21" t="s">
        <v>741</v>
      </c>
    </row>
    <row r="108" spans="1:4" ht="17">
      <c r="A108" t="str">
        <f>IF(ISNA(VLOOKUP(B108,Definitions!B$2:B$1623,1,FALSE)),"Not listed","")</f>
        <v/>
      </c>
      <c r="B108" s="2" t="s">
        <v>678</v>
      </c>
      <c r="C108" s="4" t="s">
        <v>632</v>
      </c>
      <c r="D108" s="21" t="s">
        <v>719</v>
      </c>
    </row>
    <row r="109" spans="1:4" ht="17">
      <c r="A109" t="str">
        <f>IF(ISNA(VLOOKUP(B109,Definitions!B$2:B$1623,1,FALSE)),"Not listed","")</f>
        <v/>
      </c>
      <c r="B109" s="2" t="s">
        <v>679</v>
      </c>
      <c r="C109" s="4" t="s">
        <v>632</v>
      </c>
      <c r="D109" s="21" t="s">
        <v>719</v>
      </c>
    </row>
    <row r="110" spans="1:4" ht="17">
      <c r="A110" t="str">
        <f>IF(ISNA(VLOOKUP([1]AssociatedElements!B286,Definitions!B$2:B$1623,1,FALSE)),"Not listed","")</f>
        <v/>
      </c>
      <c r="B110" s="2" t="s">
        <v>839</v>
      </c>
      <c r="C110" s="4" t="s">
        <v>632</v>
      </c>
      <c r="D110" s="21" t="s">
        <v>850</v>
      </c>
    </row>
    <row r="111" spans="1:4" ht="17">
      <c r="A111" t="str">
        <f>IF(ISNA(VLOOKUP(B111,Definitions!B$2:B$1623,1,FALSE)),"Not listed","")</f>
        <v/>
      </c>
      <c r="B111" s="26" t="s">
        <v>243</v>
      </c>
      <c r="C111" s="21" t="s">
        <v>632</v>
      </c>
      <c r="D111" s="21" t="s">
        <v>735</v>
      </c>
    </row>
    <row r="112" spans="1:4">
      <c r="A112" t="str">
        <f>IF(ISNA(VLOOKUP(B112,Definitions!B$2:B$1623,1,FALSE)),"Not listed","")</f>
        <v/>
      </c>
      <c r="B112" t="s">
        <v>243</v>
      </c>
      <c r="C112" s="4" t="s">
        <v>632</v>
      </c>
      <c r="D112" s="21" t="s">
        <v>774</v>
      </c>
    </row>
    <row r="113" spans="1:4" ht="17">
      <c r="A113" t="str">
        <f>IF(ISNA(VLOOKUP(B113,Definitions!B$2:B$1623,1,FALSE)),"Not listed","")</f>
        <v/>
      </c>
      <c r="B113" s="26" t="s">
        <v>244</v>
      </c>
      <c r="C113" s="21" t="s">
        <v>632</v>
      </c>
      <c r="D113" s="21" t="s">
        <v>735</v>
      </c>
    </row>
    <row r="114" spans="1:4" ht="17">
      <c r="A114" t="str">
        <f>IF(ISNA(VLOOKUP(B114,Definitions!B$2:B$1623,1,FALSE)),"Not listed","")</f>
        <v/>
      </c>
      <c r="B114" s="26" t="s">
        <v>244</v>
      </c>
      <c r="C114" s="21" t="s">
        <v>632</v>
      </c>
      <c r="D114" s="21" t="s">
        <v>740</v>
      </c>
    </row>
    <row r="115" spans="1:4">
      <c r="A115" t="str">
        <f>IF(ISNA(VLOOKUP(B115,Definitions!B$2:B$1623,1,FALSE)),"Not listed","")</f>
        <v/>
      </c>
      <c r="B115" t="s">
        <v>244</v>
      </c>
      <c r="C115" s="4" t="s">
        <v>632</v>
      </c>
      <c r="D115" s="21" t="s">
        <v>789</v>
      </c>
    </row>
    <row r="116" spans="1:4" ht="17">
      <c r="A116" t="str">
        <f>IF(ISNA(VLOOKUP(B116,Definitions!B$2:B$1623,1,FALSE)),"Not listed","")</f>
        <v/>
      </c>
      <c r="B116" s="26" t="s">
        <v>244</v>
      </c>
      <c r="C116" s="21" t="s">
        <v>632</v>
      </c>
      <c r="D116" s="21" t="s">
        <v>789</v>
      </c>
    </row>
    <row r="117" spans="1:4" ht="17">
      <c r="A117" t="str">
        <f>IF(ISNA(VLOOKUP(B117,Definitions!B$2:B$1623,1,FALSE)),"Not listed","")</f>
        <v/>
      </c>
      <c r="B117" s="26" t="s">
        <v>245</v>
      </c>
      <c r="C117" s="21" t="s">
        <v>632</v>
      </c>
      <c r="D117" s="21" t="s">
        <v>735</v>
      </c>
    </row>
    <row r="118" spans="1:4" ht="17">
      <c r="A118" t="str">
        <f>IF(ISNA(VLOOKUP(B118,Definitions!B$2:B$1623,1,FALSE)),"Not listed","")</f>
        <v/>
      </c>
      <c r="B118" s="26" t="s">
        <v>245</v>
      </c>
      <c r="C118" s="21" t="s">
        <v>632</v>
      </c>
      <c r="D118" s="21" t="s">
        <v>740</v>
      </c>
    </row>
    <row r="119" spans="1:4">
      <c r="A119" t="str">
        <f>IF(ISNA(VLOOKUP(B119,Definitions!B$2:B$1623,1,FALSE)),"Not listed","")</f>
        <v/>
      </c>
      <c r="B119" t="s">
        <v>245</v>
      </c>
      <c r="C119" s="4" t="s">
        <v>632</v>
      </c>
      <c r="D119" s="21" t="s">
        <v>774</v>
      </c>
    </row>
    <row r="120" spans="1:4">
      <c r="A120" t="str">
        <f>IF(ISNA(VLOOKUP(B120,Definitions!B$2:B$1623,1,FALSE)),"Not listed","")</f>
        <v/>
      </c>
      <c r="B120" t="s">
        <v>245</v>
      </c>
      <c r="C120" s="4" t="s">
        <v>632</v>
      </c>
      <c r="D120" s="21" t="s">
        <v>789</v>
      </c>
    </row>
    <row r="121" spans="1:4" ht="17">
      <c r="A121" t="str">
        <f>IF(ISNA(VLOOKUP(B121,Definitions!B$2:B$1623,1,FALSE)),"Not listed","")</f>
        <v/>
      </c>
      <c r="B121" s="26" t="s">
        <v>245</v>
      </c>
      <c r="C121" s="21" t="s">
        <v>632</v>
      </c>
      <c r="D121" s="21" t="s">
        <v>789</v>
      </c>
    </row>
    <row r="122" spans="1:4" ht="17">
      <c r="A122" t="str">
        <f>IF(ISNA(VLOOKUP(B122,Definitions!B$2:B$1623,1,FALSE)),"Not listed","")</f>
        <v/>
      </c>
      <c r="B122" s="26" t="s">
        <v>326</v>
      </c>
      <c r="C122" s="21" t="s">
        <v>632</v>
      </c>
      <c r="D122" s="21" t="s">
        <v>785</v>
      </c>
    </row>
    <row r="123" spans="1:4">
      <c r="A123" t="str">
        <f>IF(ISNA(VLOOKUP(B123,Definitions!B$2:B$1623,1,FALSE)),"Not listed","")</f>
        <v/>
      </c>
      <c r="B123" t="s">
        <v>271</v>
      </c>
      <c r="C123" s="4" t="s">
        <v>632</v>
      </c>
      <c r="D123" s="21" t="s">
        <v>742</v>
      </c>
    </row>
    <row r="124" spans="1:4" ht="17">
      <c r="A124" t="str">
        <f>IF(ISNA(VLOOKUP(B124,Definitions!B$2:B$1623,1,FALSE)),"Not listed","")</f>
        <v/>
      </c>
      <c r="B124" s="2" t="s">
        <v>685</v>
      </c>
      <c r="C124" s="4" t="s">
        <v>632</v>
      </c>
      <c r="D124" s="21" t="s">
        <v>719</v>
      </c>
    </row>
    <row r="125" spans="1:4">
      <c r="A125" t="str">
        <f>IF(ISNA(VLOOKUP(B125,Definitions!B$2:B$1623,1,FALSE)),"Not listed","")</f>
        <v/>
      </c>
      <c r="B125" t="s">
        <v>359</v>
      </c>
      <c r="C125" s="4" t="s">
        <v>632</v>
      </c>
      <c r="D125" s="21" t="s">
        <v>788</v>
      </c>
    </row>
    <row r="126" spans="1:4">
      <c r="A126" t="str">
        <f>IF(ISNA(VLOOKUP(B126,Definitions!B$2:B$1623,1,FALSE)),"Not listed","")</f>
        <v/>
      </c>
      <c r="B126" t="s">
        <v>359</v>
      </c>
      <c r="C126" s="4" t="s">
        <v>632</v>
      </c>
      <c r="D126" s="21" t="s">
        <v>791</v>
      </c>
    </row>
    <row r="127" spans="1:4" ht="17">
      <c r="A127" t="str">
        <f>IF(ISNA(VLOOKUP(B127,Definitions!B$2:B$1623,1,FALSE)),"Not listed","")</f>
        <v/>
      </c>
      <c r="B127" s="26" t="s">
        <v>327</v>
      </c>
      <c r="C127" s="21" t="s">
        <v>632</v>
      </c>
      <c r="D127" s="21" t="s">
        <v>785</v>
      </c>
    </row>
    <row r="128" spans="1:4" ht="17">
      <c r="A128" t="str">
        <f>IF(ISNA(VLOOKUP(B128,Definitions!B$2:B$1623,1,FALSE)),"Not listed","")</f>
        <v/>
      </c>
      <c r="B128" s="26" t="s">
        <v>259</v>
      </c>
      <c r="C128" s="21" t="s">
        <v>632</v>
      </c>
      <c r="D128" s="21" t="s">
        <v>740</v>
      </c>
    </row>
    <row r="129" spans="1:4" ht="17">
      <c r="A129" t="str">
        <f>IF(ISNA(VLOOKUP(B129,Definitions!B$2:B$1623,1,FALSE)),"Not listed","")</f>
        <v/>
      </c>
      <c r="B129" s="26" t="s">
        <v>328</v>
      </c>
      <c r="C129" s="21" t="s">
        <v>632</v>
      </c>
      <c r="D129" s="21" t="s">
        <v>785</v>
      </c>
    </row>
    <row r="130" spans="1:4" ht="17">
      <c r="A130" t="str">
        <f>IF(ISNA(VLOOKUP(B130,Definitions!B$2:B$1623,1,FALSE)),"Not listed","")</f>
        <v/>
      </c>
      <c r="B130" s="26" t="s">
        <v>329</v>
      </c>
      <c r="C130" s="21" t="s">
        <v>632</v>
      </c>
      <c r="D130" s="21" t="s">
        <v>785</v>
      </c>
    </row>
    <row r="131" spans="1:4" ht="17">
      <c r="A131" t="str">
        <f>IF(ISNA(VLOOKUP(B131,Definitions!B$2:B$1623,1,FALSE)),"Not listed","")</f>
        <v/>
      </c>
      <c r="B131" s="26" t="s">
        <v>330</v>
      </c>
      <c r="C131" s="21" t="s">
        <v>632</v>
      </c>
      <c r="D131" s="21" t="s">
        <v>785</v>
      </c>
    </row>
    <row r="132" spans="1:4">
      <c r="A132" t="str">
        <f>IF(ISNA(VLOOKUP(B132,Definitions!B$2:B$1623,1,FALSE)),"Not listed","")</f>
        <v/>
      </c>
      <c r="B132" t="s">
        <v>315</v>
      </c>
      <c r="C132" s="4" t="s">
        <v>632</v>
      </c>
      <c r="D132" s="21" t="s">
        <v>774</v>
      </c>
    </row>
    <row r="133" spans="1:4" ht="17">
      <c r="A133" t="str">
        <f>IF(ISNA(VLOOKUP(B133,Definitions!B$2:B$1623,1,FALSE)),"Not listed","")</f>
        <v/>
      </c>
      <c r="B133" s="26" t="s">
        <v>309</v>
      </c>
      <c r="C133" s="21" t="s">
        <v>632</v>
      </c>
      <c r="D133" s="21" t="s">
        <v>771</v>
      </c>
    </row>
    <row r="134" spans="1:4" ht="17">
      <c r="A134" t="str">
        <f>IF(ISNA(VLOOKUP(B134,Definitions!B$2:B$1623,1,FALSE)),"Not listed","")</f>
        <v/>
      </c>
      <c r="B134" s="26" t="s">
        <v>310</v>
      </c>
      <c r="C134" s="21" t="s">
        <v>632</v>
      </c>
      <c r="D134" s="21" t="s">
        <v>771</v>
      </c>
    </row>
    <row r="135" spans="1:4" ht="17">
      <c r="A135" t="str">
        <f>IF(ISNA(VLOOKUP(B135,Definitions!B$2:B$1623,1,FALSE)),"Not listed","")</f>
        <v/>
      </c>
      <c r="B135" s="26" t="s">
        <v>331</v>
      </c>
      <c r="C135" s="21" t="s">
        <v>632</v>
      </c>
      <c r="D135" s="21" t="s">
        <v>785</v>
      </c>
    </row>
    <row r="136" spans="1:4">
      <c r="A136" t="str">
        <f>IF(ISNA(VLOOKUP(B136,Definitions!B$2:B$1623,1,FALSE)),"Not listed","")</f>
        <v/>
      </c>
      <c r="B136" t="s">
        <v>316</v>
      </c>
      <c r="C136" s="4" t="s">
        <v>632</v>
      </c>
      <c r="D136" s="21" t="s">
        <v>774</v>
      </c>
    </row>
    <row r="137" spans="1:4">
      <c r="A137" t="str">
        <f>IF(ISNA(VLOOKUP(B137,Definitions!B$2:B$1623,1,FALSE)),"Not listed","")</f>
        <v/>
      </c>
      <c r="B137" t="s">
        <v>346</v>
      </c>
      <c r="C137" s="4" t="s">
        <v>632</v>
      </c>
      <c r="D137" s="21" t="s">
        <v>759</v>
      </c>
    </row>
    <row r="138" spans="1:4">
      <c r="A138" t="str">
        <f>IF(ISNA(VLOOKUP(B138,Definitions!B$2:B$1623,1,FALSE)),"Not listed","")</f>
        <v/>
      </c>
      <c r="B138" t="s">
        <v>347</v>
      </c>
      <c r="C138" s="4" t="s">
        <v>632</v>
      </c>
      <c r="D138" s="21" t="s">
        <v>759</v>
      </c>
    </row>
    <row r="139" spans="1:4">
      <c r="A139" t="str">
        <f>IF(ISNA(VLOOKUP(B139,Definitions!B$2:B$1623,1,FALSE)),"Not listed","")</f>
        <v/>
      </c>
      <c r="B139" t="s">
        <v>348</v>
      </c>
      <c r="C139" s="4" t="s">
        <v>632</v>
      </c>
      <c r="D139" s="21" t="s">
        <v>759</v>
      </c>
    </row>
    <row r="140" spans="1:4">
      <c r="A140" t="str">
        <f>IF(ISNA(VLOOKUP(B140,Definitions!B$2:B$1623,1,FALSE)),"Not listed","")</f>
        <v/>
      </c>
      <c r="B140" t="s">
        <v>349</v>
      </c>
      <c r="C140" s="4" t="s">
        <v>632</v>
      </c>
      <c r="D140" s="21" t="s">
        <v>759</v>
      </c>
    </row>
    <row r="141" spans="1:4" ht="17">
      <c r="A141" t="str">
        <f>IF(ISNA(VLOOKUP(B141,Definitions!B$2:B$1623,1,FALSE)),"Not listed","")</f>
        <v/>
      </c>
      <c r="B141" s="26" t="s">
        <v>224</v>
      </c>
      <c r="C141" s="21" t="s">
        <v>632</v>
      </c>
      <c r="D141" s="21" t="s">
        <v>731</v>
      </c>
    </row>
    <row r="142" spans="1:4" ht="17">
      <c r="A142" t="str">
        <f>IF(ISNA(VLOOKUP(B142,Definitions!B$2:B$1623,1,FALSE)),"Not listed","")</f>
        <v/>
      </c>
      <c r="B142" s="26" t="s">
        <v>225</v>
      </c>
      <c r="C142" s="21" t="s">
        <v>632</v>
      </c>
      <c r="D142" s="21" t="s">
        <v>731</v>
      </c>
    </row>
    <row r="143" spans="1:4" ht="17">
      <c r="A143" t="str">
        <f>IF(ISNA(VLOOKUP(B143,Definitions!B$2:B$1623,1,FALSE)),"Not listed","")</f>
        <v/>
      </c>
      <c r="B143" s="26" t="s">
        <v>226</v>
      </c>
      <c r="C143" s="21" t="s">
        <v>632</v>
      </c>
      <c r="D143" s="21" t="s">
        <v>731</v>
      </c>
    </row>
    <row r="144" spans="1:4" ht="17">
      <c r="A144" t="str">
        <f>IF(ISNA(VLOOKUP(B144,Definitions!B$2:B$1623,1,FALSE)),"Not listed","")</f>
        <v/>
      </c>
      <c r="B144" s="26" t="s">
        <v>226</v>
      </c>
      <c r="C144" s="21" t="s">
        <v>632</v>
      </c>
      <c r="D144" s="21" t="s">
        <v>793</v>
      </c>
    </row>
    <row r="145" spans="1:4" ht="17">
      <c r="A145" t="str">
        <f>IF(ISNA(VLOOKUP(B145,Definitions!B$2:B$1623,1,FALSE)),"Not listed","")</f>
        <v/>
      </c>
      <c r="B145" s="26" t="s">
        <v>293</v>
      </c>
      <c r="C145" s="21" t="s">
        <v>632</v>
      </c>
      <c r="D145" s="21" t="s">
        <v>761</v>
      </c>
    </row>
    <row r="146" spans="1:4">
      <c r="A146" t="str">
        <f>IF(ISNA(VLOOKUP(B146,Definitions!B$2:B$1623,1,FALSE)),"Not listed","")</f>
        <v/>
      </c>
      <c r="B146" t="s">
        <v>350</v>
      </c>
      <c r="C146" s="4" t="s">
        <v>632</v>
      </c>
      <c r="D146" s="21" t="s">
        <v>762</v>
      </c>
    </row>
    <row r="147" spans="1:4">
      <c r="A147" t="str">
        <f>IF(ISNA(VLOOKUP(B147,Definitions!B$2:B$1623,1,FALSE)),"Not listed","")</f>
        <v/>
      </c>
      <c r="B147" t="s">
        <v>351</v>
      </c>
      <c r="C147" s="4" t="s">
        <v>632</v>
      </c>
      <c r="D147" s="21" t="s">
        <v>763</v>
      </c>
    </row>
    <row r="148" spans="1:4" ht="17">
      <c r="A148" t="str">
        <f>IF(ISNA(VLOOKUP(B148,Definitions!B$2:B$1623,1,FALSE)),"Not listed","")</f>
        <v/>
      </c>
      <c r="B148" s="2" t="s">
        <v>99</v>
      </c>
      <c r="C148" s="4" t="s">
        <v>632</v>
      </c>
      <c r="D148" s="21" t="s">
        <v>720</v>
      </c>
    </row>
    <row r="149" spans="1:4" ht="17">
      <c r="A149" t="str">
        <f>IF(ISNA(VLOOKUP(B149,Definitions!B$2:B$1623,1,FALSE)),"Not listed","")</f>
        <v/>
      </c>
      <c r="B149" s="2" t="s">
        <v>691</v>
      </c>
      <c r="C149" s="4" t="s">
        <v>632</v>
      </c>
      <c r="D149" s="21" t="s">
        <v>720</v>
      </c>
    </row>
    <row r="150" spans="1:4" ht="17">
      <c r="A150" t="str">
        <f>IF(ISNA(VLOOKUP(B150,Definitions!B$2:B$1623,1,FALSE)),"Not listed","")</f>
        <v/>
      </c>
      <c r="B150" s="26" t="s">
        <v>260</v>
      </c>
      <c r="C150" s="21" t="s">
        <v>632</v>
      </c>
      <c r="D150" s="21" t="s">
        <v>740</v>
      </c>
    </row>
    <row r="151" spans="1:4">
      <c r="A151" t="str">
        <f>IF(ISNA(VLOOKUP(B151,Definitions!B$2:B$1623,1,FALSE)),"Not listed","")</f>
        <v/>
      </c>
      <c r="B151" t="s">
        <v>294</v>
      </c>
      <c r="C151" s="4" t="s">
        <v>632</v>
      </c>
      <c r="D151" s="21" t="s">
        <v>765</v>
      </c>
    </row>
    <row r="152" spans="1:4" ht="17">
      <c r="A152" t="str">
        <f>IF(ISNA(VLOOKUP(B152,Definitions!B$2:B$1623,1,FALSE)),"Not listed","")</f>
        <v/>
      </c>
      <c r="B152" s="2" t="s">
        <v>802</v>
      </c>
      <c r="C152" s="4" t="s">
        <v>632</v>
      </c>
      <c r="D152" s="21" t="s">
        <v>766</v>
      </c>
    </row>
    <row r="153" spans="1:4" ht="17">
      <c r="A153" t="str">
        <f>IF(ISNA(VLOOKUP(B153,Definitions!B$2:B$1623,1,FALSE)),"Not listed","")</f>
        <v/>
      </c>
      <c r="B153" s="2" t="s">
        <v>801</v>
      </c>
      <c r="C153" s="4" t="s">
        <v>632</v>
      </c>
      <c r="D153" s="21" t="s">
        <v>766</v>
      </c>
    </row>
    <row r="154" spans="1:4">
      <c r="A154" t="str">
        <f>IF(ISNA(VLOOKUP(B154,Definitions!B$2:B$1623,1,FALSE)),"Not listed","")</f>
        <v/>
      </c>
      <c r="B154" t="s">
        <v>317</v>
      </c>
      <c r="C154" s="4" t="s">
        <v>632</v>
      </c>
      <c r="D154" s="21" t="s">
        <v>774</v>
      </c>
    </row>
    <row r="155" spans="1:4" ht="17">
      <c r="A155" t="str">
        <f>IF(ISNA(VLOOKUP(B155,Definitions!B$2:B$1623,1,FALSE)),"Not listed","")</f>
        <v/>
      </c>
      <c r="B155" s="26" t="s">
        <v>317</v>
      </c>
      <c r="C155" s="21" t="s">
        <v>632</v>
      </c>
      <c r="D155" s="21" t="s">
        <v>790</v>
      </c>
    </row>
    <row r="156" spans="1:4" ht="17">
      <c r="A156" t="str">
        <f>IF(ISNA(VLOOKUP(B156,Definitions!B$2:B$1623,1,FALSE)),"Not listed","")</f>
        <v/>
      </c>
      <c r="B156" s="26" t="s">
        <v>341</v>
      </c>
      <c r="C156" s="21" t="s">
        <v>632</v>
      </c>
      <c r="D156" s="21" t="s">
        <v>790</v>
      </c>
    </row>
    <row r="157" spans="1:4">
      <c r="A157" t="str">
        <f>IF(ISNA(VLOOKUP(B157,Definitions!B$2:B$1623,1,FALSE)),"Not listed","")</f>
        <v/>
      </c>
      <c r="B157" t="s">
        <v>352</v>
      </c>
      <c r="C157" s="4" t="s">
        <v>632</v>
      </c>
      <c r="D157" s="21" t="s">
        <v>767</v>
      </c>
    </row>
    <row r="158" spans="1:4" ht="17">
      <c r="A158" t="str">
        <f>IF(ISNA(VLOOKUP(B158,Definitions!B$2:B$1623,1,FALSE)),"Not listed","")</f>
        <v/>
      </c>
      <c r="B158" s="26" t="s">
        <v>246</v>
      </c>
      <c r="C158" s="21" t="s">
        <v>632</v>
      </c>
      <c r="D158" s="21" t="s">
        <v>736</v>
      </c>
    </row>
    <row r="159" spans="1:4" ht="17">
      <c r="A159" t="str">
        <f>IF(ISNA(VLOOKUP(B159,Definitions!B$2:B$1623,1,FALSE)),"Not listed","")</f>
        <v/>
      </c>
      <c r="B159" s="26" t="s">
        <v>247</v>
      </c>
      <c r="C159" s="21" t="s">
        <v>632</v>
      </c>
      <c r="D159" s="21" t="s">
        <v>736</v>
      </c>
    </row>
    <row r="160" spans="1:4" ht="17">
      <c r="A160" t="str">
        <f>IF(ISNA(VLOOKUP(B160,Definitions!B$2:B$1623,1,FALSE)),"Not listed","")</f>
        <v/>
      </c>
      <c r="B160" s="26" t="s">
        <v>248</v>
      </c>
      <c r="C160" s="21" t="s">
        <v>632</v>
      </c>
      <c r="D160" s="21" t="s">
        <v>736</v>
      </c>
    </row>
    <row r="161" spans="1:4" ht="17">
      <c r="A161" t="str">
        <f>IF(ISNA(VLOOKUP(B161,Definitions!B$2:B$1623,1,FALSE)),"Not listed","")</f>
        <v/>
      </c>
      <c r="B161" s="26" t="s">
        <v>227</v>
      </c>
      <c r="C161" s="21" t="s">
        <v>632</v>
      </c>
      <c r="D161" s="21" t="s">
        <v>731</v>
      </c>
    </row>
    <row r="162" spans="1:4" ht="17">
      <c r="A162" t="str">
        <f>IF(ISNA(VLOOKUP(B162,Definitions!B$2:B$1623,1,FALSE)),"Not listed","")</f>
        <v/>
      </c>
      <c r="B162" s="26" t="s">
        <v>238</v>
      </c>
      <c r="C162" s="21" t="s">
        <v>632</v>
      </c>
      <c r="D162" s="21" t="s">
        <v>734</v>
      </c>
    </row>
    <row r="163" spans="1:4" ht="17">
      <c r="A163" t="str">
        <f>IF(ISNA(VLOOKUP(B163,Definitions!B$2:B$1623,1,FALSE)),"Not listed","")</f>
        <v/>
      </c>
      <c r="B163" s="26" t="s">
        <v>238</v>
      </c>
      <c r="C163" s="21" t="s">
        <v>632</v>
      </c>
      <c r="D163" s="21" t="s">
        <v>740</v>
      </c>
    </row>
    <row r="164" spans="1:4" ht="17">
      <c r="A164" t="str">
        <f>IF(ISNA(VLOOKUP(B164,Definitions!B$2:B$1623,1,FALSE)),"Not listed","")</f>
        <v/>
      </c>
      <c r="B164" s="2" t="s">
        <v>619</v>
      </c>
      <c r="C164" s="4" t="s">
        <v>632</v>
      </c>
      <c r="D164" s="21" t="s">
        <v>757</v>
      </c>
    </row>
    <row r="165" spans="1:4" ht="17">
      <c r="A165" t="str">
        <f>IF(ISNA(VLOOKUP(B165,Definitions!B$2:B$1623,1,FALSE)),"Not listed","")</f>
        <v/>
      </c>
      <c r="B165" s="26" t="s">
        <v>261</v>
      </c>
      <c r="C165" s="21" t="s">
        <v>632</v>
      </c>
      <c r="D165" s="21" t="s">
        <v>740</v>
      </c>
    </row>
    <row r="166" spans="1:4" ht="17">
      <c r="A166" t="str">
        <f>IF(ISNA(VLOOKUP(B166,Definitions!B$2:B$1623,1,FALSE)),"Not listed","")</f>
        <v/>
      </c>
      <c r="B166" s="26" t="s">
        <v>262</v>
      </c>
      <c r="C166" s="21" t="s">
        <v>632</v>
      </c>
      <c r="D166" s="21" t="s">
        <v>740</v>
      </c>
    </row>
    <row r="167" spans="1:4" ht="17">
      <c r="A167" t="str">
        <f>IF(ISNA(VLOOKUP(B167,Definitions!B$2:B$1623,1,FALSE)),"Not listed","")</f>
        <v/>
      </c>
      <c r="B167" s="26" t="s">
        <v>263</v>
      </c>
      <c r="C167" s="21" t="s">
        <v>632</v>
      </c>
      <c r="D167" s="21" t="s">
        <v>740</v>
      </c>
    </row>
    <row r="168" spans="1:4" ht="17">
      <c r="A168" t="str">
        <f>IF(ISNA(VLOOKUP(B168,Definitions!B$2:B$1623,1,FALSE)),"Not listed","")</f>
        <v/>
      </c>
      <c r="B168" s="26" t="s">
        <v>628</v>
      </c>
      <c r="C168" s="21" t="s">
        <v>632</v>
      </c>
      <c r="D168" s="21" t="s">
        <v>737</v>
      </c>
    </row>
    <row r="169" spans="1:4" ht="17">
      <c r="A169" t="str">
        <f>IF(ISNA(VLOOKUP(B169,Definitions!B$2:B$1623,1,FALSE)),"Not listed","")</f>
        <v/>
      </c>
      <c r="B169" s="2" t="s">
        <v>658</v>
      </c>
      <c r="C169" s="4" t="s">
        <v>632</v>
      </c>
      <c r="D169" s="21" t="s">
        <v>764</v>
      </c>
    </row>
    <row r="170" spans="1:4" ht="17">
      <c r="A170" t="str">
        <f>IF(ISNA(VLOOKUP(B170,Definitions!B$2:B$1623,1,FALSE)),"Not listed","")</f>
        <v/>
      </c>
      <c r="B170" s="2" t="s">
        <v>658</v>
      </c>
      <c r="C170" s="4" t="s">
        <v>632</v>
      </c>
      <c r="D170" s="21" t="s">
        <v>768</v>
      </c>
    </row>
    <row r="171" spans="1:4" ht="17">
      <c r="A171" t="str">
        <f>IF(ISNA(VLOOKUP(B171,Definitions!B$2:B$1623,1,FALSE)),"Not listed","")</f>
        <v/>
      </c>
      <c r="B171" s="26" t="s">
        <v>304</v>
      </c>
      <c r="C171" s="21" t="s">
        <v>632</v>
      </c>
      <c r="D171" s="21" t="s">
        <v>764</v>
      </c>
    </row>
    <row r="172" spans="1:4" ht="17">
      <c r="A172" t="str">
        <f>IF(ISNA(VLOOKUP(B172,Definitions!B$2:B$1623,1,FALSE)),"Not listed","")</f>
        <v/>
      </c>
      <c r="B172" s="26" t="s">
        <v>304</v>
      </c>
      <c r="C172" s="21" t="s">
        <v>632</v>
      </c>
      <c r="D172" s="21" t="s">
        <v>768</v>
      </c>
    </row>
    <row r="173" spans="1:4" ht="17">
      <c r="A173" t="str">
        <f>IF(ISNA(VLOOKUP(B173,Definitions!B$2:B$1623,1,FALSE)),"Not listed","")</f>
        <v/>
      </c>
      <c r="B173" s="26" t="s">
        <v>305</v>
      </c>
      <c r="C173" s="21" t="s">
        <v>632</v>
      </c>
      <c r="D173" s="21" t="s">
        <v>764</v>
      </c>
    </row>
    <row r="174" spans="1:4" ht="17">
      <c r="A174" t="str">
        <f>IF(ISNA(VLOOKUP(B174,Definitions!B$2:B$1623,1,FALSE)),"Not listed","")</f>
        <v/>
      </c>
      <c r="B174" s="26" t="s">
        <v>305</v>
      </c>
      <c r="C174" s="21" t="s">
        <v>632</v>
      </c>
      <c r="D174" s="21" t="s">
        <v>768</v>
      </c>
    </row>
    <row r="175" spans="1:4" ht="17">
      <c r="A175" t="str">
        <f>IF(ISNA(VLOOKUP(B175,Definitions!B$2:B$1623,1,FALSE)),"Not listed","")</f>
        <v/>
      </c>
      <c r="B175" s="26" t="s">
        <v>306</v>
      </c>
      <c r="C175" s="21" t="s">
        <v>632</v>
      </c>
      <c r="D175" s="21" t="s">
        <v>764</v>
      </c>
    </row>
    <row r="176" spans="1:4" ht="17">
      <c r="A176" t="str">
        <f>IF(ISNA(VLOOKUP(B176,Definitions!B$2:B$1623,1,FALSE)),"Not listed","")</f>
        <v/>
      </c>
      <c r="B176" s="26" t="s">
        <v>306</v>
      </c>
      <c r="C176" s="21" t="s">
        <v>632</v>
      </c>
      <c r="D176" s="21" t="s">
        <v>768</v>
      </c>
    </row>
    <row r="177" spans="1:4" ht="17">
      <c r="A177" t="str">
        <f>IF(ISNA(VLOOKUP(B177,Definitions!B$2:B$1623,1,FALSE)),"Not listed","")</f>
        <v/>
      </c>
      <c r="B177" s="2" t="s">
        <v>657</v>
      </c>
      <c r="C177" s="4" t="s">
        <v>632</v>
      </c>
      <c r="D177" s="21" t="s">
        <v>764</v>
      </c>
    </row>
    <row r="178" spans="1:4" ht="17">
      <c r="A178" t="str">
        <f>IF(ISNA(VLOOKUP(B178,Definitions!B$2:B$1623,1,FALSE)),"Not listed","")</f>
        <v/>
      </c>
      <c r="B178" s="2" t="s">
        <v>657</v>
      </c>
      <c r="C178" s="4" t="s">
        <v>632</v>
      </c>
      <c r="D178" s="21" t="s">
        <v>768</v>
      </c>
    </row>
    <row r="179" spans="1:4" ht="17">
      <c r="A179" t="str">
        <f>IF(ISNA(VLOOKUP(B179,Definitions!B$2:B$1623,1,FALSE)),"Not listed","")</f>
        <v/>
      </c>
      <c r="B179" s="26" t="s">
        <v>281</v>
      </c>
      <c r="C179" s="21" t="s">
        <v>632</v>
      </c>
      <c r="D179" s="21" t="s">
        <v>750</v>
      </c>
    </row>
    <row r="180" spans="1:4" ht="17">
      <c r="A180" t="str">
        <f>IF(ISNA(VLOOKUP(B180,Definitions!B$2:B$1623,1,FALSE)),"Not listed","")</f>
        <v/>
      </c>
      <c r="B180" s="26" t="s">
        <v>281</v>
      </c>
      <c r="C180" s="21" t="s">
        <v>632</v>
      </c>
      <c r="D180" s="21" t="s">
        <v>776</v>
      </c>
    </row>
    <row r="181" spans="1:4" ht="17">
      <c r="A181" t="str">
        <f>IF(ISNA(VLOOKUP(B181,Definitions!B$2:B$1623,1,FALSE)),"Not listed","")</f>
        <v/>
      </c>
      <c r="B181" s="26" t="s">
        <v>308</v>
      </c>
      <c r="C181" s="21" t="s">
        <v>632</v>
      </c>
      <c r="D181" s="21" t="s">
        <v>738</v>
      </c>
    </row>
    <row r="182" spans="1:4" ht="17">
      <c r="A182" t="str">
        <f>IF(ISNA(VLOOKUP(B182,Definitions!B$2:B$1623,1,FALSE)),"Not listed","")</f>
        <v/>
      </c>
      <c r="B182" s="26" t="s">
        <v>308</v>
      </c>
      <c r="C182" s="21" t="s">
        <v>632</v>
      </c>
      <c r="D182" s="21" t="s">
        <v>769</v>
      </c>
    </row>
    <row r="183" spans="1:4" ht="17">
      <c r="A183" t="str">
        <f>IF(ISNA(VLOOKUP(B183,Definitions!B$2:B$1623,1,FALSE)),"Not listed","")</f>
        <v/>
      </c>
      <c r="B183" s="26" t="s">
        <v>228</v>
      </c>
      <c r="C183" s="21" t="s">
        <v>632</v>
      </c>
      <c r="D183" s="21" t="s">
        <v>731</v>
      </c>
    </row>
    <row r="184" spans="1:4" ht="17">
      <c r="A184" t="str">
        <f>IF(ISNA(VLOOKUP(B184,Definitions!B$2:B$1623,1,FALSE)),"Not listed","")</f>
        <v/>
      </c>
      <c r="B184" s="26" t="s">
        <v>229</v>
      </c>
      <c r="C184" s="21" t="s">
        <v>632</v>
      </c>
      <c r="D184" s="21" t="s">
        <v>731</v>
      </c>
    </row>
    <row r="185" spans="1:4" ht="17">
      <c r="A185" t="str">
        <f>IF(ISNA(VLOOKUP(B185,Definitions!B$2:B$1623,1,FALSE)),"Not listed","")</f>
        <v/>
      </c>
      <c r="B185" s="26" t="s">
        <v>311</v>
      </c>
      <c r="C185" s="21" t="s">
        <v>632</v>
      </c>
      <c r="D185" s="21" t="s">
        <v>771</v>
      </c>
    </row>
    <row r="186" spans="1:4" ht="17">
      <c r="A186" t="str">
        <f>IF(ISNA(VLOOKUP(B186,Definitions!B$2:B$1623,1,FALSE)),"Not listed","")</f>
        <v/>
      </c>
      <c r="B186" s="26" t="s">
        <v>342</v>
      </c>
      <c r="C186" s="21" t="s">
        <v>632</v>
      </c>
      <c r="D186" s="21" t="s">
        <v>790</v>
      </c>
    </row>
    <row r="187" spans="1:4" ht="17">
      <c r="A187" t="str">
        <f>IF(ISNA(VLOOKUP(B187,Definitions!B$2:B$1623,1,FALSE)),"Not listed","")</f>
        <v/>
      </c>
      <c r="B187" s="26" t="s">
        <v>264</v>
      </c>
      <c r="C187" s="21" t="s">
        <v>632</v>
      </c>
      <c r="D187" s="21" t="s">
        <v>740</v>
      </c>
    </row>
    <row r="188" spans="1:4" ht="17">
      <c r="A188" t="str">
        <f>IF(ISNA(VLOOKUP(B188,Definitions!B$2:B$1623,1,FALSE)),"Not listed","")</f>
        <v/>
      </c>
      <c r="B188" s="26" t="s">
        <v>264</v>
      </c>
      <c r="C188" s="21" t="s">
        <v>632</v>
      </c>
      <c r="D188" s="21" t="s">
        <v>772</v>
      </c>
    </row>
    <row r="189" spans="1:4" ht="17">
      <c r="A189" t="str">
        <f>IF(ISNA(VLOOKUP(B189,Definitions!B$2:B$1623,1,FALSE)),"Not listed","")</f>
        <v/>
      </c>
      <c r="B189" s="26" t="s">
        <v>265</v>
      </c>
      <c r="C189" s="21" t="s">
        <v>632</v>
      </c>
      <c r="D189" s="21" t="s">
        <v>740</v>
      </c>
    </row>
    <row r="190" spans="1:4" ht="17">
      <c r="A190" t="str">
        <f>IF(ISNA(VLOOKUP(B190,Definitions!B$2:B$1623,1,FALSE)),"Not listed","")</f>
        <v/>
      </c>
      <c r="B190" s="2" t="s">
        <v>332</v>
      </c>
      <c r="C190" s="4" t="s">
        <v>632</v>
      </c>
      <c r="D190" s="21" t="s">
        <v>718</v>
      </c>
    </row>
    <row r="191" spans="1:4" ht="17">
      <c r="A191" t="str">
        <f>IF(ISNA(VLOOKUP(B191,Definitions!B$2:B$1623,1,FALSE)),"Not listed","")</f>
        <v/>
      </c>
      <c r="B191" s="26" t="s">
        <v>332</v>
      </c>
      <c r="C191" s="21" t="s">
        <v>632</v>
      </c>
      <c r="D191" s="21" t="s">
        <v>785</v>
      </c>
    </row>
    <row r="192" spans="1:4" ht="17">
      <c r="A192" t="str">
        <f>IF(ISNA(VLOOKUP(B192,Definitions!B$2:B$1623,1,FALSE)),"Not listed","")</f>
        <v/>
      </c>
      <c r="B192" s="2" t="s">
        <v>333</v>
      </c>
      <c r="C192" s="4" t="s">
        <v>632</v>
      </c>
      <c r="D192" s="21" t="s">
        <v>718</v>
      </c>
    </row>
    <row r="193" spans="1:4" ht="17">
      <c r="A193" t="str">
        <f>IF(ISNA(VLOOKUP(B193,Definitions!B$2:B$1623,1,FALSE)),"Not listed","")</f>
        <v/>
      </c>
      <c r="B193" s="26" t="s">
        <v>333</v>
      </c>
      <c r="C193" s="21" t="s">
        <v>632</v>
      </c>
      <c r="D193" s="21" t="s">
        <v>785</v>
      </c>
    </row>
    <row r="194" spans="1:4" ht="17">
      <c r="A194" t="str">
        <f>IF(ISNA(VLOOKUP(B194,Definitions!B$2:B$1623,1,FALSE)),"Not listed","")</f>
        <v/>
      </c>
      <c r="B194" s="2" t="s">
        <v>334</v>
      </c>
      <c r="C194" s="4" t="s">
        <v>632</v>
      </c>
      <c r="D194" s="21" t="s">
        <v>718</v>
      </c>
    </row>
    <row r="195" spans="1:4" ht="17">
      <c r="A195" t="str">
        <f>IF(ISNA(VLOOKUP(B195,Definitions!B$2:B$1623,1,FALSE)),"Not listed","")</f>
        <v/>
      </c>
      <c r="B195" s="26" t="s">
        <v>334</v>
      </c>
      <c r="C195" s="21" t="s">
        <v>632</v>
      </c>
      <c r="D195" s="21" t="s">
        <v>785</v>
      </c>
    </row>
    <row r="196" spans="1:4" ht="17">
      <c r="A196" t="str">
        <f>IF(ISNA(VLOOKUP(B196,Definitions!B$2:B$1623,1,FALSE)),"Not listed","")</f>
        <v/>
      </c>
      <c r="B196" s="26" t="s">
        <v>239</v>
      </c>
      <c r="C196" s="21" t="s">
        <v>632</v>
      </c>
      <c r="D196" s="21" t="s">
        <v>734</v>
      </c>
    </row>
    <row r="197" spans="1:4">
      <c r="A197" t="str">
        <f>IF(ISNA(VLOOKUP(B197,Definitions!B$2:B$1623,1,FALSE)),"Not listed","")</f>
        <v/>
      </c>
      <c r="B197" t="s">
        <v>861</v>
      </c>
      <c r="C197" s="4" t="s">
        <v>632</v>
      </c>
      <c r="D197" s="21" t="s">
        <v>773</v>
      </c>
    </row>
    <row r="198" spans="1:4" ht="17">
      <c r="A198" t="str">
        <f>IF(ISNA(VLOOKUP([1]AssociatedElements!B293,Definitions!B$2:B$1623,1,FALSE)),"Not listed","")</f>
        <v/>
      </c>
      <c r="B198" s="2" t="s">
        <v>881</v>
      </c>
      <c r="C198" s="4" t="s">
        <v>632</v>
      </c>
      <c r="D198" s="21" t="s">
        <v>775</v>
      </c>
    </row>
    <row r="199" spans="1:4" ht="17">
      <c r="A199" t="str">
        <f>IF(ISNA(VLOOKUP(B199,Definitions!B$2:B$1623,1,FALSE)),"Not listed","")</f>
        <v/>
      </c>
      <c r="B199" s="26" t="s">
        <v>240</v>
      </c>
      <c r="C199" s="21" t="s">
        <v>632</v>
      </c>
      <c r="D199" s="21" t="s">
        <v>734</v>
      </c>
    </row>
    <row r="200" spans="1:4" ht="17">
      <c r="A200" t="str">
        <f>IF(ISNA(VLOOKUP(B200,Definitions!B$2:B$1623,1,FALSE)),"Not listed","")</f>
        <v/>
      </c>
      <c r="B200" s="26" t="s">
        <v>318</v>
      </c>
      <c r="C200" s="21" t="s">
        <v>632</v>
      </c>
      <c r="D200" s="21" t="s">
        <v>776</v>
      </c>
    </row>
    <row r="201" spans="1:4" ht="17">
      <c r="A201" t="str">
        <f>IF(ISNA(VLOOKUP(B201,Definitions!B$2:B$1623,1,FALSE)),"Not listed","")</f>
        <v/>
      </c>
      <c r="B201" s="26" t="s">
        <v>249</v>
      </c>
      <c r="C201" s="21" t="s">
        <v>632</v>
      </c>
      <c r="D201" s="21" t="s">
        <v>736</v>
      </c>
    </row>
    <row r="202" spans="1:4">
      <c r="A202" t="str">
        <f>IF(ISNA(VLOOKUP(B202,Definitions!B$2:B$1623,1,FALSE)),"Not listed","")</f>
        <v/>
      </c>
      <c r="B202" t="s">
        <v>249</v>
      </c>
      <c r="C202" s="4" t="s">
        <v>632</v>
      </c>
      <c r="D202" s="21" t="s">
        <v>777</v>
      </c>
    </row>
    <row r="203" spans="1:4" ht="17">
      <c r="A203" t="str">
        <f>IF(ISNA(VLOOKUP(B203,Definitions!B$2:B$1623,1,FALSE)),"Not listed","")</f>
        <v/>
      </c>
      <c r="B203" s="2" t="s">
        <v>289</v>
      </c>
      <c r="C203" s="4" t="s">
        <v>632</v>
      </c>
      <c r="D203" s="21" t="s">
        <v>747</v>
      </c>
    </row>
    <row r="204" spans="1:4" ht="17">
      <c r="A204" t="str">
        <f>IF(ISNA(VLOOKUP(B204,Definitions!B$2:B$1623,1,FALSE)),"Not listed","")</f>
        <v/>
      </c>
      <c r="B204" s="26" t="s">
        <v>289</v>
      </c>
      <c r="C204" s="21" t="s">
        <v>632</v>
      </c>
      <c r="D204" s="21" t="s">
        <v>755</v>
      </c>
    </row>
    <row r="205" spans="1:4">
      <c r="A205" t="str">
        <f>IF(ISNA(VLOOKUP(B205,Definitions!B$2:B$1623,1,FALSE)),"Not listed","")</f>
        <v/>
      </c>
      <c r="B205" t="s">
        <v>319</v>
      </c>
      <c r="C205" s="4" t="s">
        <v>632</v>
      </c>
      <c r="D205" s="21" t="s">
        <v>778</v>
      </c>
    </row>
    <row r="206" spans="1:4">
      <c r="A206" t="str">
        <f>IF(ISNA(VLOOKUP(B206,Definitions!B$2:B$1623,1,FALSE)),"Not listed","")</f>
        <v/>
      </c>
      <c r="B206" t="s">
        <v>320</v>
      </c>
      <c r="C206" s="4" t="s">
        <v>632</v>
      </c>
      <c r="D206" s="21" t="s">
        <v>779</v>
      </c>
    </row>
    <row r="207" spans="1:4" ht="17">
      <c r="A207" t="str">
        <f>IF(ISNA(VLOOKUP(B207,Definitions!B$2:B$1623,1,FALSE)),"Not listed","")</f>
        <v/>
      </c>
      <c r="B207" s="26" t="s">
        <v>279</v>
      </c>
      <c r="C207" s="21" t="s">
        <v>632</v>
      </c>
      <c r="D207" s="21" t="s">
        <v>748</v>
      </c>
    </row>
    <row r="208" spans="1:4" ht="17">
      <c r="A208" t="str">
        <f>IF(ISNA(VLOOKUP(B208,Definitions!B$2:B$1623,1,FALSE)),"Not listed","")</f>
        <v/>
      </c>
      <c r="B208" s="26" t="s">
        <v>279</v>
      </c>
      <c r="C208" s="21" t="s">
        <v>632</v>
      </c>
      <c r="D208" s="21" t="s">
        <v>756</v>
      </c>
    </row>
    <row r="209" spans="1:4" ht="17">
      <c r="A209" t="str">
        <f>IF(ISNA(VLOOKUP(B209,Definitions!B$2:B$1623,1,FALSE)),"Not listed","")</f>
        <v/>
      </c>
      <c r="B209" s="26" t="s">
        <v>279</v>
      </c>
      <c r="C209" s="21" t="s">
        <v>632</v>
      </c>
      <c r="D209" s="21" t="s">
        <v>790</v>
      </c>
    </row>
    <row r="210" spans="1:4">
      <c r="A210" t="str">
        <f>IF(ISNA(VLOOKUP(B210,Definitions!B$2:B$1623,1,FALSE)),"Not listed","")</f>
        <v/>
      </c>
      <c r="B210" t="s">
        <v>354</v>
      </c>
      <c r="C210" s="4" t="s">
        <v>632</v>
      </c>
      <c r="D210" s="21" t="s">
        <v>780</v>
      </c>
    </row>
    <row r="211" spans="1:4">
      <c r="A211" t="str">
        <f>IF(ISNA(VLOOKUP(B211,Definitions!B$2:B$1623,1,FALSE)),"Not listed","")</f>
        <v/>
      </c>
      <c r="B211" t="s">
        <v>287</v>
      </c>
      <c r="C211" s="4" t="s">
        <v>632</v>
      </c>
      <c r="D211" s="21" t="s">
        <v>753</v>
      </c>
    </row>
    <row r="212" spans="1:4" ht="17">
      <c r="A212" t="str">
        <f>IF(ISNA(VLOOKUP(B212,Definitions!B$2:B$1623,1,FALSE)),"Not listed","")</f>
        <v/>
      </c>
      <c r="B212" s="26" t="s">
        <v>287</v>
      </c>
      <c r="C212" s="21" t="s">
        <v>632</v>
      </c>
      <c r="D212" s="21" t="s">
        <v>770</v>
      </c>
    </row>
    <row r="213" spans="1:4">
      <c r="A213" t="str">
        <f>IF(ISNA(VLOOKUP(B213,Definitions!B$2:B$1623,1,FALSE)),"Not listed","")</f>
        <v/>
      </c>
      <c r="B213" t="s">
        <v>287</v>
      </c>
      <c r="C213" s="4" t="s">
        <v>632</v>
      </c>
      <c r="D213" s="21" t="s">
        <v>774</v>
      </c>
    </row>
    <row r="214" spans="1:4">
      <c r="A214" t="str">
        <f>IF(ISNA(VLOOKUP(B214,Definitions!B$2:B$1623,1,FALSE)),"Not listed","")</f>
        <v/>
      </c>
      <c r="B214" t="s">
        <v>287</v>
      </c>
      <c r="C214" s="4" t="s">
        <v>632</v>
      </c>
      <c r="D214" s="21" t="s">
        <v>789</v>
      </c>
    </row>
    <row r="215" spans="1:4" ht="17">
      <c r="A215" t="str">
        <f>IF(ISNA(VLOOKUP(B215,Definitions!B$2:B$1623,1,FALSE)),"Not listed","")</f>
        <v/>
      </c>
      <c r="B215" s="26" t="s">
        <v>287</v>
      </c>
      <c r="C215" s="21" t="s">
        <v>632</v>
      </c>
      <c r="D215" s="21" t="s">
        <v>789</v>
      </c>
    </row>
    <row r="216" spans="1:4" ht="17">
      <c r="A216" t="str">
        <f>IF(ISNA(VLOOKUP(B216,Definitions!B$2:B$1623,1,FALSE)),"Not listed","")</f>
        <v/>
      </c>
      <c r="B216" s="26" t="s">
        <v>266</v>
      </c>
      <c r="C216" s="21" t="s">
        <v>632</v>
      </c>
      <c r="D216" s="21" t="s">
        <v>740</v>
      </c>
    </row>
    <row r="217" spans="1:4" ht="17">
      <c r="A217" t="str">
        <f>IF(ISNA(VLOOKUP(B217,Definitions!B$2:B$1623,1,FALSE)),"Not listed","")</f>
        <v/>
      </c>
      <c r="B217" s="26" t="s">
        <v>266</v>
      </c>
      <c r="C217" s="21" t="s">
        <v>632</v>
      </c>
      <c r="D217" s="21" t="s">
        <v>748</v>
      </c>
    </row>
    <row r="218" spans="1:4">
      <c r="A218" t="str">
        <f>IF(ISNA(VLOOKUP(B218,Definitions!B$2:B$1623,1,FALSE)),"Not listed","")</f>
        <v/>
      </c>
      <c r="B218" t="s">
        <v>266</v>
      </c>
      <c r="C218" s="4" t="s">
        <v>632</v>
      </c>
      <c r="D218" s="21" t="s">
        <v>753</v>
      </c>
    </row>
    <row r="219" spans="1:4" ht="17">
      <c r="A219" t="str">
        <f>IF(ISNA(VLOOKUP(B219,Definitions!B$2:B$1623,1,FALSE)),"Not listed","")</f>
        <v/>
      </c>
      <c r="B219" s="26" t="s">
        <v>266</v>
      </c>
      <c r="C219" s="21" t="s">
        <v>632</v>
      </c>
      <c r="D219" s="21" t="s">
        <v>756</v>
      </c>
    </row>
    <row r="220" spans="1:4" ht="17">
      <c r="A220" t="str">
        <f>IF(ISNA(VLOOKUP(B220,Definitions!B$2:B$1623,1,FALSE)),"Not listed","")</f>
        <v/>
      </c>
      <c r="B220" s="26" t="s">
        <v>266</v>
      </c>
      <c r="C220" s="21" t="s">
        <v>632</v>
      </c>
      <c r="D220" s="21" t="s">
        <v>770</v>
      </c>
    </row>
    <row r="221" spans="1:4">
      <c r="A221" t="str">
        <f>IF(ISNA(VLOOKUP(B221,Definitions!B$2:B$1623,1,FALSE)),"Not listed","")</f>
        <v/>
      </c>
      <c r="B221" t="s">
        <v>266</v>
      </c>
      <c r="C221" s="4" t="s">
        <v>632</v>
      </c>
      <c r="D221" s="21" t="s">
        <v>774</v>
      </c>
    </row>
    <row r="222" spans="1:4">
      <c r="A222" t="str">
        <f>IF(ISNA(VLOOKUP(B222,Definitions!B$2:B$1623,1,FALSE)),"Not listed","")</f>
        <v/>
      </c>
      <c r="B222" t="s">
        <v>266</v>
      </c>
      <c r="C222" s="4" t="s">
        <v>632</v>
      </c>
      <c r="D222" s="21" t="s">
        <v>789</v>
      </c>
    </row>
    <row r="223" spans="1:4" ht="17">
      <c r="A223" t="str">
        <f>IF(ISNA(VLOOKUP(B223,Definitions!B$2:B$1623,1,FALSE)),"Not listed","")</f>
        <v/>
      </c>
      <c r="B223" s="26" t="s">
        <v>266</v>
      </c>
      <c r="C223" s="21" t="s">
        <v>632</v>
      </c>
      <c r="D223" s="21" t="s">
        <v>789</v>
      </c>
    </row>
    <row r="224" spans="1:4" ht="17">
      <c r="A224" t="str">
        <f>IF(ISNA(VLOOKUP(B224,Definitions!B$2:B$1623,1,FALSE)),"Not listed","")</f>
        <v/>
      </c>
      <c r="B224" s="26" t="s">
        <v>267</v>
      </c>
      <c r="C224" s="21" t="s">
        <v>632</v>
      </c>
      <c r="D224" s="21" t="s">
        <v>740</v>
      </c>
    </row>
    <row r="225" spans="1:4" ht="17">
      <c r="A225" t="str">
        <f>IF(ISNA(VLOOKUP(B225,Definitions!B$2:B$1623,1,FALSE)),"Not listed","")</f>
        <v/>
      </c>
      <c r="B225" s="26" t="s">
        <v>267</v>
      </c>
      <c r="C225" s="21" t="s">
        <v>632</v>
      </c>
      <c r="D225" s="21" t="s">
        <v>748</v>
      </c>
    </row>
    <row r="226" spans="1:4">
      <c r="A226" t="str">
        <f>IF(ISNA(VLOOKUP(B226,Definitions!B$2:B$1623,1,FALSE)),"Not listed","")</f>
        <v/>
      </c>
      <c r="B226" t="s">
        <v>267</v>
      </c>
      <c r="C226" s="4" t="s">
        <v>632</v>
      </c>
      <c r="D226" s="21" t="s">
        <v>753</v>
      </c>
    </row>
    <row r="227" spans="1:4" ht="17">
      <c r="A227" t="str">
        <f>IF(ISNA(VLOOKUP(B227,Definitions!B$2:B$1623,1,FALSE)),"Not listed","")</f>
        <v/>
      </c>
      <c r="B227" s="26" t="s">
        <v>267</v>
      </c>
      <c r="C227" s="21" t="s">
        <v>632</v>
      </c>
      <c r="D227" s="21" t="s">
        <v>756</v>
      </c>
    </row>
    <row r="228" spans="1:4" ht="17">
      <c r="A228" t="str">
        <f>IF(ISNA(VLOOKUP(B228,Definitions!B$2:B$1623,1,FALSE)),"Not listed","")</f>
        <v/>
      </c>
      <c r="B228" s="26" t="s">
        <v>267</v>
      </c>
      <c r="C228" s="21" t="s">
        <v>632</v>
      </c>
      <c r="D228" s="21" t="s">
        <v>770</v>
      </c>
    </row>
    <row r="229" spans="1:4">
      <c r="A229" t="str">
        <f>IF(ISNA(VLOOKUP(B229,Definitions!B$2:B$1623,1,FALSE)),"Not listed","")</f>
        <v/>
      </c>
      <c r="B229" t="s">
        <v>267</v>
      </c>
      <c r="C229" s="4" t="s">
        <v>632</v>
      </c>
      <c r="D229" s="21" t="s">
        <v>774</v>
      </c>
    </row>
    <row r="230" spans="1:4">
      <c r="A230" t="str">
        <f>IF(ISNA(VLOOKUP(B230,Definitions!B$2:B$1623,1,FALSE)),"Not listed","")</f>
        <v/>
      </c>
      <c r="B230" t="s">
        <v>267</v>
      </c>
      <c r="C230" s="4" t="s">
        <v>632</v>
      </c>
      <c r="D230" s="21" t="s">
        <v>789</v>
      </c>
    </row>
    <row r="231" spans="1:4" ht="17">
      <c r="A231" t="str">
        <f>IF(ISNA(VLOOKUP(B231,Definitions!B$2:B$1623,1,FALSE)),"Not listed","")</f>
        <v/>
      </c>
      <c r="B231" s="26" t="s">
        <v>267</v>
      </c>
      <c r="C231" s="21" t="s">
        <v>632</v>
      </c>
      <c r="D231" s="21" t="s">
        <v>789</v>
      </c>
    </row>
    <row r="232" spans="1:4" ht="17">
      <c r="A232" t="str">
        <f>IF(ISNA(VLOOKUP(B232,Definitions!B$2:B$1623,1,FALSE)),"Not listed","")</f>
        <v/>
      </c>
      <c r="B232" s="2" t="s">
        <v>616</v>
      </c>
      <c r="C232" s="4" t="s">
        <v>632</v>
      </c>
      <c r="D232" s="21" t="s">
        <v>757</v>
      </c>
    </row>
    <row r="233" spans="1:4">
      <c r="A233" t="str">
        <f>IF(ISNA(VLOOKUP(B233,Definitions!B$2:B$1623,1,FALSE)),"Not listed","")</f>
        <v/>
      </c>
      <c r="B233" t="s">
        <v>321</v>
      </c>
      <c r="C233" s="4" t="s">
        <v>632</v>
      </c>
      <c r="D233" s="21" t="s">
        <v>781</v>
      </c>
    </row>
    <row r="234" spans="1:4" ht="17">
      <c r="A234" t="str">
        <f>IF(ISNA(VLOOKUP(B234,Definitions!B$2:B$1623,1,FALSE)),"Not listed","")</f>
        <v/>
      </c>
      <c r="B234" s="2" t="s">
        <v>355</v>
      </c>
      <c r="C234" s="4" t="s">
        <v>632</v>
      </c>
      <c r="D234" s="21" t="s">
        <v>758</v>
      </c>
    </row>
    <row r="235" spans="1:4">
      <c r="A235" t="str">
        <f>IF(ISNA(VLOOKUP(B235,Definitions!B$2:B$1623,1,FALSE)),"Not listed","")</f>
        <v/>
      </c>
      <c r="B235" t="s">
        <v>355</v>
      </c>
      <c r="C235" s="4" t="s">
        <v>632</v>
      </c>
      <c r="D235" s="21" t="s">
        <v>782</v>
      </c>
    </row>
    <row r="236" spans="1:4" ht="17">
      <c r="A236" t="str">
        <f>IF(ISNA(VLOOKUP(B236,Definitions!B$2:B$1623,1,FALSE)),"Not listed","")</f>
        <v/>
      </c>
      <c r="B236" s="26" t="s">
        <v>230</v>
      </c>
      <c r="C236" s="21" t="s">
        <v>632</v>
      </c>
      <c r="D236" s="21" t="s">
        <v>731</v>
      </c>
    </row>
    <row r="237" spans="1:4" ht="17">
      <c r="A237" t="str">
        <f>IF(ISNA(VLOOKUP(B237,Definitions!B$2:B$1623,1,FALSE)),"Not listed","")</f>
        <v/>
      </c>
      <c r="B237" s="26" t="s">
        <v>231</v>
      </c>
      <c r="C237" s="21" t="s">
        <v>632</v>
      </c>
      <c r="D237" s="21" t="s">
        <v>731</v>
      </c>
    </row>
    <row r="238" spans="1:4">
      <c r="A238" t="str">
        <f>IF(ISNA(VLOOKUP(B238,Definitions!B$2:B$1623,1,FALSE)),"Not listed","")</f>
        <v/>
      </c>
      <c r="B238" t="s">
        <v>220</v>
      </c>
      <c r="C238" s="4" t="s">
        <v>632</v>
      </c>
      <c r="D238" s="21" t="s">
        <v>727</v>
      </c>
    </row>
    <row r="239" spans="1:4" ht="17">
      <c r="A239" t="str">
        <f>IF(ISNA(VLOOKUP(B239,Definitions!B$2:B$1623,1,FALSE)),"Not listed","")</f>
        <v/>
      </c>
      <c r="B239" s="26" t="s">
        <v>335</v>
      </c>
      <c r="C239" s="21" t="s">
        <v>632</v>
      </c>
      <c r="D239" s="21" t="s">
        <v>785</v>
      </c>
    </row>
    <row r="240" spans="1:4">
      <c r="A240" t="str">
        <f>IF(ISNA(VLOOKUP(B240,Definitions!B$2:B$1623,1,FALSE)),"Not listed","")</f>
        <v/>
      </c>
      <c r="B240" t="s">
        <v>356</v>
      </c>
      <c r="C240" s="4" t="s">
        <v>632</v>
      </c>
      <c r="D240" s="21" t="s">
        <v>783</v>
      </c>
    </row>
    <row r="241" spans="1:4" ht="17">
      <c r="A241" t="str">
        <f>IF(ISNA(VLOOKUP(B241,Definitions!B$2:B$1623,1,FALSE)),"Not listed","")</f>
        <v/>
      </c>
      <c r="B241" s="26" t="s">
        <v>336</v>
      </c>
      <c r="C241" s="21" t="s">
        <v>632</v>
      </c>
      <c r="D241" s="21" t="s">
        <v>785</v>
      </c>
    </row>
    <row r="242" spans="1:4">
      <c r="A242" t="str">
        <f>IF(ISNA(VLOOKUP(B242,Definitions!B$2:B$1623,1,FALSE)),"Not listed","")</f>
        <v/>
      </c>
      <c r="B242" t="s">
        <v>340</v>
      </c>
      <c r="C242" s="4" t="s">
        <v>632</v>
      </c>
      <c r="D242" s="21" t="s">
        <v>786</v>
      </c>
    </row>
    <row r="243" spans="1:4" ht="17">
      <c r="A243" t="str">
        <f>IF(ISNA(VLOOKUP(B243,Definitions!B$2:B$1623,1,FALSE)),"Not listed","")</f>
        <v/>
      </c>
      <c r="B243" s="26" t="s">
        <v>268</v>
      </c>
      <c r="C243" s="21" t="s">
        <v>632</v>
      </c>
      <c r="D243" s="21" t="s">
        <v>740</v>
      </c>
    </row>
    <row r="244" spans="1:4" ht="17">
      <c r="A244" t="str">
        <f>IF(ISNA(VLOOKUP(B244,Definitions!B$2:B$1623,1,FALSE)),"Not listed","")</f>
        <v/>
      </c>
      <c r="B244" s="26" t="s">
        <v>322</v>
      </c>
      <c r="C244" s="21" t="s">
        <v>632</v>
      </c>
      <c r="D244" s="21" t="s">
        <v>784</v>
      </c>
    </row>
    <row r="245" spans="1:4" ht="17">
      <c r="A245" t="str">
        <f>IF(ISNA(VLOOKUP(B245,Definitions!B$2:B$1623,1,FALSE)),"Not listed","")</f>
        <v/>
      </c>
      <c r="B245" s="26" t="s">
        <v>323</v>
      </c>
      <c r="C245" s="21" t="s">
        <v>632</v>
      </c>
      <c r="D245" s="21" t="s">
        <v>784</v>
      </c>
    </row>
    <row r="246" spans="1:4" ht="17">
      <c r="A246" t="str">
        <f>IF(ISNA(VLOOKUP(B246,Definitions!B$2:B$1623,1,FALSE)),"Not listed","")</f>
        <v/>
      </c>
      <c r="B246" s="26" t="s">
        <v>324</v>
      </c>
      <c r="C246" s="21" t="s">
        <v>632</v>
      </c>
      <c r="D246" s="21" t="s">
        <v>751</v>
      </c>
    </row>
    <row r="247" spans="1:4" ht="17">
      <c r="A247" t="str">
        <f>IF(ISNA(VLOOKUP([1]AssociatedElements!B231,Definitions!B$2:B$1623,1,FALSE)),"Not listed","")</f>
        <v/>
      </c>
      <c r="B247" s="26" t="s">
        <v>324</v>
      </c>
      <c r="C247" s="21" t="s">
        <v>632</v>
      </c>
      <c r="D247" s="21" t="s">
        <v>784</v>
      </c>
    </row>
    <row r="248" spans="1:4" ht="17">
      <c r="A248" t="str">
        <f>IF(ISNA(VLOOKUP(B248,Definitions!B$2:B$1623,1,FALSE)),"Not listed","")</f>
        <v/>
      </c>
      <c r="B248" s="26" t="s">
        <v>282</v>
      </c>
      <c r="C248" s="21" t="s">
        <v>632</v>
      </c>
      <c r="D248" s="21" t="s">
        <v>750</v>
      </c>
    </row>
    <row r="249" spans="1:4" ht="17">
      <c r="A249" t="str">
        <f>IF(ISNA(VLOOKUP([1]AssociatedElements!B287,Definitions!B$2:B$1623,1,FALSE)),"Not listed","")</f>
        <v/>
      </c>
      <c r="B249" s="2" t="s">
        <v>841</v>
      </c>
      <c r="C249" s="4" t="s">
        <v>632</v>
      </c>
      <c r="D249" s="21" t="s">
        <v>850</v>
      </c>
    </row>
    <row r="250" spans="1:4">
      <c r="A250" t="str">
        <f>IF(ISNA(VLOOKUP(B250,Definitions!B$2:B$1623,1,FALSE)),"Not listed","")</f>
        <v/>
      </c>
      <c r="B250" t="s">
        <v>357</v>
      </c>
      <c r="C250" s="4" t="s">
        <v>632</v>
      </c>
      <c r="D250" s="21" t="s">
        <v>787</v>
      </c>
    </row>
    <row r="251" spans="1:4" ht="17">
      <c r="A251" t="str">
        <f>IF(ISNA(VLOOKUP(B251,Definitions!B$2:B$1623,1,FALSE)),"Not listed","")</f>
        <v/>
      </c>
      <c r="B251" s="2" t="s">
        <v>357</v>
      </c>
      <c r="C251" s="4" t="s">
        <v>632</v>
      </c>
      <c r="D251" s="21" t="s">
        <v>720</v>
      </c>
    </row>
    <row r="252" spans="1:4">
      <c r="A252" t="str">
        <f>IF(ISNA(VLOOKUP(B252,Definitions!B$2:B$1623,1,FALSE)),"Not listed","")</f>
        <v/>
      </c>
      <c r="B252" t="s">
        <v>358</v>
      </c>
      <c r="C252" s="4" t="s">
        <v>632</v>
      </c>
      <c r="D252" s="21" t="s">
        <v>787</v>
      </c>
    </row>
    <row r="253" spans="1:4" ht="17">
      <c r="A253" t="str">
        <f>IF(ISNA(VLOOKUP(B253,Definitions!B$2:B$1623,1,FALSE)),"Not listed","")</f>
        <v/>
      </c>
      <c r="B253" s="2" t="s">
        <v>358</v>
      </c>
      <c r="C253" s="4" t="s">
        <v>632</v>
      </c>
      <c r="D253" s="21" t="s">
        <v>720</v>
      </c>
    </row>
    <row r="254" spans="1:4" ht="17">
      <c r="A254" t="str">
        <f>IF(ISNA(VLOOKUP(B254,Definitions!B$2:B$1623,1,FALSE)),"Not listed","")</f>
        <v/>
      </c>
      <c r="B254" s="26" t="s">
        <v>312</v>
      </c>
      <c r="C254" s="21" t="s">
        <v>632</v>
      </c>
      <c r="D254" s="21" t="s">
        <v>772</v>
      </c>
    </row>
    <row r="255" spans="1:4" ht="17">
      <c r="A255" t="str">
        <f>IF(ISNA(VLOOKUP([1]AssociatedElements!B276,Definitions!B$2:B$1623,1,FALSE)),"Not listed","")</f>
        <v/>
      </c>
      <c r="B255" s="26" t="s">
        <v>337</v>
      </c>
      <c r="C255" s="4" t="s">
        <v>632</v>
      </c>
      <c r="D255" s="21" t="s">
        <v>884</v>
      </c>
    </row>
    <row r="256" spans="1:4" ht="17">
      <c r="A256" t="str">
        <f>IF(ISNA(VLOOKUP(B256,Definitions!B$2:B$1623,1,FALSE)),"Not listed","")</f>
        <v/>
      </c>
      <c r="B256" s="26" t="s">
        <v>337</v>
      </c>
      <c r="C256" s="21" t="s">
        <v>632</v>
      </c>
      <c r="D256" s="21" t="s">
        <v>785</v>
      </c>
    </row>
    <row r="257" spans="1:4">
      <c r="A257" t="str">
        <f>IF(ISNA(VLOOKUP(B257,Definitions!B$2:B$1623,1,FALSE)),"Not listed","")</f>
        <v/>
      </c>
      <c r="B257" t="s">
        <v>221</v>
      </c>
      <c r="C257" s="4" t="s">
        <v>632</v>
      </c>
      <c r="D257" s="21" t="s">
        <v>729</v>
      </c>
    </row>
    <row r="258" spans="1:4" ht="17">
      <c r="A258" t="str">
        <f>IF(ISNA(VLOOKUP([1]AssociatedElements!B294,Definitions!B$2:B$1623,1,FALSE)),"Not listed","")</f>
        <v/>
      </c>
      <c r="B258" s="2" t="s">
        <v>885</v>
      </c>
      <c r="C258" s="4" t="s">
        <v>632</v>
      </c>
      <c r="D258" s="21" t="s">
        <v>886</v>
      </c>
    </row>
    <row r="259" spans="1:4" ht="17">
      <c r="A259" t="str">
        <f>IF(ISNA(VLOOKUP(B259,Definitions!B$2:B$1623,1,FALSE)),"Not listed","")</f>
        <v/>
      </c>
      <c r="B259" s="26" t="s">
        <v>269</v>
      </c>
      <c r="C259" s="21" t="s">
        <v>632</v>
      </c>
      <c r="D259" s="21" t="s">
        <v>740</v>
      </c>
    </row>
    <row r="260" spans="1:4" ht="17">
      <c r="A260" t="str">
        <f>IF(ISNA(VLOOKUP(B260,Definitions!B$2:B$1623,1,FALSE)),"Not listed","")</f>
        <v/>
      </c>
      <c r="B260" s="26" t="s">
        <v>25</v>
      </c>
      <c r="C260" s="4" t="s">
        <v>632</v>
      </c>
      <c r="D260" s="21" t="s">
        <v>718</v>
      </c>
    </row>
    <row r="261" spans="1:4" ht="17">
      <c r="A261" t="str">
        <f>IF(ISNA(VLOOKUP(B261,Definitions!B$2:B$1623,1,FALSE)),"Not listed","")</f>
        <v/>
      </c>
      <c r="B261" s="2" t="s">
        <v>25</v>
      </c>
      <c r="C261" s="4" t="s">
        <v>632</v>
      </c>
      <c r="D261" s="21" t="s">
        <v>719</v>
      </c>
    </row>
    <row r="262" spans="1:4" ht="15" customHeight="1">
      <c r="A262" t="str">
        <f>IF(ISNA(VLOOKUP(B262,Definitions!B$2:B$1623,1,FALSE)),"Not listed","")</f>
        <v/>
      </c>
      <c r="B262" s="26" t="s">
        <v>25</v>
      </c>
      <c r="C262" s="21" t="s">
        <v>632</v>
      </c>
      <c r="D262" s="21" t="s">
        <v>785</v>
      </c>
    </row>
    <row r="263" spans="1:4" ht="17">
      <c r="A263" t="str">
        <f>IF(ISNA(VLOOKUP(B263,Definitions!B$2:B$1623,1,FALSE)),"Not listed","")</f>
        <v/>
      </c>
      <c r="B263" s="26" t="s">
        <v>25</v>
      </c>
      <c r="C263" s="4" t="s">
        <v>632</v>
      </c>
      <c r="D263" s="21" t="s">
        <v>720</v>
      </c>
    </row>
    <row r="264" spans="1:4" ht="17">
      <c r="A264" t="str">
        <f>IF(ISNA(VLOOKUP(B264,Definitions!B$2:B$1623,1,FALSE)),"Not listed","")</f>
        <v/>
      </c>
      <c r="B264" s="26" t="s">
        <v>25</v>
      </c>
      <c r="C264" s="21" t="s">
        <v>632</v>
      </c>
      <c r="D264" s="21" t="s">
        <v>800</v>
      </c>
    </row>
    <row r="265" spans="1:4" ht="17">
      <c r="A265" t="str">
        <f>IF(ISNA(VLOOKUP(B265,Definitions!B$2:B$1623,1,FALSE)),"Not listed","")</f>
        <v/>
      </c>
      <c r="B265" s="26" t="s">
        <v>25</v>
      </c>
      <c r="C265" s="21" t="s">
        <v>632</v>
      </c>
      <c r="D265" s="21" t="s">
        <v>796</v>
      </c>
    </row>
    <row r="266" spans="1:4" ht="17">
      <c r="A266" t="str">
        <f>IF(ISNA(VLOOKUP(B266,Definitions!B$2:B$1623,1,FALSE)),"Not listed","")</f>
        <v/>
      </c>
      <c r="B266" s="26" t="s">
        <v>338</v>
      </c>
      <c r="C266" s="21" t="s">
        <v>632</v>
      </c>
      <c r="D266" s="21" t="s">
        <v>785</v>
      </c>
    </row>
    <row r="267" spans="1:4" ht="17">
      <c r="A267" t="str">
        <f>IF(ISNA(VLOOKUP(B267,Definitions!B$2:B$1623,1,FALSE)),"Not listed","")</f>
        <v/>
      </c>
      <c r="B267" s="26" t="s">
        <v>339</v>
      </c>
      <c r="C267" s="21" t="s">
        <v>632</v>
      </c>
      <c r="D267" s="21" t="s">
        <v>785</v>
      </c>
    </row>
    <row r="268" spans="1:4" ht="17">
      <c r="A268" t="str">
        <f>IF(ISNA(VLOOKUP(B268,Definitions!B$2:B$1623,1,FALSE)),"Not listed","")</f>
        <v/>
      </c>
      <c r="B268" s="26" t="s">
        <v>636</v>
      </c>
      <c r="C268" s="21" t="s">
        <v>632</v>
      </c>
      <c r="D268" s="21" t="s">
        <v>737</v>
      </c>
    </row>
    <row r="269" spans="1:4" ht="17">
      <c r="A269" t="str">
        <f>IF(ISNA(VLOOKUP([1]AssociatedElements!B283,Definitions!B$2:B$1623,1,FALSE)),"Not listed","")</f>
        <v/>
      </c>
      <c r="B269" s="2" t="s">
        <v>832</v>
      </c>
      <c r="C269" s="4" t="s">
        <v>632</v>
      </c>
      <c r="D269" s="21" t="s">
        <v>838</v>
      </c>
    </row>
    <row r="270" spans="1:4" ht="17">
      <c r="A270" t="str">
        <f>IF(ISNA(VLOOKUP([1]AssociatedElements!B285,Definitions!B$2:B$1623,1,FALSE)),"Not listed","")</f>
        <v/>
      </c>
      <c r="B270" s="2" t="s">
        <v>836</v>
      </c>
      <c r="C270" s="4" t="s">
        <v>632</v>
      </c>
      <c r="D270" s="21" t="s">
        <v>838</v>
      </c>
    </row>
    <row r="271" spans="1:4" ht="17">
      <c r="A271" t="str">
        <f>IF(ISNA(VLOOKUP(B271,Definitions!B$2:B$1623,1,FALSE)),"Not listed","")</f>
        <v/>
      </c>
      <c r="B271" s="2" t="s">
        <v>688</v>
      </c>
      <c r="C271" s="4" t="s">
        <v>632</v>
      </c>
      <c r="D271" s="21" t="s">
        <v>719</v>
      </c>
    </row>
    <row r="272" spans="1:4" ht="17">
      <c r="A272" t="str">
        <f>IF(ISNA(VLOOKUP(B272,Definitions!B$2:B$1623,1,FALSE)),"Not listed","")</f>
        <v/>
      </c>
      <c r="B272" s="26" t="s">
        <v>313</v>
      </c>
      <c r="C272" s="21" t="s">
        <v>632</v>
      </c>
      <c r="D272" s="21" t="s">
        <v>772</v>
      </c>
    </row>
    <row r="273" spans="1:4" ht="17">
      <c r="A273" t="str">
        <f>IF(ISNA(VLOOKUP(B273,Definitions!B$2:B$1623,1,FALSE)),"Not listed","")</f>
        <v/>
      </c>
      <c r="B273" s="2" t="s">
        <v>651</v>
      </c>
      <c r="C273" s="4" t="s">
        <v>632</v>
      </c>
      <c r="D273" s="21" t="s">
        <v>768</v>
      </c>
    </row>
    <row r="274" spans="1:4" ht="17">
      <c r="A274" t="str">
        <f>IF(ISNA(VLOOKUP(B274,Definitions!B$2:B$1623,1,FALSE)),"Not listed","")</f>
        <v/>
      </c>
      <c r="B274" s="26" t="s">
        <v>307</v>
      </c>
      <c r="C274" s="21" t="s">
        <v>632</v>
      </c>
      <c r="D274" s="21" t="s">
        <v>768</v>
      </c>
    </row>
    <row r="275" spans="1:4" ht="17">
      <c r="A275" t="str">
        <f>IF(ISNA(VLOOKUP(B275,Definitions!B$2:B$1623,1,FALSE)),"Not listed","")</f>
        <v/>
      </c>
      <c r="B275" s="26" t="s">
        <v>232</v>
      </c>
      <c r="C275" s="21" t="s">
        <v>632</v>
      </c>
      <c r="D275" s="21" t="s">
        <v>731</v>
      </c>
    </row>
    <row r="276" spans="1:4" ht="17">
      <c r="A276" t="str">
        <f>IF(ISNA(VLOOKUP(B276,Definitions!B$2:B$1623,1,FALSE)),"Not listed","")</f>
        <v/>
      </c>
      <c r="B276" s="26" t="s">
        <v>270</v>
      </c>
      <c r="C276" s="21" t="s">
        <v>632</v>
      </c>
      <c r="D276" s="21" t="s">
        <v>740</v>
      </c>
    </row>
    <row r="277" spans="1:4" ht="17">
      <c r="A277" t="str">
        <f>IF(ISNA(VLOOKUP(B277,Definitions!B$2:B$1623,1,FALSE)),"Not listed","")</f>
        <v/>
      </c>
      <c r="B277" s="2" t="s">
        <v>155</v>
      </c>
      <c r="C277" s="4" t="s">
        <v>632</v>
      </c>
      <c r="D277" s="21" t="s">
        <v>720</v>
      </c>
    </row>
    <row r="278" spans="1:4" ht="17">
      <c r="A278" t="str">
        <f>IF(ISNA(VLOOKUP(B278,Definitions!B$2:B$1623,1,FALSE)),"Not listed","")</f>
        <v/>
      </c>
      <c r="B278" s="2" t="s">
        <v>692</v>
      </c>
      <c r="C278" s="4" t="s">
        <v>632</v>
      </c>
      <c r="D278" s="21" t="s">
        <v>720</v>
      </c>
    </row>
    <row r="279" spans="1:4" ht="17">
      <c r="A279" t="str">
        <f>IF(ISNA(VLOOKUP(B279,Definitions!B$2:B$1623,1,FALSE)),"Not listed","")</f>
        <v/>
      </c>
      <c r="B279" s="26" t="s">
        <v>233</v>
      </c>
      <c r="C279" s="21" t="s">
        <v>632</v>
      </c>
      <c r="D279" s="21" t="s">
        <v>731</v>
      </c>
    </row>
    <row r="280" spans="1:4">
      <c r="A280" t="str">
        <f>IF(ISNA(VLOOKUP(B280,Definitions!B$2:B$1623,1,FALSE)),"Not listed","")</f>
        <v/>
      </c>
      <c r="B280" t="s">
        <v>360</v>
      </c>
      <c r="C280" s="4" t="s">
        <v>632</v>
      </c>
      <c r="D280" s="21" t="s">
        <v>792</v>
      </c>
    </row>
    <row r="281" spans="1:4" ht="17">
      <c r="A281" t="str">
        <f>IF(ISNA(VLOOKUP([1]AssociatedElements!B290,Definitions!B$2:B$1623,1,FALSE)),"Not listed","")</f>
        <v/>
      </c>
      <c r="B281" s="2" t="s">
        <v>856</v>
      </c>
      <c r="C281" s="4" t="s">
        <v>632</v>
      </c>
      <c r="D281" s="21" t="s">
        <v>751</v>
      </c>
    </row>
    <row r="282" spans="1:4" ht="17">
      <c r="A282" t="str">
        <f>IF(ISNA(VLOOKUP(B282,Definitions!B$2:B$1623,1,FALSE)),"Not listed","")</f>
        <v/>
      </c>
      <c r="B282" s="26" t="s">
        <v>275</v>
      </c>
      <c r="C282" s="21" t="s">
        <v>632</v>
      </c>
      <c r="D282" s="21" t="s">
        <v>743</v>
      </c>
    </row>
    <row r="283" spans="1:4" ht="17">
      <c r="A283" t="str">
        <f>IF(ISNA(VLOOKUP(B283,Definitions!B$2:B$1623,1,FALSE)),"Not listed","")</f>
        <v/>
      </c>
      <c r="B283" s="26" t="s">
        <v>275</v>
      </c>
      <c r="C283" s="21" t="s">
        <v>632</v>
      </c>
      <c r="D283" s="21" t="s">
        <v>749</v>
      </c>
    </row>
    <row r="284" spans="1:4" ht="17">
      <c r="A284" t="str">
        <f>IF(ISNA(VLOOKUP(B284,Definitions!B$2:B$1623,1,FALSE)),"Not listed","")</f>
        <v/>
      </c>
      <c r="B284" s="26" t="s">
        <v>275</v>
      </c>
      <c r="C284" s="21" t="s">
        <v>632</v>
      </c>
      <c r="D284" s="21" t="s">
        <v>751</v>
      </c>
    </row>
    <row r="285" spans="1:4" ht="17">
      <c r="A285" t="str">
        <f>IF(ISNA(VLOOKUP(B285,Definitions!B$2:B$1623,1,FALSE)),"Not listed","")</f>
        <v/>
      </c>
      <c r="B285" s="26" t="s">
        <v>275</v>
      </c>
      <c r="C285" s="21" t="s">
        <v>632</v>
      </c>
      <c r="D285" s="21" t="s">
        <v>752</v>
      </c>
    </row>
    <row r="286" spans="1:4" ht="17">
      <c r="A286" t="str">
        <f>IF(ISNA(VLOOKUP(B286,Definitions!B$2:B$1623,1,FALSE)),"Not listed","")</f>
        <v/>
      </c>
      <c r="B286" s="26" t="s">
        <v>275</v>
      </c>
      <c r="C286" s="21" t="s">
        <v>632</v>
      </c>
      <c r="D286" s="21" t="s">
        <v>785</v>
      </c>
    </row>
    <row r="287" spans="1:4" ht="17">
      <c r="A287" t="str">
        <f>IF(ISNA(VLOOKUP(B287,Definitions!B$2:B$1623,1,FALSE)),"Not listed","")</f>
        <v/>
      </c>
      <c r="B287" s="26" t="s">
        <v>275</v>
      </c>
      <c r="C287" s="21" t="s">
        <v>632</v>
      </c>
      <c r="D287" s="21" t="s">
        <v>793</v>
      </c>
    </row>
    <row r="288" spans="1:4" ht="17">
      <c r="A288" t="str">
        <f>IF(ISNA(VLOOKUP(B288,Definitions!B$2:B$1623,1,FALSE)),"Not listed","")</f>
        <v/>
      </c>
      <c r="B288" s="26" t="s">
        <v>284</v>
      </c>
      <c r="C288" s="21" t="s">
        <v>632</v>
      </c>
      <c r="D288" s="21" t="s">
        <v>751</v>
      </c>
    </row>
    <row r="289" spans="1:4" ht="17">
      <c r="A289" t="str">
        <f>IF(ISNA(VLOOKUP(B289,Definitions!B$2:B$1623,1,FALSE)),"Not listed","")</f>
        <v/>
      </c>
      <c r="B289" s="2" t="s">
        <v>609</v>
      </c>
      <c r="C289" s="4" t="s">
        <v>632</v>
      </c>
      <c r="D289" s="21" t="s">
        <v>772</v>
      </c>
    </row>
    <row r="290" spans="1:4" ht="17">
      <c r="A290" t="str">
        <f>IF(ISNA(VLOOKUP([1]AssociatedElements!B292,Definitions!B$2:B$1623,1,FALSE)),"Not listed","")</f>
        <v/>
      </c>
      <c r="B290" s="2" t="s">
        <v>609</v>
      </c>
      <c r="C290" s="4" t="s">
        <v>632</v>
      </c>
      <c r="D290" s="21" t="s">
        <v>775</v>
      </c>
    </row>
    <row r="291" spans="1:4" ht="17">
      <c r="A291" t="str">
        <f>IF(ISNA(VLOOKUP([1]AssociatedElements!B274,Definitions!B$2:B$1623,1,FALSE)),"Not listed","")</f>
        <v/>
      </c>
      <c r="B291" s="2" t="s">
        <v>609</v>
      </c>
      <c r="C291" s="4" t="s">
        <v>632</v>
      </c>
      <c r="D291" s="21" t="s">
        <v>884</v>
      </c>
    </row>
    <row r="292" spans="1:4" ht="17">
      <c r="A292" t="str">
        <f>IF(ISNA(VLOOKUP(B292,Definitions!B$2:B$1623,1,FALSE)),"Not listed","")</f>
        <v/>
      </c>
      <c r="B292" s="2" t="s">
        <v>611</v>
      </c>
      <c r="C292" s="4" t="s">
        <v>632</v>
      </c>
      <c r="D292" s="21" t="s">
        <v>772</v>
      </c>
    </row>
    <row r="293" spans="1:4" ht="17">
      <c r="A293" t="str">
        <f>IF(ISNA(VLOOKUP([1]AssociatedElements!B291,Definitions!B$2:B$1623,1,FALSE)),"Not listed","")</f>
        <v/>
      </c>
      <c r="B293" s="2" t="s">
        <v>611</v>
      </c>
      <c r="C293" s="4" t="s">
        <v>632</v>
      </c>
      <c r="D293" s="21" t="s">
        <v>775</v>
      </c>
    </row>
    <row r="294" spans="1:4" ht="17">
      <c r="A294" t="str">
        <f>IF(ISNA(VLOOKUP([1]AssociatedElements!B275,Definitions!B$2:B$1623,1,FALSE)),"Not listed","")</f>
        <v/>
      </c>
      <c r="B294" s="2" t="s">
        <v>611</v>
      </c>
      <c r="C294" s="4" t="s">
        <v>632</v>
      </c>
      <c r="D294" s="21" t="s">
        <v>884</v>
      </c>
    </row>
    <row r="295" spans="1:4" ht="17">
      <c r="A295" t="str">
        <f>IF(ISNA(VLOOKUP([1]AssociatedElements!B295,Definitions!B$2:B$1623,1,FALSE)),"Not listed","")</f>
        <v/>
      </c>
      <c r="B295" s="2" t="s">
        <v>892</v>
      </c>
      <c r="C295" s="4" t="s">
        <v>632</v>
      </c>
      <c r="D295" s="21" t="s">
        <v>764</v>
      </c>
    </row>
    <row r="296" spans="1:4" ht="17">
      <c r="A296" t="str">
        <f>IF(ISNA(VLOOKUP([1]AssociatedElements!B296,Definitions!B$2:B$1623,1,FALSE)),"Not listed","")</f>
        <v/>
      </c>
      <c r="B296" s="2" t="s">
        <v>892</v>
      </c>
      <c r="C296" s="4" t="s">
        <v>632</v>
      </c>
      <c r="D296" s="21" t="s">
        <v>768</v>
      </c>
    </row>
    <row r="297" spans="1:4" ht="17">
      <c r="A297" t="str">
        <f>IF(ISNA(VLOOKUP([1]AssociatedElements!B297,Definitions!B$2:B$1623,1,FALSE)),"Not listed","")</f>
        <v/>
      </c>
      <c r="B297" s="2" t="s">
        <v>894</v>
      </c>
      <c r="C297" s="4" t="s">
        <v>632</v>
      </c>
      <c r="D297" s="21" t="s">
        <v>764</v>
      </c>
    </row>
    <row r="298" spans="1:4" ht="17">
      <c r="A298" t="str">
        <f>IF(ISNA(VLOOKUP([1]AssociatedElements!B298,Definitions!B$2:B$1623,1,FALSE)),"Not listed","")</f>
        <v/>
      </c>
      <c r="B298" s="2" t="s">
        <v>894</v>
      </c>
      <c r="C298" s="4" t="s">
        <v>632</v>
      </c>
      <c r="D298" s="21" t="s">
        <v>768</v>
      </c>
    </row>
    <row r="299" spans="1:4" ht="17">
      <c r="A299" t="str">
        <f>IF(ISNA(VLOOKUP([1]AssociatedElements!B299,Definitions!B$2:B$1623,1,FALSE)),"Not listed","")</f>
        <v/>
      </c>
      <c r="B299" s="2" t="s">
        <v>896</v>
      </c>
      <c r="C299" s="4" t="s">
        <v>632</v>
      </c>
      <c r="D299" s="21" t="s">
        <v>764</v>
      </c>
    </row>
    <row r="300" spans="1:4" ht="17">
      <c r="A300" t="str">
        <f>IF(ISNA(VLOOKUP([1]AssociatedElements!B300,Definitions!B$2:B$1623,1,FALSE)),"Not listed","")</f>
        <v/>
      </c>
      <c r="B300" s="2" t="s">
        <v>896</v>
      </c>
      <c r="C300" s="4" t="s">
        <v>632</v>
      </c>
      <c r="D300" s="21" t="s">
        <v>768</v>
      </c>
    </row>
    <row r="301" spans="1:4" ht="17">
      <c r="A301" t="str">
        <f>IF(ISNA(VLOOKUP([1]AssociatedElements!B301,Definitions!B$2:B$1623,1,FALSE)),"Not listed","")</f>
        <v/>
      </c>
      <c r="B301" s="2" t="s">
        <v>899</v>
      </c>
      <c r="C301" s="4" t="s">
        <v>632</v>
      </c>
      <c r="D301" s="21" t="s">
        <v>764</v>
      </c>
    </row>
    <row r="302" spans="1:4" ht="17">
      <c r="A302" t="str">
        <f>IF(ISNA(VLOOKUP([1]AssociatedElements!B302,Definitions!B$2:B$1623,1,FALSE)),"Not listed","")</f>
        <v/>
      </c>
      <c r="B302" s="2" t="s">
        <v>899</v>
      </c>
      <c r="C302" s="4" t="s">
        <v>632</v>
      </c>
      <c r="D302" s="21" t="s">
        <v>768</v>
      </c>
    </row>
    <row r="303" spans="1:4" ht="17">
      <c r="A303" t="str">
        <f>IF(ISNA(VLOOKUP([1]AssociatedElements!B303,Definitions!B$2:B$1623,1,FALSE)),"Not listed","")</f>
        <v/>
      </c>
      <c r="B303" s="2" t="s">
        <v>902</v>
      </c>
      <c r="C303" s="4" t="s">
        <v>632</v>
      </c>
      <c r="D303" s="21" t="s">
        <v>764</v>
      </c>
    </row>
    <row r="304" spans="1:4" ht="17">
      <c r="A304" t="str">
        <f>IF(ISNA(VLOOKUP([1]AssociatedElements!B304,Definitions!B$2:B$1623,1,FALSE)),"Not listed","")</f>
        <v/>
      </c>
      <c r="B304" s="2" t="s">
        <v>902</v>
      </c>
      <c r="C304" s="4" t="s">
        <v>632</v>
      </c>
      <c r="D304" s="21" t="s">
        <v>768</v>
      </c>
    </row>
    <row r="305" spans="1:4" ht="17">
      <c r="A305" t="str">
        <f>IF(ISNA(VLOOKUP([1]AssociatedElements!B305,Definitions!B$2:B$1623,1,FALSE)),"Not listed","")</f>
        <v/>
      </c>
      <c r="B305" s="2" t="s">
        <v>905</v>
      </c>
      <c r="C305" s="4" t="s">
        <v>632</v>
      </c>
      <c r="D305" s="21" t="s">
        <v>764</v>
      </c>
    </row>
    <row r="306" spans="1:4" ht="17">
      <c r="A306" t="str">
        <f>IF(ISNA(VLOOKUP([1]AssociatedElements!B306,Definitions!B$2:B$1623,1,FALSE)),"Not listed","")</f>
        <v/>
      </c>
      <c r="B306" s="2" t="s">
        <v>905</v>
      </c>
      <c r="C306" s="4" t="s">
        <v>632</v>
      </c>
      <c r="D306" s="21" t="s">
        <v>768</v>
      </c>
    </row>
    <row r="307" spans="1:4" ht="17">
      <c r="A307" t="str">
        <f>IF(ISNA(VLOOKUP([1]AssociatedElements!B307,Definitions!B$2:B$1623,1,FALSE)),"Not listed","")</f>
        <v/>
      </c>
      <c r="B307" s="2" t="s">
        <v>908</v>
      </c>
      <c r="C307" s="4" t="s">
        <v>632</v>
      </c>
      <c r="D307" s="21" t="s">
        <v>764</v>
      </c>
    </row>
    <row r="308" spans="1:4" ht="17">
      <c r="A308" t="str">
        <f>IF(ISNA(VLOOKUP([1]AssociatedElements!B308,Definitions!B$2:B$1623,1,FALSE)),"Not listed","")</f>
        <v/>
      </c>
      <c r="B308" s="2" t="s">
        <v>908</v>
      </c>
      <c r="C308" s="4" t="s">
        <v>632</v>
      </c>
      <c r="D308" s="21" t="s">
        <v>768</v>
      </c>
    </row>
    <row r="309" spans="1:4" ht="17">
      <c r="A309" t="str">
        <f>IF(ISNA(VLOOKUP([1]AssociatedElements!B309,Definitions!B$2:B$1623,1,FALSE)),"Not listed","")</f>
        <v/>
      </c>
      <c r="B309" s="2" t="s">
        <v>911</v>
      </c>
      <c r="C309" s="4" t="s">
        <v>632</v>
      </c>
      <c r="D309" s="21" t="s">
        <v>764</v>
      </c>
    </row>
    <row r="310" spans="1:4" ht="17">
      <c r="A310" t="str">
        <f>IF(ISNA(VLOOKUP([1]AssociatedElements!B310,Definitions!B$2:B$1623,1,FALSE)),"Not listed","")</f>
        <v/>
      </c>
      <c r="B310" s="2" t="s">
        <v>911</v>
      </c>
      <c r="C310" s="4" t="s">
        <v>632</v>
      </c>
      <c r="D310" s="21" t="s">
        <v>768</v>
      </c>
    </row>
    <row r="311" spans="1:4" ht="17">
      <c r="A311" t="str">
        <f>IF(ISNA(VLOOKUP([1]AssociatedElements!B311,Definitions!B$2:B$1623,1,FALSE)),"Not listed","")</f>
        <v/>
      </c>
      <c r="B311" s="2" t="s">
        <v>914</v>
      </c>
      <c r="C311" s="4" t="s">
        <v>632</v>
      </c>
      <c r="D311" s="21" t="s">
        <v>764</v>
      </c>
    </row>
    <row r="312" spans="1:4" ht="17">
      <c r="A312" t="str">
        <f>IF(ISNA(VLOOKUP([1]AssociatedElements!B312,Definitions!B$2:B$1623,1,FALSE)),"Not listed","")</f>
        <v/>
      </c>
      <c r="B312" s="2" t="s">
        <v>914</v>
      </c>
      <c r="C312" s="4" t="s">
        <v>632</v>
      </c>
      <c r="D312" s="21" t="s">
        <v>768</v>
      </c>
    </row>
    <row r="313" spans="1:4" ht="17">
      <c r="A313" t="str">
        <f>IF(ISNA(VLOOKUP([1]AssociatedElements!B313,Definitions!B$2:B$1623,1,FALSE)),"Not listed","")</f>
        <v/>
      </c>
      <c r="B313" s="2" t="s">
        <v>917</v>
      </c>
      <c r="C313" s="4" t="s">
        <v>632</v>
      </c>
      <c r="D313" s="21" t="s">
        <v>764</v>
      </c>
    </row>
    <row r="314" spans="1:4" ht="17">
      <c r="A314" t="str">
        <f>IF(ISNA(VLOOKUP([1]AssociatedElements!B314,Definitions!B$2:B$1623,1,FALSE)),"Not listed","")</f>
        <v/>
      </c>
      <c r="B314" s="2" t="s">
        <v>917</v>
      </c>
      <c r="C314" s="4" t="s">
        <v>632</v>
      </c>
      <c r="D314" s="21" t="s">
        <v>768</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topLeftCell="A123" zoomScale="130" zoomScaleNormal="130" workbookViewId="0">
      <selection activeCell="E150" sqref="E150"/>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870</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869</v>
      </c>
      <c r="D7" t="s">
        <v>871</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874</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874</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862</v>
      </c>
      <c r="D60" t="s">
        <v>872</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867</v>
      </c>
      <c r="D66" t="s">
        <v>875</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876</v>
      </c>
      <c r="D108" t="s">
        <v>874</v>
      </c>
      <c r="E108" t="e">
        <f t="shared" si="5"/>
        <v>#N/A</v>
      </c>
      <c r="F108" t="str">
        <f t="shared" si="4"/>
        <v>(MassPerVolume)PerPressure</v>
      </c>
      <c r="J108" t="s">
        <v>105</v>
      </c>
    </row>
    <row r="109" spans="3:10">
      <c r="C109" t="s">
        <v>877</v>
      </c>
      <c r="D109" t="s">
        <v>874</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874</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868</v>
      </c>
      <c r="D147" t="s">
        <v>873</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874</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878</v>
      </c>
      <c r="D187" t="s">
        <v>879</v>
      </c>
      <c r="E187" t="e">
        <f t="shared" si="8"/>
        <v>#N/A</v>
      </c>
    </row>
    <row r="188" spans="3:6">
      <c r="C188" t="s">
        <v>880</v>
      </c>
      <c r="D188" t="s">
        <v>879</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cp:lastPrinted>2024-01-23T07:37:04Z</cp:lastPrinted>
  <dcterms:created xsi:type="dcterms:W3CDTF">2018-10-28T20:07:54Z</dcterms:created>
  <dcterms:modified xsi:type="dcterms:W3CDTF">2026-06-04T23:39:46Z</dcterms:modified>
</cp:coreProperties>
</file>