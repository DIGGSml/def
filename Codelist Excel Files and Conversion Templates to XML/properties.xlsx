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sz val="8"/>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s>
  <fills count="7">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
      <patternFill patternType="solid">
        <fgColor theme="4" tint="0.5999938962981048"/>
        <bgColor indexed="64"/>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39">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6" fillId="5" borderId="0" pivotButton="0" quotePrefix="0" xfId="0"/>
    <xf numFmtId="0" fontId="14" fillId="0" borderId="4" pivotButton="0" quotePrefix="0" xfId="0"/>
    <xf numFmtId="0" fontId="4" fillId="3" borderId="0" applyAlignment="1" pivotButton="0" quotePrefix="0" xfId="0">
      <alignment vertical="center" wrapText="1"/>
    </xf>
    <xf numFmtId="0" fontId="0" fillId="6" borderId="0" applyAlignment="1" pivotButton="0" quotePrefix="0" xfId="0">
      <alignment vertical="center" wrapText="1"/>
    </xf>
    <xf numFmtId="0" fontId="17" fillId="0" borderId="0" applyAlignment="1" pivotButton="0" quotePrefix="0" xfId="0">
      <alignment vertical="center" wrapText="1"/>
    </xf>
    <xf numFmtId="0" fontId="18" fillId="0" borderId="0" applyAlignment="1" pivotButton="0" quotePrefix="0" xfId="0">
      <alignment vertical="center" wrapText="1"/>
    </xf>
    <xf numFmtId="0" fontId="11" fillId="0" borderId="5" applyAlignment="1" pivotButton="0" quotePrefix="0" xfId="0">
      <alignment vertical="center" wrapText="1"/>
    </xf>
    <xf numFmtId="0" fontId="18" fillId="0" borderId="0" applyAlignment="1" pivotButton="0" quotePrefix="0" xfId="0">
      <alignment vertical="center"/>
    </xf>
    <xf numFmtId="0" fontId="4" fillId="0" borderId="2" applyAlignment="1" pivotButton="0" quotePrefix="0" xfId="0">
      <alignment vertical="center" wrapText="1"/>
    </xf>
    <xf numFmtId="0" fontId="19" fillId="0" borderId="0" applyAlignment="1" pivotButton="0" quotePrefix="0" xfId="0">
      <alignment wrapText="1"/>
    </xf>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199" headerRowCount="1" totalsRowShown="0" headerRowDxfId="22" dataDxfId="21">
  <autoFilter ref="A1:J199"/>
  <sortState ref="A2:H180">
    <sortCondition ref="B1:B180"/>
  </sortState>
  <tableColumns count="10">
    <tableColumn id="1" name="Start" dataDxfId="20">
      <calculatedColumnFormula>IF(ISNA(VLOOKUP(B2,AssociatedElements!B$2:B659,1,FALSE)),"Not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14" headerRowCount="1" totalsRowShown="0" headerRowDxfId="4">
  <autoFilter ref="A1:D314"/>
  <sortState ref="A2:D294">
    <sortCondition ref="B1:B294"/>
  </sortState>
  <tableColumns count="4">
    <tableColumn id="1" name="Start" dataDxfId="3">
      <calculatedColumnFormula>IF(ISNA(VLOOKUP([1]AssociatedElements!B2,Definitions!B$2:B$1623,1,FALSE)),"Not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2">
      <c r="B3" s="10" t="inlineStr">
        <is>
          <t>propertyClass</t>
        </is>
      </c>
      <c r="C3" s="10" t="inlineStr">
        <is>
          <t>properties</t>
        </is>
      </c>
      <c r="D3" s="10" t="inlineStr">
        <is>
          <t>DIGGS Measurement Properties</t>
        </is>
      </c>
      <c r="E3" s="2"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05"/>
  <sheetViews>
    <sheetView tabSelected="1" topLeftCell="A194" zoomScale="150" zoomScaleNormal="150" workbookViewId="0">
      <selection activeCell="B200" sqref="B200"/>
    </sheetView>
  </sheetViews>
  <sheetFormatPr baseColWidth="10" defaultColWidth="10.83203125" defaultRowHeight="16"/>
  <cols>
    <col width="7" customWidth="1" style="2" min="1" max="1"/>
    <col width="25.83203125" customWidth="1" style="2" min="2" max="2"/>
    <col width="31.6640625" customWidth="1" style="2" min="3" max="3"/>
    <col width="54" customWidth="1" style="10"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2">
        <f>IF(ISNA(VLOOKUP(B2,AssociatedElements!B$2:B659,1,FALSE)),"Not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2">
        <f>IF(ISNA(VLOOKUP(B3,AssociatedElements!B$2:B828,1,FALSE)),"Not used","")</f>
        <v/>
      </c>
      <c r="B3" s="2" t="inlineStr">
        <is>
          <t>aashto_group_index</t>
        </is>
      </c>
      <c r="C3" s="2" t="inlineStr">
        <is>
          <t>AASHTO Group Index</t>
        </is>
      </c>
      <c r="D3" s="2" t="inlineStr">
        <is>
          <t>The value of the AASHTO group index (GI) as defined by: GI= (F–35)[0.2+0.005(LL– 40)}+(F–15)(PI–10) where F is the percentage passing the 75 μm (0.075 mm) sieve, expressed as a whole number, LL is the liquid limit and PI is the plasticity index.</t>
        </is>
      </c>
      <c r="E3" s="2" t="inlineStr">
        <is>
          <t>string</t>
        </is>
      </c>
    </row>
    <row r="4" ht="34" customHeight="1">
      <c r="A4" s="2">
        <f>IF(ISNA(VLOOKUP(B4,AssociatedElements!B$2:B825,1,FALSE)),"Not used","")</f>
        <v/>
      </c>
      <c r="B4" s="2" t="inlineStr">
        <is>
          <t>aashto_symbol</t>
        </is>
      </c>
      <c r="C4" s="2" t="inlineStr">
        <is>
          <t>AASHTO Symbol</t>
        </is>
      </c>
      <c r="D4" s="2" t="inlineStr">
        <is>
          <t>The group or appropriate subgroup classification as defined by AASHTO M145-91</t>
        </is>
      </c>
      <c r="E4" s="2" t="inlineStr">
        <is>
          <t>string</t>
        </is>
      </c>
    </row>
    <row r="5" ht="34" customHeight="1">
      <c r="A5" s="2">
        <f>IF(ISNA(VLOOKUP(B5,AssociatedElements!B$2:B660,1,FALSE)),"Not used","")</f>
        <v/>
      </c>
      <c r="B5" s="2" t="inlineStr">
        <is>
          <t>aggregate_abrasion_value</t>
        </is>
      </c>
      <c r="C5" s="2" t="inlineStr">
        <is>
          <t>Aggregate Abrasion Value</t>
        </is>
      </c>
      <c r="D5" s="2" t="inlineStr">
        <is>
          <t xml:space="preserve"> A measure of the resistance of aggregate to surface wear by abrasion.</t>
        </is>
      </c>
      <c r="E5" s="2" t="inlineStr">
        <is>
          <t>double</t>
        </is>
      </c>
    </row>
    <row r="6" ht="34" customHeight="1">
      <c r="A6" s="2">
        <f>IF(ISNA(VLOOKUP(B6,AssociatedElements!B$2:B661,1,FALSE)),"Not used","")</f>
        <v/>
      </c>
      <c r="B6" s="2" t="inlineStr">
        <is>
          <t>aggregate_crushing_value</t>
        </is>
      </c>
      <c r="C6" s="2" t="inlineStr">
        <is>
          <t>Aggregate Crushing Value</t>
        </is>
      </c>
      <c r="D6" s="2" t="inlineStr">
        <is>
          <t xml:space="preserve"> A relative measure of the resistance of an aggregate to crushing under a gradually applied compressive load.</t>
        </is>
      </c>
      <c r="E6" s="2" t="inlineStr">
        <is>
          <t>double</t>
        </is>
      </c>
    </row>
    <row r="7" ht="51" customHeight="1">
      <c r="A7" s="2">
        <f>IF(ISNA(VLOOKUP(B7,AssociatedElements!B$2:B662,1,FALSE)),"Not used","")</f>
        <v/>
      </c>
      <c r="B7" s="2" t="inlineStr">
        <is>
          <t>aggregate_elongation_index</t>
        </is>
      </c>
      <c r="C7" s="2" t="inlineStr">
        <is>
          <t>Aggregate Elongation Index</t>
        </is>
      </c>
      <c r="D7" s="2" t="inlineStr">
        <is>
          <t xml:space="preserve"> The ratio, (by weight) of particles whose greatest dimension (length) is 1.8 times their mean dimension to the total weight of the sample.</t>
        </is>
      </c>
      <c r="E7" s="2" t="inlineStr">
        <is>
          <t>double</t>
        </is>
      </c>
    </row>
    <row r="8" ht="51" customHeight="1">
      <c r="A8" s="2">
        <f>IF(ISNA(VLOOKUP(B8,AssociatedElements!B$2:B663,1,FALSE)),"Not used","")</f>
        <v/>
      </c>
      <c r="B8" s="2" t="inlineStr">
        <is>
          <t>aggregate_flakiness_index</t>
        </is>
      </c>
      <c r="C8" s="2" t="inlineStr">
        <is>
          <t>Aggregate Flakiness Index</t>
        </is>
      </c>
      <c r="D8" s="2" t="inlineStr">
        <is>
          <t>Percentage (by weight) of aggregate particles whose least dimension is less than 0.6 times their mean size, to the total sample weight.</t>
        </is>
      </c>
      <c r="E8" s="2" t="inlineStr">
        <is>
          <t>double</t>
        </is>
      </c>
      <c r="F8" s="28" t="inlineStr">
        <is>
          <t>force per force</t>
        </is>
      </c>
      <c r="J8" s="2" t="inlineStr">
        <is>
          <t>x</t>
        </is>
      </c>
    </row>
    <row r="9" ht="60.75" customHeight="1">
      <c r="A9" s="2">
        <f>IF(ISNA(VLOOKUP(B9,AssociatedElements!B$2:B664,1,FALSE)),"Not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2" t="inlineStr">
        <is>
          <t>x</t>
        </is>
      </c>
    </row>
    <row r="10" ht="51" customHeight="1">
      <c r="A10" s="2">
        <f>IF(ISNA(VLOOKUP(B10,AssociatedElements!B$2:B665,1,FALSE)),"Not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2" t="inlineStr">
        <is>
          <t>x</t>
        </is>
      </c>
    </row>
    <row r="11" ht="34" customHeight="1">
      <c r="A11" s="2">
        <f>IF(ISNA(VLOOKUP(B11,AssociatedElements!B$2:B666,1,FALSE)),"Not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2">
        <f>IF(ISNA(VLOOKUP(B12,AssociatedElements!B$2:B667,1,FALSE)),"Not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2">
        <f>IF(ISNA(VLOOKUP(B13,AssociatedElements!B$2:B668,1,FALSE)),"Not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2">
        <f>IF(ISNA(VLOOKUP(B14,AssociatedElements!B$2:B817,1,FALSE)),"Not used","")</f>
        <v/>
      </c>
      <c r="B14" s="2" t="inlineStr">
        <is>
          <t>aggregate_soundness_value</t>
        </is>
      </c>
      <c r="C14" s="2" t="inlineStr">
        <is>
          <t>Aggregate Soundness Value</t>
        </is>
      </c>
      <c r="D14" s="2" t="inlineStr">
        <is>
          <t xml:space="preserve">The amount of mass  ost by degradation as determined by sieving and weighing the samples after the test cycles. </t>
        </is>
      </c>
      <c r="E14" s="2" t="inlineStr">
        <is>
          <t>double</t>
        </is>
      </c>
      <c r="F14" s="28" t="inlineStr">
        <is>
          <t>force per force</t>
        </is>
      </c>
      <c r="J14" s="2" t="inlineStr">
        <is>
          <t>x</t>
        </is>
      </c>
    </row>
    <row r="15" ht="85" customHeight="1">
      <c r="A15" s="32">
        <f>IF(ISNA(VLOOKUP(B15,AssociatedElements!B$2:B669,1,FALSE)),"Not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2" t="inlineStr">
        <is>
          <t>x</t>
        </is>
      </c>
    </row>
    <row r="16" ht="68" customHeight="1">
      <c r="A16" s="2">
        <f>IF(ISNA(VLOOKUP(B16,AssociatedElements!B$2:B670,1,FALSE)),"Not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2">
        <f>IF(ISNA(VLOOKUP(B17,AssociatedElements!B$2:B671,1,FALSE)),"Not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2">
        <f>IF(ISNA(VLOOKUP(B18,AssociatedElements!B$2:B674,1,FALSE)),"Not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2">
        <f>IF(ISNA(VLOOKUP(B19,AssociatedElements!B$2:B672,1,FALSE)),"Not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2">
        <f>IF(ISNA(VLOOKUP(B20,AssociatedElements!B$2:B673,1,FALSE)),"Not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2">
        <f>IF(ISNA(VLOOKUP(B21,AssociatedElements!B$2:B674,1,FALSE)),"Not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2">
        <f>IF(ISNA(VLOOKUP(B22,AssociatedElements!B$2:B675,1,FALSE)),"Not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2">
        <f>IF(ISNA(VLOOKUP(B23,AssociatedElements!B$2:B676,1,FALSE)),"Not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2">
        <f>IF(ISNA(VLOOKUP(B24,AssociatedElements!B$2:B677,1,FALSE)),"Not used","")</f>
        <v/>
      </c>
      <c r="B24" s="11" t="inlineStr">
        <is>
          <t>chloride_content</t>
        </is>
      </c>
      <c r="C24" s="11" t="inlineStr">
        <is>
          <t>Chloride Content</t>
        </is>
      </c>
      <c r="D24" s="12" t="inlineStr">
        <is>
          <t xml:space="preserve"> Chloride content by lab testing (corrosivity series)</t>
        </is>
      </c>
      <c r="E24" s="11" t="inlineStr">
        <is>
          <t>double</t>
        </is>
      </c>
      <c r="F24" s="11" t="inlineStr">
        <is>
          <t>amount of substance per amount of substance</t>
        </is>
      </c>
      <c r="G24" s="11" t="n"/>
      <c r="H24" s="11" t="n"/>
    </row>
    <row r="25" ht="51" customHeight="1">
      <c r="A25" s="2">
        <f>IF(ISNA(VLOOKUP(B25,AssociatedElements!B$2:B678,1,FALSE)),"Not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4" t="inlineStr">
        <is>
          <t>double</t>
        </is>
      </c>
      <c r="F25" s="28" t="inlineStr">
        <is>
          <t>force per force</t>
        </is>
      </c>
      <c r="G25" s="11" t="n"/>
      <c r="H25" s="11" t="n"/>
      <c r="J25" s="2" t="inlineStr">
        <is>
          <t>x</t>
        </is>
      </c>
    </row>
    <row r="26" ht="51" customHeight="1">
      <c r="A26" s="2">
        <f>IF(ISNA(VLOOKUP(B26,AssociatedElements!B$2:B679,1,FALSE)),"Not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4" t="inlineStr">
        <is>
          <t>double</t>
        </is>
      </c>
      <c r="F26" s="28" t="inlineStr">
        <is>
          <t>force per force</t>
        </is>
      </c>
      <c r="G26" s="11" t="n"/>
      <c r="H26" s="11" t="n"/>
      <c r="J26" s="2" t="inlineStr">
        <is>
          <t>x</t>
        </is>
      </c>
    </row>
    <row r="27" ht="51" customHeight="1">
      <c r="A27" s="2">
        <f>IF(ISNA(VLOOKUP(B27,AssociatedElements!B$2:B680,1,FALSE)),"Not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2">
        <f>IF(ISNA(VLOOKUP(B28,AssociatedElements!B$2:B681,1,FALSE)),"Not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2">
        <f>IF(ISNA(VLOOKUP(B29,AssociatedElements!B$2:B682,1,FALSE)),"Not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2">
        <f>IF(ISNA(VLOOKUP(B30,AssociatedElements!B$2:B683,1,FALSE)),"Not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2">
        <f>IF(ISNA(VLOOKUP(B31,AssociatedElements!B$2:B684,1,FALSE)),"Not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2">
        <f>IF(ISNA(VLOOKUP(B32,AssociatedElements!B$2:B685,1,FALSE)),"Not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2">
        <f>IF(ISNA(VLOOKUP(B33,AssociatedElements!B$2:B686,1,FALSE)),"Not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2">
        <f>IF(ISNA(VLOOKUP(B34,AssociatedElements!B$2:B687,1,FALSE)),"Not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2">
        <f>IF(ISNA(VLOOKUP(B35,AssociatedElements!B$2:B688,1,FALSE)),"Not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2">
        <f>IF(ISNA(VLOOKUP(B36,AssociatedElements!B$2:B689,1,FALSE)),"Not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2">
        <f>IF(ISNA(VLOOKUP(B37,AssociatedElements!B$2:B690,1,FALSE)),"Not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2">
        <f>IF(ISNA(VLOOKUP(B38,AssociatedElements!B$2:B691,1,FALSE)),"Not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2" t="inlineStr">
        <is>
          <t>x</t>
        </is>
      </c>
    </row>
    <row r="39" ht="187" customHeight="1">
      <c r="A39" s="2">
        <f>IF(ISNA(VLOOKUP(B39,AssociatedElements!B$2:B692,1,FALSE)),"Not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3" t="n"/>
    </row>
    <row r="40" ht="34" customHeight="1">
      <c r="A40" s="2">
        <f>IF(ISNA(VLOOKUP(B40,AssociatedElements!B$2:B693,1,FALSE)),"Not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2">
        <f>IF(ISNA(VLOOKUP(B41,AssociatedElements!B$2:B694,1,FALSE)),"Not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2">
        <f>IF(ISNA(VLOOKUP(B42,AssociatedElements!B$2:B695,1,FALSE)),"Not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2">
        <f>IF(ISNA(VLOOKUP(B43,AssociatedElements!B$2:B696,1,FALSE)),"Not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2">
        <f>IF(ISNA(VLOOKUP(B44,AssociatedElements!B$2:B697,1,FALSE)),"Not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2">
        <f>IF(ISNA(VLOOKUP(B45,AssociatedElements!B$2:B822,1,FALSE)),"Not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2">
        <f>IF(ISNA(VLOOKUP(B46,AssociatedElements!B$2:B698,1,FALSE)),"Not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2">
        <f>IF(ISNA(VLOOKUP(B47,AssociatedElements!B$2:B699,1,FALSE)),"Not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2">
        <f>IF(ISNA(VLOOKUP(B48,AssociatedElements!B$2:B700,1,FALSE)),"Not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2">
        <f>IF(ISNA(VLOOKUP(B49,AssociatedElements!B$2:B823,1,FALSE)),"Not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2">
        <f>IF(ISNA(VLOOKUP(B50,AssociatedElements!B$2:B701,1,FALSE)),"Not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2" t="inlineStr">
        <is>
          <t>x</t>
        </is>
      </c>
    </row>
    <row r="51" ht="17" customHeight="1">
      <c r="A51" s="2">
        <f>IF(ISNA(VLOOKUP(B51,AssociatedElements!B$2:B704,1,FALSE)),"Not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2">
        <f>IF(ISNA(VLOOKUP(B52,AssociatedElements!B$2:B829,1,FALSE)),"Not used","")</f>
        <v/>
      </c>
      <c r="B52" s="2" t="inlineStr">
        <is>
          <t>depth</t>
        </is>
      </c>
      <c r="C52" s="2" t="inlineStr">
        <is>
          <t>Depth</t>
        </is>
      </c>
      <c r="D52" s="2" t="inlineStr">
        <is>
          <t>Measured depth of the drill bit from the borehole centerline origin at time of measurement</t>
        </is>
      </c>
      <c r="E52" s="2" t="inlineStr">
        <is>
          <t>double</t>
        </is>
      </c>
      <c r="F52" s="2" t="inlineStr">
        <is>
          <t>length</t>
        </is>
      </c>
    </row>
    <row r="53" ht="34" customHeight="1">
      <c r="A53" s="2">
        <f>IF(ISNA(VLOOKUP(B53,AssociatedElements!B$2:B702,1,FALSE)),"Not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2">
        <f>IF(ISNA(VLOOKUP(B54,AssociatedElements!B$2:B703,1,FALSE)),"Not used","")</f>
        <v/>
      </c>
      <c r="B54" s="11" t="inlineStr">
        <is>
          <t>dilatometer_modulus</t>
        </is>
      </c>
      <c r="C54" s="11" t="inlineStr">
        <is>
          <t>Dilatometer Modulus (Ed)</t>
        </is>
      </c>
      <c r="D54" s="35" t="inlineStr">
        <is>
          <t xml:space="preserve"> Dilatometer modulus (Ed), based on linear elastic theory, and the primary index used in the correlation for the constrained and Young's moduli.</t>
        </is>
      </c>
      <c r="E54" s="11" t="inlineStr">
        <is>
          <t>double</t>
        </is>
      </c>
      <c r="F54" s="11" t="n"/>
      <c r="J54" s="2" t="inlineStr">
        <is>
          <t>x</t>
        </is>
      </c>
    </row>
    <row r="55" ht="119" customHeight="1">
      <c r="A55" s="2">
        <f>IF(ISNA(VLOOKUP(B55,AssociatedElements!B$2:B704,1,FALSE)),"Not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2">
        <f>IF(ISNA(VLOOKUP(B56,AssociatedElements!B$2:B705,1,FALSE)),"Not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2">
        <f>IF(ISNA(VLOOKUP(B57,AssociatedElements!B$2:B706,1,FALSE)),"Not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2">
        <f>IF(ISNA(VLOOKUP(B58,AssociatedElements!B$2:B707,1,FALSE)),"Not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2">
        <f>IF(ISNA(VLOOKUP(B59,AssociatedElements!B$2:B830,1,FALSE)),"Not used","")</f>
        <v/>
      </c>
      <c r="B59" s="2" t="inlineStr">
        <is>
          <t>elapsed_time</t>
        </is>
      </c>
      <c r="C59" s="31" t="inlineStr">
        <is>
          <t>Elapsed Time</t>
        </is>
      </c>
      <c r="D59" s="31" t="inlineStr">
        <is>
          <t>Amount of time since start of a measurement</t>
        </is>
      </c>
      <c r="E59" s="28" t="inlineStr">
        <is>
          <t>double</t>
        </is>
      </c>
      <c r="F59" s="2" t="inlineStr">
        <is>
          <t>time</t>
        </is>
      </c>
    </row>
    <row r="60" ht="17" customHeight="1">
      <c r="A60" s="2">
        <f>IF(ISNA(VLOOKUP(B60,AssociatedElements!B$2:B708,1,FALSE)),"Not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2">
        <f>IF(ISNA(VLOOKUP(B61,AssociatedElements!B$2:B709,1,FALSE)),"Not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2">
        <f>IF(ISNA(VLOOKUP(B62,AssociatedElements!B$2:B710,1,FALSE)),"Not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2">
        <f>IF(ISNA(VLOOKUP(B63,AssociatedElements!B$2:B831,1,FALSE)),"Not used","")</f>
        <v/>
      </c>
      <c r="B63" s="2" t="inlineStr">
        <is>
          <t>flow_mass_rate</t>
        </is>
      </c>
      <c r="C63" s="2" t="inlineStr">
        <is>
          <t>Mass Flow Rate</t>
        </is>
      </c>
      <c r="D63" s="2" t="inlineStr">
        <is>
          <t>The rate of fluid flow, measuredd as mass/time</t>
        </is>
      </c>
      <c r="E63" s="2" t="inlineStr">
        <is>
          <t>double</t>
        </is>
      </c>
      <c r="F63" s="2" t="inlineStr">
        <is>
          <t>mass per time</t>
        </is>
      </c>
    </row>
    <row r="64" ht="17" customHeight="1">
      <c r="A64" s="2">
        <f>IF(ISNA(VLOOKUP(B64,AssociatedElements!B$2:B832,1,FALSE)),"Not used","")</f>
        <v/>
      </c>
      <c r="B64" s="2" t="inlineStr">
        <is>
          <t>flow_volume_rate</t>
        </is>
      </c>
      <c r="C64" s="2" t="inlineStr">
        <is>
          <t>Volume Flow Rate</t>
        </is>
      </c>
      <c r="D64" s="2" t="inlineStr">
        <is>
          <t>The rate of fluid flow, measuredd as volume/time</t>
        </is>
      </c>
      <c r="E64" s="2" t="inlineStr">
        <is>
          <t>double</t>
        </is>
      </c>
      <c r="F64" s="2" t="inlineStr">
        <is>
          <t>volume per time</t>
        </is>
      </c>
    </row>
    <row r="65" ht="17" customHeight="1">
      <c r="A65" s="2">
        <f>IF(ISNA(VLOOKUP(B65,AssociatedElements!B$2:B711,1,FALSE)),"Not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2">
        <f>IF(ISNA(VLOOKUP(B66,AssociatedElements!B$2:B712,1,FALSE)),"Not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2">
        <f>IF(ISNA(VLOOKUP(B67,AssociatedElements!B$2:B713,1,FALSE)),"Not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2">
        <f>IF(ISNA(VLOOKUP(B68,AssociatedElements!B$2:B714,1,FALSE)),"Not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2">
        <f>IF(ISNA(VLOOKUP(B69,AssociatedElements!B$2:B715,1,FALSE)),"Not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2">
        <f>IF(ISNA(VLOOKUP(B70,AssociatedElements!B$2:B833,1,FALSE)),"Not used","")</f>
        <v/>
      </c>
      <c r="B70" s="2" t="inlineStr">
        <is>
          <t>gauge_pressure</t>
        </is>
      </c>
      <c r="C70" s="31" t="inlineStr">
        <is>
          <t>Gauge Pressure</t>
        </is>
      </c>
      <c r="D70" s="31" t="inlineStr">
        <is>
          <t>Pressure measured with a gauge</t>
        </is>
      </c>
      <c r="E70" s="28" t="inlineStr">
        <is>
          <t>double</t>
        </is>
      </c>
      <c r="F70" s="2" t="inlineStr">
        <is>
          <t>pressure</t>
        </is>
      </c>
    </row>
    <row r="71" ht="51" customHeight="1">
      <c r="A71" s="2">
        <f>IF(ISNA(VLOOKUP(B71,AssociatedElements!B$2:B716,1,FALSE)),"Not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2">
        <f>IF(ISNA(VLOOKUP(B72,AssociatedElements!B$2:B717,1,FALSE)),"Not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2">
        <f>IF(ISNA(VLOOKUP(B73,AssociatedElements!B$2:B718,1,FALSE)),"Not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2">
        <f>IF(ISNA(VLOOKUP(B74,AssociatedElements!B$2:B719,1,FALSE)),"Not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2">
        <f>IF(ISNA(VLOOKUP(B75,AssociatedElements!B$2:B720,1,FALSE)),"Not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2">
        <f>IF(ISNA(VLOOKUP(B76,AssociatedElements!B$2:B721,1,FALSE)),"Not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2">
        <f>IF(ISNA(VLOOKUP(B77,AssociatedElements!B$2:B722,1,FALSE)),"Not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2">
        <f>IF(ISNA(VLOOKUP(B78,AssociatedElements!B$2:B723,1,FALSE)),"Not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2">
        <f>IF(ISNA(VLOOKUP(B79,AssociatedElements!B$2:B724,1,FALSE)),"Not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2">
        <f>IF(ISNA(VLOOKUP(B80,AssociatedElements!B$2:B725,1,FALSE)),"Not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2">
        <f>IF(ISNA(VLOOKUP(B81,AssociatedElements!B$2:B726,1,FALSE)),"Not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2">
        <f>IF(ISNA(VLOOKUP(B82,AssociatedElements!B$2:B727,1,FALSE)),"Not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2">
        <f>IF(ISNA(VLOOKUP(B83,AssociatedElements!B$2:B728,1,FALSE)),"Not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2">
        <f>IF(ISNA(VLOOKUP(B84,AssociatedElements!B$2:B729,1,FALSE)),"Not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2">
        <f>IF(ISNA(VLOOKUP(B85,AssociatedElements!B$2:B730,1,FALSE)),"Not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2">
        <f>IF(ISNA(VLOOKUP(B86,AssociatedElements!B$2:B731,1,FALSE)),"Not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2">
        <f>IF(ISNA(VLOOKUP(B87,AssociatedElements!B$2:B732,1,FALSE)),"Not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2">
        <f>IF(ISNA(VLOOKUP(B88,AssociatedElements!B$2:B733,1,FALSE)),"Not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2">
        <f>IF(ISNA(VLOOKUP(B89,AssociatedElements!B$2:B734,1,FALSE)),"Not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2" t="inlineStr">
        <is>
          <t>x</t>
        </is>
      </c>
    </row>
    <row r="90" ht="85" customHeight="1">
      <c r="A90" s="2">
        <f>IF(ISNA(VLOOKUP(B90,AssociatedElements!B$2:B735,1,FALSE)),"Not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2">
        <f>IF(ISNA(VLOOKUP(B91,AssociatedElements!B$2:B736,1,FALSE)),"Not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2">
        <f>IF(ISNA(VLOOKUP(B92,AssociatedElements!B$2:B835,1,FALSE)),"Not used","")</f>
        <v/>
      </c>
      <c r="B92" s="2" t="inlineStr">
        <is>
          <t>mass</t>
        </is>
      </c>
      <c r="C92" s="2" t="inlineStr">
        <is>
          <t>Mass</t>
        </is>
      </c>
      <c r="D92" s="2" t="inlineStr">
        <is>
          <t>The mass of material observed</t>
        </is>
      </c>
      <c r="E92" s="2" t="inlineStr">
        <is>
          <t>double</t>
        </is>
      </c>
      <c r="F92" s="2" t="inlineStr">
        <is>
          <t>mass</t>
        </is>
      </c>
    </row>
    <row r="93" ht="17" customHeight="1">
      <c r="A93" s="2">
        <f>IF(ISNA(VLOOKUP(B93,AssociatedElements!B$2:B837,1,FALSE)),"Not used","")</f>
        <v/>
      </c>
      <c r="B93" s="2" t="inlineStr">
        <is>
          <t>mass_loss</t>
        </is>
      </c>
      <c r="C93" s="2" t="inlineStr">
        <is>
          <t>Mass Loss</t>
        </is>
      </c>
      <c r="D93" s="2" t="inlineStr">
        <is>
          <t>The amount of mass reduced between observation steps</t>
        </is>
      </c>
      <c r="E93" s="2" t="inlineStr">
        <is>
          <t>double</t>
        </is>
      </c>
      <c r="F93" s="2" t="inlineStr">
        <is>
          <t>mass</t>
        </is>
      </c>
    </row>
    <row r="94" ht="34" customHeight="1">
      <c r="A94" s="2">
        <f>IF(ISNA(VLOOKUP(B94,AssociatedElements!B$2:B737,1,FALSE)),"Not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2">
        <f>IF(ISNA(VLOOKUP(B95,AssociatedElements!B$2:B738,1,FALSE)),"Not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2">
        <f>IF(ISNA(VLOOKUP(B96,AssociatedElements!B$2:B836,1,FALSE)),"Not used","")</f>
        <v/>
      </c>
      <c r="B96" s="2" t="inlineStr">
        <is>
          <t>mean_micro_deval_dry</t>
        </is>
      </c>
      <c r="C96" s="2" t="inlineStr">
        <is>
          <t>Mean Micro Deval Value, dry</t>
        </is>
      </c>
      <c r="D96" s="2" t="inlineStr">
        <is>
          <t>A measure of mass loss in dry aggregate</t>
        </is>
      </c>
      <c r="E96" s="2" t="inlineStr">
        <is>
          <t>double</t>
        </is>
      </c>
    </row>
    <row r="97" ht="17" customHeight="1">
      <c r="A97" s="2">
        <f>IF(ISNA(VLOOKUP(B97,AssociatedElements!B$2:B835,1,FALSE)),"Not used","")</f>
        <v/>
      </c>
      <c r="B97" s="2" t="inlineStr">
        <is>
          <t>mean_micro_deval_wet</t>
        </is>
      </c>
      <c r="C97" s="24" t="inlineStr">
        <is>
          <t>Mean Micro Deval Value, wet</t>
        </is>
      </c>
      <c r="D97" s="24" t="inlineStr">
        <is>
          <t>A measure of mass loss in wet aggregate</t>
        </is>
      </c>
      <c r="E97" s="2" t="inlineStr">
        <is>
          <t>double</t>
        </is>
      </c>
    </row>
    <row r="98" ht="34" customHeight="1">
      <c r="A98">
        <f>IF(ISNA(VLOOKUP(B98,AssociatedElements!B$2:B659,1,FALSE)),"Not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2">
        <f>IF(ISNA(VLOOKUP(B98,AssociatedElements!B$2:B739,1,FALSE)),"Not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2">
        <f>IF(ISNA(VLOOKUP(B99,AssociatedElements!B$2:B740,1,FALSE)),"Not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2">
        <f>IF(ISNA(VLOOKUP(B100,AssociatedElements!B$2:B741,1,FALSE)),"Not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2">
        <f>IF(ISNA(VLOOKUP(B101,AssociatedElements!B$2:B742,1,FALSE)),"Not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2">
        <f>IF(ISNA(VLOOKUP(B102,AssociatedElements!B$2:B743,1,FALSE)),"Not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2">
        <f>IF(ISNA(VLOOKUP(B103,AssociatedElements!B$2:B744,1,FALSE)),"Not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2">
        <f>IF(ISNA(VLOOKUP(B104,AssociatedElements!B$2:B745,1,FALSE)),"Not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2">
        <f>IF(ISNA(VLOOKUP(B105,AssociatedElements!B$2:B746,1,FALSE)),"Not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2">
        <f>IF(ISNA(VLOOKUP(B106,AssociatedElements!B$2:B816,1,FALSE)),"Not used","")</f>
        <v/>
      </c>
      <c r="B107" s="2" t="inlineStr">
        <is>
          <t>p_wave_velocity</t>
        </is>
      </c>
      <c r="C107" s="2" t="inlineStr">
        <is>
          <t>Primary Compression Wave Velocity</t>
        </is>
      </c>
      <c r="D107" s="16" t="inlineStr">
        <is>
          <t>The velocity of a p-wave (Vp). P-waves (primary waves) are compressional waves that are longitudinal in nature.</t>
        </is>
      </c>
      <c r="E107" s="2" t="inlineStr">
        <is>
          <t>double</t>
        </is>
      </c>
      <c r="F107" s="2" t="inlineStr">
        <is>
          <t>length per time</t>
        </is>
      </c>
    </row>
    <row r="108" ht="68" customHeight="1">
      <c r="A108" s="2">
        <f>IF(ISNA(VLOOKUP(B107,AssociatedElements!B$2:B747,1,FALSE)),"Not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2">
        <f>IF(ISNA(VLOOKUP(B108,AssociatedElements!B$2:B748,1,FALSE)),"Not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2">
        <f>IF(ISNA(VLOOKUP(B109,AssociatedElements!B$2:B749,1,FALSE)),"Not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2">
        <f>IF(ISNA(VLOOKUP(B110,AssociatedElements!B$2:B753,1,FALSE)),"Not used","")</f>
        <v/>
      </c>
      <c r="B111" s="17" t="inlineStr">
        <is>
          <t>pen_increment</t>
        </is>
      </c>
      <c r="C111" s="22" t="inlineStr">
        <is>
          <t>Penetration Increment</t>
        </is>
      </c>
      <c r="D111" s="22" t="inlineStr">
        <is>
          <t>The distance that a tool travels for a given number of hammer blows.</t>
        </is>
      </c>
      <c r="E111" s="18" t="inlineStr">
        <is>
          <t>double</t>
        </is>
      </c>
      <c r="F111" s="2" t="inlineStr">
        <is>
          <t>length</t>
        </is>
      </c>
      <c r="G111" s="19" t="n"/>
    </row>
    <row r="112" ht="34" customHeight="1">
      <c r="A112" s="2">
        <f>IF(ISNA(VLOOKUP(B111,AssociatedElements!B$2:B833,1,FALSE)),"Not used","")</f>
        <v/>
      </c>
      <c r="B112" s="2" t="inlineStr">
        <is>
          <t>percent_cobbles</t>
        </is>
      </c>
      <c r="C112" s="2" t="inlineStr">
        <is>
          <t>Percent Cobbles</t>
        </is>
      </c>
      <c r="D112" s="28" t="inlineStr">
        <is>
          <t>The percentage by weight of particles larger  than 3 inches (75 mm) and smaller than 12 inches (300 mm)</t>
        </is>
      </c>
      <c r="E112" s="36" t="inlineStr">
        <is>
          <t>double</t>
        </is>
      </c>
      <c r="F112" s="28" t="inlineStr">
        <is>
          <t>force per force</t>
        </is>
      </c>
      <c r="J112" s="2" t="inlineStr">
        <is>
          <t>x</t>
        </is>
      </c>
    </row>
    <row r="113" ht="34" customHeight="1">
      <c r="A113" s="2">
        <f>IF(ISNA(VLOOKUP(B112,AssociatedElements!B$2:B750,1,FALSE)),"Not used","")</f>
        <v/>
      </c>
      <c r="B113" s="11" t="inlineStr">
        <is>
          <t>percent_fines</t>
        </is>
      </c>
      <c r="C113" s="15" t="inlineStr">
        <is>
          <t>Percent Fines</t>
        </is>
      </c>
      <c r="D113" s="28" t="inlineStr">
        <is>
          <t>The percentage of particles that pass through the #200 sieve (&lt;0.075-mm).</t>
        </is>
      </c>
      <c r="E113" s="36" t="inlineStr">
        <is>
          <t>double</t>
        </is>
      </c>
      <c r="F113" s="28" t="inlineStr">
        <is>
          <t>force per force</t>
        </is>
      </c>
      <c r="J113" s="2" t="inlineStr">
        <is>
          <t>x</t>
        </is>
      </c>
    </row>
    <row r="114" ht="34" customHeight="1">
      <c r="A114" s="2">
        <f>IF(ISNA(VLOOKUP(B113,AssociatedElements!B$2:B751,1,FALSE)),"Not used","")</f>
        <v/>
      </c>
      <c r="B114" s="11" t="inlineStr">
        <is>
          <t>percent_gravel</t>
        </is>
      </c>
      <c r="C114" s="15" t="inlineStr">
        <is>
          <t>Percent Gravel</t>
        </is>
      </c>
      <c r="D114" s="28" t="inlineStr">
        <is>
          <t xml:space="preserve">The percentage of particles that are retained on the #4 and larger sizes (&gt;4.75 mm). </t>
        </is>
      </c>
      <c r="E114" s="36" t="inlineStr">
        <is>
          <t>double</t>
        </is>
      </c>
      <c r="F114" s="28" t="inlineStr">
        <is>
          <t>force per force</t>
        </is>
      </c>
      <c r="J114" s="2" t="inlineStr">
        <is>
          <t>x</t>
        </is>
      </c>
    </row>
    <row r="115" ht="119" customHeight="1">
      <c r="A115" s="2">
        <f>IF(ISNA(VLOOKUP(B114,AssociatedElements!B$2:B752,1,FALSE)),"Not used","")</f>
        <v/>
      </c>
      <c r="B115" s="11" t="inlineStr">
        <is>
          <t>percent_sand</t>
        </is>
      </c>
      <c r="C115" s="15" t="inlineStr">
        <is>
          <t>Percent Sand</t>
        </is>
      </c>
      <c r="D115" s="28" t="inlineStr">
        <is>
          <t>The percentage of particles thatpass the #4 sieve and are retained on the #200 sieve (&lt;4.75 mm and &gt;0.075-mm).</t>
        </is>
      </c>
      <c r="E115" s="36" t="inlineStr">
        <is>
          <t>double</t>
        </is>
      </c>
      <c r="F115" s="28" t="inlineStr">
        <is>
          <t>force per force</t>
        </is>
      </c>
      <c r="J115" s="2" t="inlineStr">
        <is>
          <t>x</t>
        </is>
      </c>
    </row>
    <row r="116" ht="17" customHeight="1">
      <c r="A116" s="2">
        <f>IF(ISNA(VLOOKUP(B115,AssociatedElements!B$2:B829,1,FALSE)),"Not used","")</f>
        <v/>
      </c>
      <c r="B116" s="2"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6" t="inlineStr">
        <is>
          <t>double</t>
        </is>
      </c>
      <c r="F116" s="28" t="inlineStr">
        <is>
          <t>force per force</t>
        </is>
      </c>
      <c r="J116" s="2" t="inlineStr">
        <is>
          <t>x</t>
        </is>
      </c>
    </row>
    <row r="117" ht="34" customHeight="1">
      <c r="A117" s="2">
        <f>IF(ISNA(VLOOKUP(B116,AssociatedElements!B$2:B753,1,FALSE)),"Not used","")</f>
        <v/>
      </c>
      <c r="B117" s="11" t="inlineStr">
        <is>
          <t>pH</t>
        </is>
      </c>
      <c r="C117" s="15" t="inlineStr">
        <is>
          <t>pH</t>
        </is>
      </c>
      <c r="D117" s="28" t="inlineStr">
        <is>
          <t>A meassure of how acidic or basic a soil or water is.</t>
        </is>
      </c>
      <c r="E117" s="36" t="inlineStr">
        <is>
          <t>double</t>
        </is>
      </c>
      <c r="F117" s="36" t="n"/>
    </row>
    <row r="118" ht="51" customHeight="1">
      <c r="A118" s="2">
        <f>IF(ISNA(VLOOKUP(B117,AssociatedElements!B$2:B754,1,FALSE)),"Not used","")</f>
        <v/>
      </c>
      <c r="B118" s="11" t="inlineStr">
        <is>
          <t>pid_result</t>
        </is>
      </c>
      <c r="C118" s="15" t="inlineStr">
        <is>
          <t>Photoionization Detector Result</t>
        </is>
      </c>
      <c r="D118" s="28" t="inlineStr">
        <is>
          <t>Measures volatile organic compounds and other gases, expressed in parts per million or percent LEL</t>
        </is>
      </c>
      <c r="E118" s="36" t="inlineStr">
        <is>
          <t>double</t>
        </is>
      </c>
      <c r="F118" s="28" t="inlineStr">
        <is>
          <t>amount of substance per amount of substance</t>
        </is>
      </c>
      <c r="I118" s="33" t="n"/>
      <c r="J118" s="2" t="inlineStr">
        <is>
          <t>x</t>
        </is>
      </c>
    </row>
    <row r="119" ht="119" customHeight="1">
      <c r="A119" s="2">
        <f>IF(ISNA(VLOOKUP(B118,AssociatedElements!B$2:B755,1,FALSE)),"Not used","")</f>
        <v/>
      </c>
      <c r="B119" s="11" t="inlineStr">
        <is>
          <t>plastic_limit</t>
        </is>
      </c>
      <c r="C119" s="15" t="inlineStr">
        <is>
          <t>Plastic Limit</t>
        </is>
      </c>
      <c r="D119" s="28" t="inlineStr">
        <is>
          <t>The plastic limit (PL) is the water content where soil transitions between brittle and plastic behavior. A unitless value.</t>
        </is>
      </c>
      <c r="E119" s="36" t="inlineStr">
        <is>
          <t>integer</t>
        </is>
      </c>
      <c r="F119" s="36" t="n"/>
      <c r="J119" s="2" t="inlineStr">
        <is>
          <t>x</t>
        </is>
      </c>
    </row>
    <row r="120" ht="51" customHeight="1">
      <c r="A120" s="2">
        <f>IF(ISNA(VLOOKUP(B119,AssociatedElements!B$2:B756,1,FALSE)),"Not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6" t="inlineStr">
        <is>
          <t>integer</t>
        </is>
      </c>
      <c r="F120" s="36" t="n"/>
    </row>
    <row r="121" ht="51" customHeight="1">
      <c r="A121" s="2">
        <f>IF(ISNA(VLOOKUP(B120,AssociatedElements!B$2:B757,1,FALSE)),"Not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6" t="inlineStr">
        <is>
          <t>double</t>
        </is>
      </c>
      <c r="F121" s="36" t="n"/>
    </row>
    <row r="122" ht="51" customHeight="1">
      <c r="A122" s="2">
        <f>IF(ISNA(VLOOKUP(B121,AssociatedElements!B$2:B758,1,FALSE)),"Not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6" t="inlineStr">
        <is>
          <t>double</t>
        </is>
      </c>
      <c r="F122" s="36" t="n"/>
      <c r="J122" s="2" t="inlineStr">
        <is>
          <t>x</t>
        </is>
      </c>
    </row>
    <row r="123" ht="51" customHeight="1">
      <c r="A123" s="2">
        <f>IF(ISNA(VLOOKUP(B122,AssociatedElements!B$2:B759,1,FALSE)),"Not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2">
        <f>IF(ISNA(VLOOKUP(B123,AssociatedElements!B$2:B760,1,FALSE)),"Not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2">
        <f>IF(ISNA(VLOOKUP(B124,AssociatedElements!B$2:B761,1,FALSE)),"Not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2">
        <f>IF(ISNA(VLOOKUP(B125,AssociatedElements!B$2:B762,1,FALSE)),"Not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2">
        <f>IF(ISNA(VLOOKUP(B126,AssociatedElements!B$2:B763,1,FALSE)),"Not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2">
        <f>IF(ISNA(VLOOKUP(B127,AssociatedElements!B$2:B764,1,FALSE)),"Not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2">
        <f>IF(ISNA(VLOOKUP(B128,AssociatedElements!B$2:B765,1,FALSE)),"Not used","")</f>
        <v/>
      </c>
      <c r="B129" s="11" t="inlineStr">
        <is>
          <t>pressure_filtration_coeff</t>
        </is>
      </c>
      <c r="C129" s="15" t="inlineStr">
        <is>
          <t>Pressure Filtration Coefficient</t>
        </is>
      </c>
      <c r="D129" s="14" t="inlineStr">
        <is>
          <t>Value derived from a pressure filtration test</t>
        </is>
      </c>
      <c r="E129" s="15" t="inlineStr">
        <is>
          <t>double</t>
        </is>
      </c>
      <c r="F129" s="15" t="inlineStr">
        <is>
          <t>reciprocal time squared</t>
        </is>
      </c>
    </row>
    <row r="130" ht="136" customHeight="1">
      <c r="A130" s="2">
        <f>IF(ISNA(VLOOKUP(B129,AssociatedElements!B$2:B786,1,FALSE)),"Not used","")</f>
        <v/>
      </c>
      <c r="B130" s="11" t="inlineStr">
        <is>
          <t>pumping_rate</t>
        </is>
      </c>
      <c r="C130" s="11" t="inlineStr">
        <is>
          <t>Pumping rate</t>
        </is>
      </c>
      <c r="D130" s="2" t="inlineStr">
        <is>
          <t>Flow of water produced by pumping; recorded in pump tests</t>
        </is>
      </c>
      <c r="E130" s="11" t="inlineStr">
        <is>
          <t>double</t>
        </is>
      </c>
      <c r="F130" s="11" t="inlineStr">
        <is>
          <t>volume per time</t>
        </is>
      </c>
    </row>
    <row r="131" ht="34" customHeight="1">
      <c r="A131" s="2">
        <f>IF(ISNA(VLOOKUP(B130,AssociatedElements!B$2:B766,1,FALSE)),"Not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2">
        <f>IF(ISNA(VLOOKUP(B131,AssociatedElements!B$2:B767,1,FALSE)),"Not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2">
        <f>IF(ISNA(VLOOKUP(B132,AssociatedElements!B$2:B768,1,FALSE)),"Not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2">
        <f>IF(ISNA(VLOOKUP(B133,AssociatedElements!B$2:B769,1,FALSE)),"Not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2">
        <f>IF(ISNA(VLOOKUP(B134,AssociatedElements!B$2:B770,1,FALSE)),"Not used","")</f>
        <v/>
      </c>
      <c r="B135" s="11" t="inlineStr">
        <is>
          <t>rock_porosity</t>
        </is>
      </c>
      <c r="C135" s="15" t="inlineStr">
        <is>
          <t>Rock Porosity</t>
        </is>
      </c>
      <c r="D135" s="14" t="inlineStr">
        <is>
          <t>The open space in a rock divided by the total rock volume.</t>
        </is>
      </c>
      <c r="E135" s="15" t="inlineStr">
        <is>
          <t>double</t>
        </is>
      </c>
      <c r="J135" s="2" t="inlineStr">
        <is>
          <t>x</t>
        </is>
      </c>
    </row>
    <row r="136" ht="34" customHeight="1">
      <c r="A136" s="2">
        <f>IF(ISNA(VLOOKUP(B135,AssociatedElements!B$2:B771,1,FALSE)),"Not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2">
        <f>IF(ISNA(VLOOKUP(B136,AssociatedElements!B$2:B772,1,FALSE)),"Not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2">
        <f>IF(ISNA(VLOOKUP(B137,AssociatedElements!B$2:B773,1,FALSE)),"Not used","")</f>
        <v/>
      </c>
      <c r="B138" s="11" t="inlineStr">
        <is>
          <t>set_time</t>
        </is>
      </c>
      <c r="C138" s="15" t="inlineStr">
        <is>
          <t>Set Time</t>
        </is>
      </c>
      <c r="D138" s="14" t="inlineStr">
        <is>
          <t>Setting time for grout</t>
        </is>
      </c>
      <c r="E138" s="15" t="inlineStr">
        <is>
          <t>double</t>
        </is>
      </c>
      <c r="F138" s="15" t="inlineStr">
        <is>
          <t>time</t>
        </is>
      </c>
    </row>
    <row r="139" ht="68" customHeight="1">
      <c r="A139" s="2">
        <f>IF(ISNA(VLOOKUP(B138,AssociatedElements!B$2:B774,1,FALSE)),"Not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2">
        <f>IF(ISNA(VLOOKUP(B139,AssociatedElements!B$2:B775,1,FALSE)),"Not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2">
        <f>IF(ISNA(VLOOKUP(B140,AssociatedElements!B$2:B776,1,FALSE)),"Not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2">
        <f>IF(ISNA(VLOOKUP(B141,AssociatedElements!B$2:B815,1,FALSE)),"Not used","")</f>
        <v/>
      </c>
      <c r="B142" s="2" t="inlineStr">
        <is>
          <t>shear_velocity</t>
        </is>
      </c>
      <c r="C142" s="2"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2" t="inlineStr">
        <is>
          <t>double</t>
        </is>
      </c>
      <c r="F142" s="2" t="inlineStr">
        <is>
          <t>length per time</t>
        </is>
      </c>
    </row>
    <row r="143" ht="34" customHeight="1">
      <c r="A143" s="2">
        <f>IF(ISNA(VLOOKUP(B142,AssociatedElements!B$2:B777,1,FALSE)),"Not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2">
        <f>IF(ISNA(VLOOKUP(B143,AssociatedElements!B$2:B778,1,FALSE)),"Not used","")</f>
        <v/>
      </c>
      <c r="B144" s="11" t="inlineStr">
        <is>
          <t>shrinkage</t>
        </is>
      </c>
      <c r="C144" s="15" t="inlineStr">
        <is>
          <t>Shrinkage</t>
        </is>
      </c>
      <c r="D144" s="14" t="inlineStr">
        <is>
          <t>The amount specimen shrinkage, reported as a percentage of total volume</t>
        </is>
      </c>
      <c r="E144" s="15" t="inlineStr">
        <is>
          <t>double</t>
        </is>
      </c>
      <c r="F144" s="2" t="inlineStr">
        <is>
          <t>volume per volume</t>
        </is>
      </c>
      <c r="J144" s="2" t="inlineStr">
        <is>
          <t>x</t>
        </is>
      </c>
    </row>
    <row r="145" ht="51" customHeight="1">
      <c r="A145" s="2">
        <f>IF(ISNA(VLOOKUP(B144,AssociatedElements!B$2:B779,1,FALSE)),"Not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2" t="inlineStr">
        <is>
          <t>dimensionless</t>
        </is>
      </c>
      <c r="J145" s="2" t="inlineStr">
        <is>
          <t>x</t>
        </is>
      </c>
    </row>
    <row r="146" ht="68" customHeight="1">
      <c r="A146" s="2">
        <f>IF(ISNA(VLOOKUP(B145,AssociatedElements!B$2:B780,1,FALSE)),"Not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2">
        <f>IF(ISNA(VLOOKUP(B146,AssociatedElements!B$2:B781,1,FALSE)),"Not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2">
        <f>IF(ISNA(VLOOKUP(B147,AssociatedElements!B$2:B782,1,FALSE)),"Not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2">
        <f>IF(ISNA(VLOOKUP(B148,AssociatedElements!B$2:B783,1,FALSE)),"Not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2">
        <f>IF(ISNA(VLOOKUP(B149,AssociatedElements!B$2:B784,1,FALSE)),"Not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2">
        <f>IF(ISNA(VLOOKUP(B150,AssociatedElements!B$2:B785,1,FALSE)),"Not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2">
        <f>IF(ISNA(VLOOKUP(B151,AssociatedElements!B$2:B786,1,FALSE)),"Not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2">
        <f>IF(ISNA(VLOOKUP(B152,AssociatedElements!B$2:B787,1,FALSE)),"Not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2">
        <f>IF(ISNA(VLOOKUP(B153,AssociatedElements!B$2:B788,1,FALSE)),"Not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2">
        <f>IF(ISNA(VLOOKUP(B154,AssociatedElements!B$2:B789,1,FALSE)),"Not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2">
        <f>IF(ISNA(VLOOKUP(B155,AssociatedElements!B$2:B790,1,FALSE)),"Not used","")</f>
        <v/>
      </c>
      <c r="B156" s="11" t="inlineStr">
        <is>
          <t>sulfate_content</t>
        </is>
      </c>
      <c r="C156" s="15" t="inlineStr">
        <is>
          <t>Sulfate Content</t>
        </is>
      </c>
      <c r="D156" s="14" t="inlineStr">
        <is>
          <t>Sulfate content by lab testing (corrosivity series)</t>
        </is>
      </c>
      <c r="E156" s="15" t="inlineStr">
        <is>
          <t>double</t>
        </is>
      </c>
      <c r="F156" s="15" t="inlineStr">
        <is>
          <t>amount of substance per amount of substance</t>
        </is>
      </c>
    </row>
    <row r="157" ht="68" customHeight="1">
      <c r="A157" s="2">
        <f>IF(ISNA(VLOOKUP(B156,AssociatedElements!B$2:B791,1,FALSE)),"Not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2" t="inlineStr">
        <is>
          <t>dimensionless</t>
        </is>
      </c>
      <c r="J157" s="2" t="inlineStr">
        <is>
          <t>x</t>
        </is>
      </c>
    </row>
    <row r="158" ht="51" customHeight="1">
      <c r="A158" s="2">
        <f>IF(ISNA(VLOOKUP(B157,AssociatedElements!B$2:B792,1,FALSE)),"Not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2">
        <f>IF(ISNA(VLOOKUP(B158,AssociatedElements!B$2:B793,1,FALSE)),"Not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2">
        <f>IF(ISNA(VLOOKUP(B159,AssociatedElements!B$2:B794,1,FALSE)),"Not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2">
        <f>IF(ISNA(VLOOKUP(B160,AssociatedElements!B$2:B795,1,FALSE)),"Not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2">
        <f>IF(ISNA(VLOOKUP(B161,AssociatedElements!B$2:B818,1,FALSE)),"Not used","")</f>
        <v/>
      </c>
      <c r="B162" s="11" t="inlineStr">
        <is>
          <t>tensile_strength</t>
        </is>
      </c>
      <c r="C162" s="11" t="inlineStr">
        <is>
          <t>Tensile strength</t>
        </is>
      </c>
      <c r="D162" s="2" t="inlineStr">
        <is>
          <t>The maximum stress a material can withstand before breaking under tensile (pulling) forces</t>
        </is>
      </c>
      <c r="E162" s="11" t="inlineStr">
        <is>
          <t>double</t>
        </is>
      </c>
      <c r="F162" s="11" t="inlineStr">
        <is>
          <t>pressure</t>
        </is>
      </c>
    </row>
    <row r="163" ht="17" customHeight="1">
      <c r="A163" s="2">
        <f>IF(ISNA(VLOOKUP(B162,AssociatedElements!B$2:B796,1,FALSE)),"Not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2">
        <f>IF(ISNA(VLOOKUP(B163,AssociatedElements!B$2:B797,1,FALSE)),"Not used","")</f>
        <v/>
      </c>
      <c r="B164" s="11" t="inlineStr">
        <is>
          <t>time</t>
        </is>
      </c>
      <c r="C164" s="15" t="inlineStr">
        <is>
          <t>Time</t>
        </is>
      </c>
      <c r="D164" s="14" t="inlineStr">
        <is>
          <t>Time instant of measurement</t>
        </is>
      </c>
      <c r="E164" s="15" t="inlineStr">
        <is>
          <t>time</t>
        </is>
      </c>
      <c r="F164" s="15" t="inlineStr">
        <is>
          <t>time</t>
        </is>
      </c>
    </row>
    <row r="165" ht="17" customHeight="1">
      <c r="A165" s="2">
        <f>IF(ISNA(VLOOKUP(B164,AssociatedElements!B$2:B798,1,FALSE)),"Not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2">
        <f>IF(ISNA(VLOOKUP(B165,AssociatedElements!B$2:B799,1,FALSE)),"Not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2">
        <f>IF(ISNA(VLOOKUP(B166,AssociatedElements!B$2:B821,1,FALSE)),"Not used","")</f>
        <v/>
      </c>
      <c r="B167" s="2" t="inlineStr">
        <is>
          <t>torque</t>
        </is>
      </c>
      <c r="C167" s="24" t="inlineStr">
        <is>
          <t>Torque</t>
        </is>
      </c>
      <c r="D167" s="24" t="inlineStr">
        <is>
          <t>Torque: The rotational force applied by the drill rig.</t>
        </is>
      </c>
      <c r="E167" s="2" t="inlineStr">
        <is>
          <t>double</t>
        </is>
      </c>
      <c r="F167" s="2" t="inlineStr">
        <is>
          <t>moment of force</t>
        </is>
      </c>
    </row>
    <row r="168" ht="34" customHeight="1">
      <c r="A168" s="2">
        <f>IF(ISNA(VLOOKUP(B167,AssociatedElements!B$2:B834,1,FALSE)),"Not used","")</f>
        <v/>
      </c>
      <c r="B168" s="2" t="inlineStr">
        <is>
          <t>transducer_pressure</t>
        </is>
      </c>
      <c r="C168" s="2" t="inlineStr">
        <is>
          <t>Transducer Pressure</t>
        </is>
      </c>
      <c r="D168" s="31" t="inlineStr">
        <is>
          <t>Pressure measured with a transducer</t>
        </is>
      </c>
      <c r="E168" s="2" t="inlineStr">
        <is>
          <t>double</t>
        </is>
      </c>
      <c r="F168" s="2" t="inlineStr">
        <is>
          <t>pressure</t>
        </is>
      </c>
    </row>
    <row r="169" ht="68" customHeight="1">
      <c r="A169" s="2">
        <f>IF(ISNA(VLOOKUP(B168,AssociatedElements!B$2:B800,1,FALSE)),"Not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2">
        <f>IF(ISNA(VLOOKUP(B169,AssociatedElements!B$2:B824,1,FALSE)),"Not used","")</f>
        <v/>
      </c>
      <c r="B170" s="2" t="inlineStr">
        <is>
          <t>uscs_group_name</t>
        </is>
      </c>
      <c r="C170" s="2" t="inlineStr">
        <is>
          <t>USCS Group Name</t>
        </is>
      </c>
      <c r="D170" s="2" t="inlineStr">
        <is>
          <t xml:space="preserve">The Unified Soil Classification group name, including any modifiers as defined in Figures 1,2 and 3 of ASTM D2487 or Figures 1 and 2 of ASTM D2488, eg "Silty sand" or "Gravelly silt with sand". </t>
        </is>
      </c>
      <c r="E170" s="2" t="inlineStr">
        <is>
          <t>string</t>
        </is>
      </c>
    </row>
    <row r="171" ht="34" customHeight="1">
      <c r="A171" s="2">
        <f>IF(ISNA(VLOOKUP(B170,AssociatedElements!B$2:B802,1,FALSE)),"Not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2">
        <f>IF(ISNA(VLOOKUP(B171,AssociatedElements!B$2:B803,1,FALSE)),"Not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2">
        <f>IF(ISNA(VLOOKUP(B172,AssociatedElements!B$2:B804,1,FALSE)),"Not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2">
        <f>IF(ISNA(VLOOKUP(B173,AssociatedElements!B$2:B836,1,FALSE)),"Not used","")</f>
        <v/>
      </c>
      <c r="B174" s="2" t="inlineStr">
        <is>
          <t>volume</t>
        </is>
      </c>
      <c r="C174" s="2" t="inlineStr">
        <is>
          <t>Volume</t>
        </is>
      </c>
      <c r="D174" s="2" t="inlineStr">
        <is>
          <t>The amount of material observed</t>
        </is>
      </c>
      <c r="E174" s="2" t="inlineStr">
        <is>
          <t>double</t>
        </is>
      </c>
      <c r="F174" s="2" t="inlineStr">
        <is>
          <t>volume</t>
        </is>
      </c>
    </row>
    <row r="175" ht="68" customHeight="1">
      <c r="A175" s="2">
        <f>IF(ISNA(VLOOKUP(B174,AssociatedElements!B$2:B838,1,FALSE)),"Not used","")</f>
        <v/>
      </c>
      <c r="B175" s="2" t="inlineStr">
        <is>
          <t>volume_loss</t>
        </is>
      </c>
      <c r="C175" s="24" t="inlineStr">
        <is>
          <t>Volume Loss</t>
        </is>
      </c>
      <c r="D175" s="24" t="inlineStr">
        <is>
          <t>The amount of volume reduced between observation steps</t>
        </is>
      </c>
      <c r="E175" s="2" t="inlineStr">
        <is>
          <t>double</t>
        </is>
      </c>
      <c r="F175" s="2" t="inlineStr">
        <is>
          <t>volume</t>
        </is>
      </c>
    </row>
    <row r="176" ht="17" customHeight="1">
      <c r="A176" s="2">
        <f>IF(ISNA(VLOOKUP(B175,AssociatedElements!B$2:B805,1,FALSE)),"Not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6" t="inlineStr">
        <is>
          <t>integer</t>
        </is>
      </c>
      <c r="F176" s="28" t="inlineStr">
        <is>
          <t>volume per volume</t>
        </is>
      </c>
      <c r="J176" s="2" t="inlineStr">
        <is>
          <t>x</t>
        </is>
      </c>
    </row>
    <row r="177" ht="68" customHeight="1">
      <c r="A177" s="2">
        <f>IF(ISNA(VLOOKUP(B176,AssociatedElements!B$2:B806,1,FALSE)),"Not used","")</f>
        <v/>
      </c>
      <c r="B177" s="11" t="inlineStr">
        <is>
          <t>washout_result</t>
        </is>
      </c>
      <c r="C177" s="15" t="inlineStr">
        <is>
          <t>Washout Result</t>
        </is>
      </c>
      <c r="D177" s="28" t="inlineStr">
        <is>
          <t>Descriptive result of a washout test</t>
        </is>
      </c>
      <c r="E177" s="36" t="inlineStr">
        <is>
          <t>string</t>
        </is>
      </c>
      <c r="F177" s="36" t="n"/>
    </row>
    <row r="178" ht="102" customHeight="1">
      <c r="A178" s="2">
        <f>IF(ISNA(VLOOKUP(B177,AssociatedElements!B$2:B807,1,FALSE)),"Not used","")</f>
        <v/>
      </c>
      <c r="B178" s="11" t="inlineStr">
        <is>
          <t>water_content_natural</t>
        </is>
      </c>
      <c r="C178" s="20" t="inlineStr">
        <is>
          <t>Natural Water Content</t>
        </is>
      </c>
      <c r="D178" s="37" t="inlineStr">
        <is>
          <t>Also referred to as moisture content, this is the mass of water divided by the mass of the solids, expressed as a percentage. Use of this parameter is for natural conditions. Determined in a laboratory or via sensor.</t>
        </is>
      </c>
      <c r="E178" s="36" t="inlineStr">
        <is>
          <t>double</t>
        </is>
      </c>
      <c r="F178" s="28" t="inlineStr">
        <is>
          <t>force per force</t>
        </is>
      </c>
      <c r="J178" s="2" t="inlineStr">
        <is>
          <t>x</t>
        </is>
      </c>
    </row>
    <row r="179" ht="34" customHeight="1">
      <c r="A179" s="2">
        <f>IF(ISNA(VLOOKUP(B178,AssociatedElements!B$2:B808,1,FALSE)),"Not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6" t="inlineStr">
        <is>
          <t>double</t>
        </is>
      </c>
      <c r="F179" s="28" t="inlineStr">
        <is>
          <t>force per force</t>
        </is>
      </c>
      <c r="J179" s="2" t="inlineStr">
        <is>
          <t>x</t>
        </is>
      </c>
    </row>
    <row r="180" ht="34" customHeight="1">
      <c r="A180" s="2">
        <f>IF(ISNA(VLOOKUP(B179,AssociatedElements!B$2:B809,1,FALSE)),"Not used","")</f>
        <v/>
      </c>
      <c r="B180" s="11" t="inlineStr">
        <is>
          <t>water_depth</t>
        </is>
      </c>
      <c r="C180" s="11" t="inlineStr">
        <is>
          <t>Water Depth</t>
        </is>
      </c>
      <c r="D180" s="2" t="inlineStr">
        <is>
          <t>Measured depth to water below datum, typically directly observed or computed from a pressure transducer</t>
        </is>
      </c>
      <c r="E180" s="11" t="inlineStr">
        <is>
          <t>double</t>
        </is>
      </c>
      <c r="F180" s="11" t="inlineStr">
        <is>
          <t>length</t>
        </is>
      </c>
    </row>
    <row r="181" ht="34" customHeight="1">
      <c r="A181" s="2">
        <f>IF(ISNA(VLOOKUP(B180,AssociatedElements!B$2:B809,1,FALSE)),"Not used","")</f>
        <v/>
      </c>
      <c r="B181" s="11" t="inlineStr">
        <is>
          <t>water_elev</t>
        </is>
      </c>
      <c r="C181" s="11" t="inlineStr">
        <is>
          <t>Water Elevation</t>
        </is>
      </c>
      <c r="D181" s="2" t="inlineStr">
        <is>
          <t>Measured elevation of water level, typically directly observed or computed from a pressure transducer.</t>
        </is>
      </c>
      <c r="E181" s="11" t="inlineStr">
        <is>
          <t>double</t>
        </is>
      </c>
      <c r="F181" s="11" t="inlineStr">
        <is>
          <t>length</t>
        </is>
      </c>
    </row>
    <row r="182" ht="34" customHeight="1">
      <c r="A182" s="2">
        <f>IF(ISNA(VLOOKUP(B181,AssociatedElements!B$2:B839,1,FALSE)),"Not used","")</f>
        <v/>
      </c>
      <c r="B182" s="2" t="inlineStr">
        <is>
          <t>easily_oxidized_carbon</t>
        </is>
      </c>
      <c r="C182" s="2" t="inlineStr">
        <is>
          <t>Easily Oxidized Carbon</t>
        </is>
      </c>
      <c r="D182" s="2" t="inlineStr">
        <is>
          <t>Amount of carbon (as a percent) in a soil that is easily oxidized as defined in AASHTO Standard T 194.</t>
        </is>
      </c>
      <c r="E182" s="2" t="inlineStr">
        <is>
          <t>double</t>
        </is>
      </c>
      <c r="F182" s="2" t="inlineStr">
        <is>
          <t>amount of substance per amount of substance</t>
        </is>
      </c>
    </row>
    <row r="183" ht="34" customHeight="1">
      <c r="A183" s="2">
        <f>IF(ISNA(VLOOKUP(B182,AssociatedElements!B$2:B840,1,FALSE)),"Not used","")</f>
        <v/>
      </c>
      <c r="B183" s="2" t="inlineStr">
        <is>
          <t>total_carbon</t>
        </is>
      </c>
      <c r="C183" s="2" t="inlineStr">
        <is>
          <t>Total Carbon</t>
        </is>
      </c>
      <c r="D183" s="2" t="inlineStr">
        <is>
          <t>Amount of carbon in a soil (as a percent) as defined in AASHTO Standard T 194.</t>
        </is>
      </c>
      <c r="E183" s="2" t="inlineStr">
        <is>
          <t>double</t>
        </is>
      </c>
      <c r="F183" s="2" t="inlineStr">
        <is>
          <t>amount of substance per amount of substance</t>
        </is>
      </c>
    </row>
    <row r="184" ht="34" customHeight="1">
      <c r="A184" s="2">
        <f>IF(ISNA(VLOOKUP(B183,AssociatedElements!B$2:B841,1,FALSE)),"Not used","")</f>
        <v/>
      </c>
      <c r="B184" s="2" t="inlineStr">
        <is>
          <t>easily_oxidized_matter</t>
        </is>
      </c>
      <c r="C184" s="2" t="inlineStr">
        <is>
          <t>Easily Oxidized Organic Matter</t>
        </is>
      </c>
      <c r="D184" s="2" t="inlineStr">
        <is>
          <t>Amount of easily oxidized organic matter (as a percent) in a soil  as defined in AASHTO Standard T 194.</t>
        </is>
      </c>
      <c r="E184" s="2" t="inlineStr">
        <is>
          <t>double</t>
        </is>
      </c>
      <c r="F184" s="2" t="inlineStr">
        <is>
          <t>amount of substance per amount of substance</t>
        </is>
      </c>
    </row>
    <row r="185" ht="51" customHeight="1">
      <c r="A185" s="2">
        <f>IF(ISNA(VLOOKUP(B184,AssociatedElements!B$2:B842,1,FALSE)),"Not used","")</f>
        <v/>
      </c>
      <c r="B185" s="2" t="inlineStr">
        <is>
          <t>total_organic_matter</t>
        </is>
      </c>
      <c r="C185" s="2" t="inlineStr">
        <is>
          <t>Total Organic Matter</t>
        </is>
      </c>
      <c r="D185" s="2" t="inlineStr">
        <is>
          <t>Amount of organic matter (as a percent) in a soil as defined in AASHTO Standard T 194.</t>
        </is>
      </c>
      <c r="E185" s="2" t="inlineStr">
        <is>
          <t>double</t>
        </is>
      </c>
      <c r="F185" s="2" t="inlineStr">
        <is>
          <t>amount of substance per amount of substance</t>
        </is>
      </c>
    </row>
    <row r="186" ht="34" customHeight="1">
      <c r="A186" s="2">
        <f>IF(ISNA(VLOOKUP(B185,AssociatedElements!B$2:B843,1,FALSE)),"Not used","")</f>
        <v/>
      </c>
      <c r="B186" s="2" t="inlineStr">
        <is>
          <t>free_swell_value</t>
        </is>
      </c>
      <c r="C186" s="2" t="inlineStr">
        <is>
          <t>Free Swell Value</t>
        </is>
      </c>
      <c r="D186" s="2" t="inlineStr">
        <is>
          <t>Determined by a one-dimensional swell or collapse test, this is the swell strain corresponding to a vertical stress of 1 kPa (20 lbf/ft2).</t>
        </is>
      </c>
      <c r="E186" s="2" t="inlineStr">
        <is>
          <t>double</t>
        </is>
      </c>
      <c r="F186" s="2" t="inlineStr">
        <is>
          <t>length per length</t>
        </is>
      </c>
    </row>
    <row r="187" ht="51" customHeight="1">
      <c r="A187" s="2">
        <f>IF(ISNA(VLOOKUP(B186,AssociatedElements!B$2:B844,1,FALSE)),"Not used","")</f>
        <v/>
      </c>
      <c r="B187" s="2" t="inlineStr">
        <is>
          <t>swell_pressure</t>
        </is>
      </c>
      <c r="C187" s="2" t="inlineStr">
        <is>
          <t>Swell Pressure</t>
        </is>
      </c>
      <c r="D187" s="2" t="inlineStr">
        <is>
          <t>Determined by a one-dimensional swell or collapse test, this is stress corresponding to zero strain.</t>
        </is>
      </c>
      <c r="E187" s="2" t="inlineStr">
        <is>
          <t>double</t>
        </is>
      </c>
      <c r="F187" s="2" t="inlineStr">
        <is>
          <t>pressure</t>
        </is>
      </c>
    </row>
    <row r="188" ht="34" customHeight="1">
      <c r="A188" s="2">
        <f>IF(ISNA(VLOOKUP(B187,AssociatedElements!B$2:B845,1,FALSE)),"Not used","")</f>
        <v/>
      </c>
      <c r="B188" s="2" t="inlineStr">
        <is>
          <t>d_value</t>
        </is>
      </c>
      <c r="C188" s="2" t="inlineStr">
        <is>
          <t>D Value</t>
        </is>
      </c>
      <c r="D188" s="38" t="inlineStr">
        <is>
          <t>The rapid method equivalent of percent compaction; the comparison of in-place density to laboratory derived maximum density.</t>
        </is>
      </c>
      <c r="E188" s="2" t="inlineStr">
        <is>
          <t>double</t>
        </is>
      </c>
      <c r="F188" s="2" t="inlineStr">
        <is>
          <t>dimensionless</t>
        </is>
      </c>
    </row>
    <row r="189" ht="34" customHeight="1">
      <c r="A189" s="2">
        <f>IF(ISNA(VLOOKUP(B188,AssociatedElements!B$2:B846,1,FALSE)),"Not used","")</f>
        <v/>
      </c>
      <c r="B189" s="2" t="inlineStr">
        <is>
          <t>c_value</t>
        </is>
      </c>
      <c r="C189" s="2" t="inlineStr">
        <is>
          <t>C Value</t>
        </is>
      </c>
      <c r="D189" s="2" t="inlineStr">
        <is>
          <t>The comparison of field compactive effort to standard laboratory compactive effort.</t>
        </is>
      </c>
      <c r="E189" s="2" t="inlineStr">
        <is>
          <t>double</t>
        </is>
      </c>
      <c r="F189" s="2" t="inlineStr">
        <is>
          <t>dimensionless</t>
        </is>
      </c>
    </row>
    <row r="190" ht="34" customHeight="1">
      <c r="A190" s="2">
        <f>IF(ISNA(VLOOKUP(B189,AssociatedElements!B$2:B847,1,FALSE)),"Not used","")</f>
        <v/>
      </c>
      <c r="B190" s="2" t="inlineStr">
        <is>
          <t>water_content_difference</t>
        </is>
      </c>
      <c r="C190" s="2" t="inlineStr">
        <is>
          <t>Water Content Difference</t>
        </is>
      </c>
      <c r="D190" s="2" t="inlineStr">
        <is>
          <t>The difference in water content between the field and the optimum water content of a soil.</t>
        </is>
      </c>
      <c r="E190" s="2" t="inlineStr">
        <is>
          <t>double</t>
        </is>
      </c>
      <c r="F190" s="2" t="inlineStr">
        <is>
          <t>force per force</t>
        </is>
      </c>
    </row>
    <row r="191" ht="34" customHeight="1">
      <c r="A191" s="2">
        <f>IF(ISNA(VLOOKUP(B190,AssociatedElements!B$2:B847,1,FALSE)),"Not used","")</f>
        <v/>
      </c>
      <c r="B191" s="2" t="inlineStr">
        <is>
          <t>d84</t>
        </is>
      </c>
      <c r="C191" s="2" t="inlineStr">
        <is>
          <t>d84</t>
        </is>
      </c>
      <c r="D191" s="2" t="inlineStr">
        <is>
          <t>Grain diameter corresponding to 84 percent passing.  Intermediate value used to report other results.</t>
        </is>
      </c>
      <c r="E191" s="2" t="inlineStr">
        <is>
          <t>double</t>
        </is>
      </c>
      <c r="F191" s="2" t="inlineStr">
        <is>
          <t>length</t>
        </is>
      </c>
    </row>
    <row r="192" ht="34" customHeight="1">
      <c r="A192" s="2">
        <f>IF(ISNA(VLOOKUP(B191,AssociatedElements!B$2:B848,1,FALSE)),"Not used","")</f>
        <v/>
      </c>
      <c r="B192" s="2" t="inlineStr">
        <is>
          <t>d90</t>
        </is>
      </c>
      <c r="C192" s="2" t="inlineStr">
        <is>
          <t>d90</t>
        </is>
      </c>
      <c r="D192" s="2" t="inlineStr">
        <is>
          <t>Grain diameter corresponding to 90 percent passing.  Intermediate value used to report other results.</t>
        </is>
      </c>
      <c r="E192" s="2" t="inlineStr">
        <is>
          <t>double</t>
        </is>
      </c>
      <c r="F192" s="2" t="inlineStr">
        <is>
          <t>length</t>
        </is>
      </c>
    </row>
    <row r="193" ht="34" customHeight="1">
      <c r="A193" s="2">
        <f>IF(ISNA(VLOOKUP(B192,AssociatedElements!B$2:B849,1,FALSE)),"Not used","")</f>
        <v/>
      </c>
      <c r="B193" s="2" t="inlineStr">
        <is>
          <t>percent_coarse_gravel</t>
        </is>
      </c>
      <c r="C193" s="2" t="inlineStr">
        <is>
          <t>percent coarse gravel</t>
        </is>
      </c>
      <c r="D193" s="2" t="inlineStr">
        <is>
          <t>The percentage of particles that pass the 75 mm sieve and are retained on the 19mm sieve (&lt;75 mm and &gt;19mm).</t>
        </is>
      </c>
      <c r="E193" s="2" t="inlineStr">
        <is>
          <t>double</t>
        </is>
      </c>
      <c r="F193" s="2" t="inlineStr">
        <is>
          <t>force per force</t>
        </is>
      </c>
    </row>
    <row r="194" ht="34" customHeight="1">
      <c r="A194" s="2">
        <f>IF(ISNA(VLOOKUP(B193,AssociatedElements!B$2:B850,1,FALSE)),"Not used","")</f>
        <v/>
      </c>
      <c r="B194" s="2" t="inlineStr">
        <is>
          <t>percent_fine_gravel</t>
        </is>
      </c>
      <c r="C194" s="2" t="inlineStr">
        <is>
          <t>percent fine gravel</t>
        </is>
      </c>
      <c r="D194" s="2" t="inlineStr">
        <is>
          <t>The percentage of particles that pass the 19 mm sieve and are retained on the 4.75mm sieve (&lt;19 mm and &gt;4.75mm).</t>
        </is>
      </c>
      <c r="E194" s="2" t="inlineStr">
        <is>
          <t>double</t>
        </is>
      </c>
      <c r="F194" s="2" t="inlineStr">
        <is>
          <t>force per force</t>
        </is>
      </c>
    </row>
    <row r="195" ht="34" customHeight="1">
      <c r="A195" s="2">
        <f>IF(ISNA(VLOOKUP(B194,AssociatedElements!B$2:B851,1,FALSE)),"Not used","")</f>
        <v/>
      </c>
      <c r="B195" s="2" t="inlineStr">
        <is>
          <t>percent_coarse_sand</t>
        </is>
      </c>
      <c r="C195" s="2" t="inlineStr">
        <is>
          <t>percent coarse sand</t>
        </is>
      </c>
      <c r="D195" s="2" t="inlineStr">
        <is>
          <t>The percentage of particles thatpass the #4 sieve and are retained on the #10 sieve (&lt;4.75 mm and &gt;2 mm).</t>
        </is>
      </c>
      <c r="E195" s="2" t="inlineStr">
        <is>
          <t>double</t>
        </is>
      </c>
      <c r="F195" s="2" t="inlineStr">
        <is>
          <t>force per force</t>
        </is>
      </c>
    </row>
    <row r="196" ht="34" customHeight="1">
      <c r="A196" s="2">
        <f>IF(ISNA(VLOOKUP(B195,AssociatedElements!B$2:B852,1,FALSE)),"Not used","")</f>
        <v/>
      </c>
      <c r="B196" s="2" t="inlineStr">
        <is>
          <t>percent_medium_sand</t>
        </is>
      </c>
      <c r="C196" s="2" t="inlineStr">
        <is>
          <t>percent medium sand</t>
        </is>
      </c>
      <c r="D196" s="2" t="inlineStr">
        <is>
          <t>The percentage of particles thatpass the #10 sieve and are retained on the #40 sieve (&lt;2 mm and &gt;0.425 mm).</t>
        </is>
      </c>
      <c r="E196" s="2" t="inlineStr">
        <is>
          <t>double</t>
        </is>
      </c>
      <c r="F196" s="2" t="inlineStr">
        <is>
          <t>force per force</t>
        </is>
      </c>
    </row>
    <row r="197" ht="34" customHeight="1">
      <c r="A197" s="2">
        <f>IF(ISNA(VLOOKUP(B196,AssociatedElements!B$2:B853,1,FALSE)),"Not used","")</f>
        <v/>
      </c>
      <c r="B197" s="2" t="inlineStr">
        <is>
          <t>percent_fine_sand</t>
        </is>
      </c>
      <c r="C197" s="2" t="inlineStr">
        <is>
          <t>percent fine sand</t>
        </is>
      </c>
      <c r="D197" s="2" t="inlineStr">
        <is>
          <t>The percentage of particles thatpass the #40 sieve and are retained on the #200 sieve (&lt;0.425 mm and &gt;0.075 mm).</t>
        </is>
      </c>
      <c r="E197" s="2" t="inlineStr">
        <is>
          <t>double</t>
        </is>
      </c>
      <c r="F197" s="2" t="inlineStr">
        <is>
          <t>force per force</t>
        </is>
      </c>
    </row>
    <row r="198" ht="34" customHeight="1">
      <c r="A198" s="2">
        <f>IF(ISNA(VLOOKUP(B197,AssociatedElements!B$2:B854,1,FALSE)),"Not used","")</f>
        <v/>
      </c>
      <c r="B198" s="2" t="inlineStr">
        <is>
          <t>aashto_percent_gravel</t>
        </is>
      </c>
      <c r="C198" s="2" t="inlineStr">
        <is>
          <t>percent gravel aashto</t>
        </is>
      </c>
      <c r="D198" s="2" t="inlineStr">
        <is>
          <t>The percentage of particles that pass the 75mm sieve and are retained on the #10 sieve (&lt;75 mm and &gt;0.075 mm).</t>
        </is>
      </c>
      <c r="E198" s="2" t="inlineStr">
        <is>
          <t>double</t>
        </is>
      </c>
      <c r="F198" s="2" t="inlineStr">
        <is>
          <t>force per force</t>
        </is>
      </c>
    </row>
    <row r="199" ht="34" customHeight="1">
      <c r="A199" s="2">
        <f>IF(ISNA(VLOOKUP(B198,AssociatedElements!B$2:B855,1,FALSE)),"Not used","")</f>
        <v/>
      </c>
      <c r="B199" s="2" t="inlineStr">
        <is>
          <t>aashto_percent_coarse_sand</t>
        </is>
      </c>
      <c r="C199" s="2" t="inlineStr">
        <is>
          <t>percent coarse sand aashto</t>
        </is>
      </c>
      <c r="D199" s="2" t="inlineStr">
        <is>
          <t>The percentage of particles that pass the #10 sieve and are retained on the #40 sieve (&lt;2 mm and &gt;0.425 mm).</t>
        </is>
      </c>
      <c r="E199" s="2" t="inlineStr">
        <is>
          <t>double</t>
        </is>
      </c>
      <c r="F199" s="2" t="inlineStr">
        <is>
          <t>force per force</t>
        </is>
      </c>
    </row>
    <row r="200">
      <c r="A200" s="2">
        <f>IF(ISNA(VLOOKUP(B199,AssociatedElements!B$2:B856,1,FALSE)),"Not used","")</f>
        <v/>
      </c>
      <c r="B200" s="2" t="inlineStr">
        <is>
          <t>aashto_percent_fine_sand</t>
        </is>
      </c>
      <c r="C200" s="2" t="inlineStr">
        <is>
          <t>percent fine sand aashto</t>
        </is>
      </c>
      <c r="D200" s="2" t="inlineStr">
        <is>
          <t>The percentage of particles that pass the #40 sieve and are retained on the #200 sieve (&lt;0.425 mm and &gt;0.075 mm).</t>
        </is>
      </c>
      <c r="E200" s="2" t="inlineStr">
        <is>
          <t>double</t>
        </is>
      </c>
      <c r="F200" s="2" t="inlineStr">
        <is>
          <t>force per force</t>
        </is>
      </c>
    </row>
    <row r="201">
      <c r="B201" s="14" t="inlineStr">
        <is>
          <t>settlement</t>
        </is>
      </c>
      <c r="C201" s="14" t="inlineStr">
        <is>
          <t>Settlement</t>
        </is>
      </c>
      <c r="D201" s="14"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14" t="inlineStr">
        <is>
          <t>double</t>
        </is>
      </c>
      <c r="F201" s="14" t="inlineStr">
        <is>
          <t>length</t>
        </is>
      </c>
    </row>
    <row r="202">
      <c r="B202" s="14" t="inlineStr">
        <is>
          <t>differential_settlement</t>
        </is>
      </c>
      <c r="C202" s="14" t="inlineStr">
        <is>
          <t>Differential settlement</t>
        </is>
      </c>
      <c r="D202" s="14"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14" t="inlineStr">
        <is>
          <t>double</t>
        </is>
      </c>
      <c r="F202" s="14" t="inlineStr">
        <is>
          <t>length</t>
        </is>
      </c>
    </row>
    <row r="203">
      <c r="B203" s="14" t="inlineStr">
        <is>
          <t>settlement_reduction_ratio</t>
        </is>
      </c>
      <c r="C203" s="14" t="inlineStr">
        <is>
          <t>Settlement reduction ratio (measured)</t>
        </is>
      </c>
      <c r="D203" s="14"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14" t="inlineStr">
        <is>
          <t>double</t>
        </is>
      </c>
      <c r="F203" s="14" t="inlineStr">
        <is>
          <t>dimensionless</t>
        </is>
      </c>
    </row>
    <row r="204">
      <c r="B204" s="14" t="inlineStr">
        <is>
          <t>pore_pressure</t>
        </is>
      </c>
      <c r="C204" s="14" t="inlineStr">
        <is>
          <t>Pore water pressure (monitored)</t>
        </is>
      </c>
      <c r="D204" s="14"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14" t="inlineStr">
        <is>
          <t>double</t>
        </is>
      </c>
      <c r="F204" s="14" t="inlineStr">
        <is>
          <t>pressure</t>
        </is>
      </c>
    </row>
    <row r="205">
      <c r="B205" s="14" t="inlineStr">
        <is>
          <t>reinforcement_load_fraction</t>
        </is>
      </c>
      <c r="C205" s="14" t="inlineStr">
        <is>
          <t>Reinforcement load fraction</t>
        </is>
      </c>
      <c r="D205" s="14" t="inlineStr">
        <is>
          <t>The fraction of total applied load carried by the reinforcement rather than by the surrounding soil. Dimensionless, 0 to 1. Named by a diggs:PerformanceCriterion stating a minimum, which is how a design requirement on load sharing is expressed.</t>
        </is>
      </c>
      <c r="E205" s="14" t="inlineStr">
        <is>
          <t>double</t>
        </is>
      </c>
      <c r="F205" s="14"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24"/>
  <sheetViews>
    <sheetView zoomScale="146" zoomScaleNormal="146" workbookViewId="0">
      <pane ySplit="1" topLeftCell="A293" activePane="bottomLeft" state="frozen"/>
      <selection pane="bottomLeft" activeCell="C304" sqref="C304"/>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IF(ISNA(VLOOKUP(B2,Definitions!B$2:B$1623,1,FALSE)),"Not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IF(ISNA(VLOOKUP(B3,Definitions!B$2:B$1623,1,FALSE)),"Not listed","")</f>
        <v/>
      </c>
      <c r="B3" s="2" t="inlineStr">
        <is>
          <t>aashto_group_index</t>
        </is>
      </c>
      <c r="C3" s="4" t="inlineStr">
        <is>
          <t>//diggs:propertyClass</t>
        </is>
      </c>
      <c r="D3" s="21" t="inlineStr">
        <is>
          <t>ancestor::diggs:measurement//diggs:procedure/diggs:ParticleSizeTest</t>
        </is>
      </c>
    </row>
    <row r="4" ht="17" customHeight="1">
      <c r="A4">
        <f>IF(ISNA(VLOOKUP(B4,Definitions!B$2:B$1623,1,FALSE)),"Not listed","")</f>
        <v/>
      </c>
      <c r="B4" s="2" t="inlineStr">
        <is>
          <t>aashto_symbol</t>
        </is>
      </c>
      <c r="C4" s="4" t="inlineStr">
        <is>
          <t>//diggs:propertyClass</t>
        </is>
      </c>
      <c r="D4" s="21" t="inlineStr">
        <is>
          <t>ancestor::diggs:measurement//diggs:procedure/diggs:ParticleSizeTest</t>
        </is>
      </c>
    </row>
    <row r="5">
      <c r="A5">
        <f>IF(ISNA(VLOOKUP(B5,Definitions!B$2:B$1623,1,FALSE)),"Not listed","")</f>
        <v/>
      </c>
      <c r="B5" t="inlineStr">
        <is>
          <t>aggregate_abrasion_value</t>
        </is>
      </c>
      <c r="C5" s="4" t="inlineStr">
        <is>
          <t>//diggs:propertyClass</t>
        </is>
      </c>
      <c r="D5" s="21" t="inlineStr">
        <is>
          <t>ancestor::diggs:measurement//diggs:procedure/diggs:AggregateAbrasionValueTest</t>
        </is>
      </c>
    </row>
    <row r="6">
      <c r="A6">
        <f>IF(ISNA(VLOOKUP(B6,Definitions!B$2:B$1623,1,FALSE)),"Not listed","")</f>
        <v/>
      </c>
      <c r="B6" t="inlineStr">
        <is>
          <t>aggregate_crushing_value</t>
        </is>
      </c>
      <c r="C6" s="4" t="inlineStr">
        <is>
          <t>//diggs:propertyClass</t>
        </is>
      </c>
      <c r="D6" s="21" t="inlineStr">
        <is>
          <t>ancestor::diggs:measurement//diggs:procedure/diggs:AggregateCrushingValueTest</t>
        </is>
      </c>
    </row>
    <row r="7">
      <c r="A7">
        <f>IF(ISNA(VLOOKUP(B7,Definitions!B$2:B$1623,1,FALSE)),"Not listed","")</f>
        <v/>
      </c>
      <c r="B7" t="inlineStr">
        <is>
          <t>aggregate_elongation_index</t>
        </is>
      </c>
      <c r="C7" s="4" t="inlineStr">
        <is>
          <t>//diggs:propertyClass</t>
        </is>
      </c>
      <c r="D7" s="21" t="inlineStr">
        <is>
          <t>ancestor::diggs:measurement//diggs:procedure/diggs:AggregateElongationIndexTest</t>
        </is>
      </c>
    </row>
    <row r="8">
      <c r="A8">
        <f>IF(ISNA(VLOOKUP(B8,Definitions!B$2:B$1623,1,FALSE)),"Not listed","")</f>
        <v/>
      </c>
      <c r="B8" t="inlineStr">
        <is>
          <t>aggregate_flakiness_index</t>
        </is>
      </c>
      <c r="C8" s="4" t="inlineStr">
        <is>
          <t>//diggs:propertyClass</t>
        </is>
      </c>
      <c r="D8" s="21" t="inlineStr">
        <is>
          <t>ancestor::diggs:measurement//diggs:procedure/diggs:AggregateFlakinessIndexTest</t>
        </is>
      </c>
    </row>
    <row r="9">
      <c r="A9">
        <f>IF(ISNA(VLOOKUP(B9,Definitions!B$2:B$1623,1,FALSE)),"Not listed","")</f>
        <v/>
      </c>
      <c r="B9" t="inlineStr">
        <is>
          <t>aggregate_impact_value</t>
        </is>
      </c>
      <c r="C9" s="4" t="inlineStr">
        <is>
          <t>//diggs:propertyClass</t>
        </is>
      </c>
      <c r="D9" s="21" t="inlineStr">
        <is>
          <t>ancestor::diggs:measurement//diggs:procedure/diggs:AggregateImpactValueTest</t>
        </is>
      </c>
    </row>
    <row r="10">
      <c r="A10">
        <f>IF(ISNA(VLOOKUP(B10,Definitions!B$2:B$1623,1,FALSE)),"Not listed","")</f>
        <v/>
      </c>
      <c r="B10" t="inlineStr">
        <is>
          <t>aggregate_LA_abrasion_loss</t>
        </is>
      </c>
      <c r="C10" s="4" t="inlineStr">
        <is>
          <t>//diggs:propertyClass</t>
        </is>
      </c>
      <c r="D10" s="21" t="inlineStr">
        <is>
          <t>ancestor::diggs:measurement//diggs:procedure/diggs:LosAngelesAbrasionTest</t>
        </is>
      </c>
    </row>
    <row r="11">
      <c r="A11">
        <f>IF(ISNA(VLOOKUP(B11,Definitions!B$2:B$1623,1,FALSE)),"Not listed","")</f>
        <v/>
      </c>
      <c r="B11" t="inlineStr">
        <is>
          <t>aggregate_la_coefficient</t>
        </is>
      </c>
      <c r="C11" s="4" t="inlineStr">
        <is>
          <t>//diggs:propertyClass</t>
        </is>
      </c>
      <c r="D11" s="21" t="inlineStr">
        <is>
          <t>ancestor::diggs:measurement//diggs:procedure/diggs:LosAngelesAbrasionTest</t>
        </is>
      </c>
    </row>
    <row r="12">
      <c r="A12">
        <f>IF(ISNA(VLOOKUP(B12,Definitions!B$2:B$1623,1,FALSE)),"Not listed","")</f>
        <v/>
      </c>
      <c r="B12" t="inlineStr">
        <is>
          <t>aggregate_la_wear_ratio</t>
        </is>
      </c>
      <c r="C12" s="4" t="inlineStr">
        <is>
          <t>//diggs:propertyClass</t>
        </is>
      </c>
      <c r="D12" s="21" t="inlineStr">
        <is>
          <t>ancestor::diggs:measurement//diggs:procedure/diggs:LosAngelesAbrasionTest</t>
        </is>
      </c>
    </row>
    <row r="13">
      <c r="A13">
        <f>IF(ISNA(VLOOKUP(B13,Definitions!B$2:B$1623,1,FALSE)),"Not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IF(ISNA(VLOOKUP(B14,Definitions!B$2:B$1623,1,FALSE)),"Not listed","")</f>
        <v/>
      </c>
      <c r="B14" s="2" t="inlineStr">
        <is>
          <t>aggregate_soundness_value</t>
        </is>
      </c>
      <c r="C14" s="4" t="inlineStr">
        <is>
          <t>//diggs:propertyClass</t>
        </is>
      </c>
      <c r="D14" s="21" t="inlineStr">
        <is>
          <t>ancestor::diggs:measurement//diggs:procedure/diggs:AggregateSoundnessTest</t>
        </is>
      </c>
    </row>
    <row r="15">
      <c r="A15">
        <f>IF(ISNA(VLOOKUP(B15,Definitions!B$2:B$1623,1,FALSE)),"Not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IF(ISNA(VLOOKUP(B16,Definitions!B$2:B$1623,1,FALSE)),"Not listed","")</f>
        <v/>
      </c>
      <c r="B16" s="26" t="inlineStr">
        <is>
          <t>b_pressure</t>
        </is>
      </c>
      <c r="C16" s="21" t="inlineStr">
        <is>
          <t>//diggs:propertyClass</t>
        </is>
      </c>
      <c r="D16" s="21" t="inlineStr">
        <is>
          <t>ancestor::diggs:measurement//diggs:procedure/diggs:FlatPlateDilatometerTest</t>
        </is>
      </c>
    </row>
    <row r="17">
      <c r="A17">
        <f>IF(ISNA(VLOOKUP(B17,Definitions!B$2:B$1623,1,FALSE)),"Not listed","")</f>
        <v/>
      </c>
      <c r="B17" t="inlineStr">
        <is>
          <t>bleed</t>
        </is>
      </c>
      <c r="C17" s="4" t="inlineStr">
        <is>
          <t>//diggs:propertyClass</t>
        </is>
      </c>
      <c r="D17" s="21" t="inlineStr">
        <is>
          <t>ancestor::diggs:measurement//diggs:procedure/diggs:BleedTest</t>
        </is>
      </c>
    </row>
    <row r="18" ht="17" customHeight="1">
      <c r="A18">
        <f>IF(ISNA(VLOOKUP(B18,Definitions!B$2:B$1623,1,FALSE)),"Not listed","")</f>
        <v/>
      </c>
      <c r="B18" s="26" t="inlineStr">
        <is>
          <t>blow_count</t>
        </is>
      </c>
      <c r="C18" s="21" t="inlineStr">
        <is>
          <t>//diggs:propertyClass</t>
        </is>
      </c>
      <c r="D18" s="21" t="inlineStr">
        <is>
          <t>ancestor::diggs:measurement//diggs:procedure/diggs:DynamicProbeTest</t>
        </is>
      </c>
    </row>
    <row r="19" ht="17" customHeight="1">
      <c r="A19">
        <f>IF(ISNA(VLOOKUP(B19,Definitions!B$2:B$1623,1,FALSE)),"Not listed","")</f>
        <v/>
      </c>
      <c r="B19" s="26" t="inlineStr">
        <is>
          <t>bulk_density</t>
        </is>
      </c>
      <c r="C19" s="21" t="inlineStr">
        <is>
          <t>//diggs:propertyClass</t>
        </is>
      </c>
      <c r="D19" s="21" t="inlineStr">
        <is>
          <t>ancestor::diggs:measurement//diggs:procedure/diggs:InsituCBRTest</t>
        </is>
      </c>
    </row>
    <row r="20">
      <c r="A20">
        <f>IF(ISNA(VLOOKUP(B20,Definitions!B$2:B$1623,1,FALSE)),"Not listed","")</f>
        <v/>
      </c>
      <c r="B20" t="inlineStr">
        <is>
          <t>bulk_density</t>
        </is>
      </c>
      <c r="C20" s="4" t="inlineStr">
        <is>
          <t>//diggs:propertyClass</t>
        </is>
      </c>
      <c r="D20" s="21" t="inlineStr">
        <is>
          <t>ancestor::diggs:measurement//diggs:procedure/diggs:InsituDensityTest</t>
        </is>
      </c>
    </row>
    <row r="21" ht="17" customHeight="1">
      <c r="A21">
        <f>IF(ISNA(VLOOKUP(B21,Definitions!B$2:B$1623,1,FALSE)),"Not listed","")</f>
        <v/>
      </c>
      <c r="B21" s="26" t="inlineStr">
        <is>
          <t>bulk_density</t>
        </is>
      </c>
      <c r="C21" s="21" t="inlineStr">
        <is>
          <t>//diggs:propertyClass</t>
        </is>
      </c>
      <c r="D21" s="21" t="inlineStr">
        <is>
          <t>ancestor::diggs:measurement//diggs:procedure/diggs:LabCBRTest</t>
        </is>
      </c>
    </row>
    <row r="22" ht="17" customHeight="1">
      <c r="A22">
        <f>IF(ISNA(VLOOKUP(B22,Definitions!B$2:B$1623,1,FALSE)),"Not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IF(ISNA(VLOOKUP([1]AssociatedElements!B279,Definitions!B$2:B$1623,1,FALSE)),"Not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IF(ISNA(VLOOKUP([1]AssociatedElements!B280,Definitions!B$2:B$1623,1,FALSE)),"Not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IF(ISNA(VLOOKUP([1]AssociatedElements!B281,Definitions!B$2:B$1623,1,FALSE)),"Not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IF(ISNA(VLOOKUP([1]AssociatedElements!B282,Definitions!B$2:B$1623,1,FALSE)),"Not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IF(ISNA(VLOOKUP(B27,Definitions!B$2:B$1623,1,FALSE)),"Not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IF(ISNA(VLOOKUP([1]AssociatedElements!B289,Definitions!B$2:B$1623,1,FALSE)),"Not listed","")</f>
        <v/>
      </c>
      <c r="B28" s="2" t="inlineStr">
        <is>
          <t>c_value</t>
        </is>
      </c>
      <c r="C28" s="4" t="inlineStr">
        <is>
          <t>//diggs:propertyClass</t>
        </is>
      </c>
      <c r="D28" s="21" t="inlineStr">
        <is>
          <t>ancestor::diggs:measurement//diggs:procedure/diggs:LabCompactionTest</t>
        </is>
      </c>
    </row>
    <row r="29" ht="17" customHeight="1">
      <c r="A29">
        <f>IF(ISNA(VLOOKUP(B29,Definitions!B$2:B$1623,1,FALSE)),"Not listed","")</f>
        <v/>
      </c>
      <c r="B29" s="26" t="inlineStr">
        <is>
          <t>cbr_0.1</t>
        </is>
      </c>
      <c r="C29" s="21" t="inlineStr">
        <is>
          <t>//diggs:propertyClass</t>
        </is>
      </c>
      <c r="D29" s="21" t="inlineStr">
        <is>
          <t>ancestor::diggs:measurement//diggs:procedure/diggs:InsituCBRTest</t>
        </is>
      </c>
    </row>
    <row r="30" ht="17" customHeight="1">
      <c r="A30">
        <f>IF(ISNA(VLOOKUP(B30,Definitions!B$2:B$1623,1,FALSE)),"Not listed","")</f>
        <v/>
      </c>
      <c r="B30" s="26" t="inlineStr">
        <is>
          <t>cbr_0.1</t>
        </is>
      </c>
      <c r="C30" s="21" t="inlineStr">
        <is>
          <t>//diggs:propertyClass</t>
        </is>
      </c>
      <c r="D30" s="21" t="inlineStr">
        <is>
          <t>ancestor::diggs:measurement//diggs:procedure/diggs:LabCBRTest</t>
        </is>
      </c>
    </row>
    <row r="31" ht="17" customHeight="1">
      <c r="A31">
        <f>IF(ISNA(VLOOKUP(B31,Definitions!B$2:B$1623,1,FALSE)),"Not listed","")</f>
        <v/>
      </c>
      <c r="B31" s="26" t="inlineStr">
        <is>
          <t>cbr_0.2</t>
        </is>
      </c>
      <c r="C31" s="21" t="inlineStr">
        <is>
          <t>//diggs:propertyClass</t>
        </is>
      </c>
      <c r="D31" s="21" t="inlineStr">
        <is>
          <t>ancestor::diggs:measurement//diggs:procedure/diggs:InsituCBRTest</t>
        </is>
      </c>
    </row>
    <row r="32" ht="17" customHeight="1">
      <c r="A32">
        <f>IF(ISNA(VLOOKUP(B32,Definitions!B$2:B$1623,1,FALSE)),"Not listed","")</f>
        <v/>
      </c>
      <c r="B32" s="26" t="inlineStr">
        <is>
          <t>cbr_0.2</t>
        </is>
      </c>
      <c r="C32" s="21" t="inlineStr">
        <is>
          <t>//diggs:propertyClass</t>
        </is>
      </c>
      <c r="D32" s="21" t="inlineStr">
        <is>
          <t>ancestor::diggs:measurement//diggs:procedure/diggs:LabCBRTest</t>
        </is>
      </c>
    </row>
    <row r="33">
      <c r="A33">
        <f>IF(ISNA(VLOOKUP(B33,Definitions!B$2:B$1623,1,FALSE)),"Not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IF(ISNA(VLOOKUP(B34,Definitions!B$2:B$1623,1,FALSE)),"Not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IF(ISNA(VLOOKUP(B35,Definitions!B$2:B$1623,1,FALSE)),"Not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IF(ISNA(VLOOKUP(B36,Definitions!B$2:B$1623,1,FALSE)),"Not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IF(ISNA(VLOOKUP(B37,Definitions!B$2:B$1623,1,FALSE)),"Not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IF(ISNA(VLOOKUP(B38,Definitions!B$2:B$1623,1,FALSE)),"Not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IF(ISNA(VLOOKUP(B39,Definitions!B$2:B$1623,1,FALSE)),"Not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IF(ISNA(VLOOKUP(B40,Definitions!B$2:B$1623,1,FALSE)),"Not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IF(ISNA(VLOOKUP(B41,Definitions!B$2:B$1623,1,FALSE)),"Not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IF(ISNA(VLOOKUP(B42,Definitions!B$2:B$1623,1,FALSE)),"Not listed","")</f>
        <v/>
      </c>
      <c r="B42" s="26" t="inlineStr">
        <is>
          <t>coef_earth_pressure</t>
        </is>
      </c>
      <c r="C42" s="21" t="inlineStr">
        <is>
          <t>//diggs:propertyClass</t>
        </is>
      </c>
      <c r="D42" s="21" t="inlineStr">
        <is>
          <t>ancestor::diggs:measurement//diggs:procedure/diggs:FlatPlateDilatometerTest</t>
        </is>
      </c>
    </row>
    <row r="43">
      <c r="A43">
        <f>IF(ISNA(VLOOKUP(B43,Definitions!B$2:B$1623,1,FALSE)),"Not listed","")</f>
        <v/>
      </c>
      <c r="B43" t="inlineStr">
        <is>
          <t>coef_earth_pressure</t>
        </is>
      </c>
      <c r="C43" s="4" t="inlineStr">
        <is>
          <t>//diggs:propertyClass</t>
        </is>
      </c>
      <c r="D43" s="21" t="inlineStr">
        <is>
          <t>ancestor::diggs:measurement//diggs:procedure/diggs:PressuremeterTest</t>
        </is>
      </c>
    </row>
    <row r="44">
      <c r="A44">
        <f>IF(ISNA(VLOOKUP(B44,Definitions!B$2:B$1623,1,FALSE)),"Not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IF(ISNA(VLOOKUP(B45,Definitions!B$2:B$1623,1,FALSE)),"Not listed","")</f>
        <v/>
      </c>
      <c r="B45" s="26" t="inlineStr">
        <is>
          <t>coef_permeability</t>
        </is>
      </c>
      <c r="C45" s="21" t="inlineStr">
        <is>
          <t>//diggs:propertyClass</t>
        </is>
      </c>
      <c r="D45" s="21" t="inlineStr">
        <is>
          <t>ancestor::diggs:measurement//diggs:procedure/diggs:LabPermeabilityTest</t>
        </is>
      </c>
    </row>
    <row r="46">
      <c r="A46">
        <f>IF(ISNA(VLOOKUP(B46,Definitions!B$2:B$1623,1,FALSE)),"Not listed","")</f>
        <v/>
      </c>
      <c r="B46" t="inlineStr">
        <is>
          <t>coef_permeability</t>
        </is>
      </c>
      <c r="C46" s="4" t="inlineStr">
        <is>
          <t>//diggs:propertyClass</t>
        </is>
      </c>
      <c r="D46" s="21" t="inlineStr">
        <is>
          <t>ancestor::diggs:measurement//diggs:procedure/diggs:PumpingTest</t>
        </is>
      </c>
    </row>
    <row r="47" ht="17" customHeight="1">
      <c r="A47">
        <f>IF(ISNA(VLOOKUP(B47,Definitions!B$2:B$1623,1,FALSE)),"Not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IF(ISNA(VLOOKUP(B48,Definitions!B$2:B$1623,1,FALSE)),"Not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IF(ISNA(VLOOKUP(B49,Definitions!B$2:B$1623,1,FALSE)),"Not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IF(ISNA(VLOOKUP(B50,Definitions!B$2:B$1623,1,FALSE)),"Not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IF(ISNA(VLOOKUP(B51,Definitions!B$2:B$1623,1,FALSE)),"Not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IF(ISNA(VLOOKUP(B52,Definitions!B$2:B$1623,1,FALSE)),"Not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IF(ISNA(VLOOKUP(B53,Definitions!B$2:B$1623,1,FALSE)),"Not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IF(ISNA(VLOOKUP(B54,Definitions!B$2:B$1623,1,FALSE)),"Not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IF(ISNA(VLOOKUP(B55,Definitions!B$2:B$1623,1,FALSE)),"Not listed","")</f>
        <v/>
      </c>
      <c r="B55" s="26" t="inlineStr">
        <is>
          <t>coef_permeability_vert</t>
        </is>
      </c>
      <c r="C55" s="21" t="inlineStr">
        <is>
          <t>//diggs:propertyClass</t>
        </is>
      </c>
      <c r="D55" s="21" t="inlineStr">
        <is>
          <t>ancestor::diggs:measurement//diggs:procedure/diggs:LabPermeabilityTest</t>
        </is>
      </c>
    </row>
    <row r="56">
      <c r="A56">
        <f>IF(ISNA(VLOOKUP(B56,Definitions!B$2:B$1623,1,FALSE)),"Not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IF(ISNA(VLOOKUP(B57,Definitions!B$2:B$1623,1,FALSE)),"Not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IF(ISNA(VLOOKUP(B58,Definitions!B$2:B$1623,1,FALSE)),"Not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IF(ISNA(VLOOKUP(B59,Definitions!B$2:B$1623,1,FALSE)),"Not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IF(ISNA(VLOOKUP(B60,Definitions!B$2:B$1623,1,FALSE)),"Not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IF(ISNA(VLOOKUP(B61,Definitions!B$2:B$1623,1,FALSE)),"Not listed","")</f>
        <v/>
      </c>
      <c r="B61" t="inlineStr">
        <is>
          <t>cohesion_peak</t>
        </is>
      </c>
      <c r="C61" t="inlineStr">
        <is>
          <t>//diggs:propertyClass</t>
        </is>
      </c>
      <c r="D61" t="inlineStr">
        <is>
          <t>ancestor::diggs:measurement//diggs:procedure/diggs:TriaxialTest</t>
        </is>
      </c>
    </row>
    <row r="62" ht="17" customHeight="1">
      <c r="A62">
        <f>IF(ISNA(VLOOKUP(B61,Definitions!B$2:B$1623,1,FALSE)),"Not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IF(ISNA(VLOOKUP(B62,Definitions!B$2:B$1623,1,FALSE)),"Not listed","")</f>
        <v/>
      </c>
      <c r="B63" t="inlineStr">
        <is>
          <t>cohesion_residual</t>
        </is>
      </c>
      <c r="C63" t="inlineStr">
        <is>
          <t>//diggs:propertyClass</t>
        </is>
      </c>
      <c r="D63" t="inlineStr">
        <is>
          <t>ancestor::diggs:measurement//diggs:procedure/diggs:TriaxialTest</t>
        </is>
      </c>
    </row>
    <row r="64" ht="17" customHeight="1">
      <c r="A64">
        <f>IF(ISNA(VLOOKUP(B62,Definitions!B$2:B$1623,1,FALSE)),"Not listed","")</f>
        <v/>
      </c>
      <c r="B64" s="26" t="inlineStr">
        <is>
          <t>colloid_percent</t>
        </is>
      </c>
      <c r="C64" s="21" t="inlineStr">
        <is>
          <t>//diggs:propertyClass</t>
        </is>
      </c>
      <c r="D64" s="21" t="inlineStr">
        <is>
          <t>ancestor::diggs:measurement//diggs:procedure/diggs:ParticleSizeTest</t>
        </is>
      </c>
    </row>
    <row r="65">
      <c r="A65">
        <f>IF(ISNA(VLOOKUP(B63,Definitions!B$2:B$1623,1,FALSE)),"Not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IF(ISNA(VLOOKUP(B64,Definitions!B$2:B$1623,1,FALSE)),"Not listed","")</f>
        <v/>
      </c>
      <c r="B66" s="2" t="inlineStr">
        <is>
          <t>compressive_strength_unconfined</t>
        </is>
      </c>
      <c r="C66" s="4" t="inlineStr">
        <is>
          <t>//diggs:propertyClass</t>
        </is>
      </c>
      <c r="D66" s="21" t="inlineStr">
        <is>
          <t>ancestor::diggs:measurement//diggs:procedure/diggs:InSituPenetrometerTest</t>
        </is>
      </c>
    </row>
    <row r="67" ht="17" customHeight="1">
      <c r="A67">
        <f>IF(ISNA(VLOOKUP(B65,Definitions!B$2:B$1623,1,FALSE)),"Not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IF(ISNA(VLOOKUP(B66,Definitions!B$2:B$1623,1,FALSE)),"Not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IF(ISNA(VLOOKUP(B67,Definitions!B$2:B$1623,1,FALSE)),"Not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IF(ISNA(VLOOKUP(B68,Definitions!B$2:B$1623,1,FALSE)),"Not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IF(ISNA(VLOOKUP(B69,Definitions!B$2:B$1623,1,FALSE)),"Not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IF(ISNA(VLOOKUP(B70,Definitions!B$2:B$1623,1,FALSE)),"Not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IF(ISNA(VLOOKUP(B71,Definitions!B$2:B$1623,1,FALSE)),"Not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IF(ISNA(VLOOKUP(B72,Definitions!B$2:B$1623,1,FALSE)),"Not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IF(ISNA(VLOOKUP([1]AssociatedElements!B288,Definitions!B$2:B$1623,1,FALSE)),"Not listed","")</f>
        <v/>
      </c>
      <c r="B75" s="2" t="inlineStr">
        <is>
          <t>d_value</t>
        </is>
      </c>
      <c r="C75" s="4" t="inlineStr">
        <is>
          <t>//diggs:propertyClass</t>
        </is>
      </c>
      <c r="D75" s="21" t="inlineStr">
        <is>
          <t>ancestor::diggs:measurement//diggs:procedure/diggs:LabCompactionTest</t>
        </is>
      </c>
    </row>
    <row r="76" ht="17" customHeight="1">
      <c r="A76">
        <f>IF(ISNA(VLOOKUP(B74,Definitions!B$2:B$1623,1,FALSE)),"Not listed","")</f>
        <v/>
      </c>
      <c r="B76" s="26" t="inlineStr">
        <is>
          <t>d10</t>
        </is>
      </c>
      <c r="C76" s="21" t="inlineStr">
        <is>
          <t>//diggs:propertyClass</t>
        </is>
      </c>
      <c r="D76" s="21" t="inlineStr">
        <is>
          <t>ancestor::diggs:measurement//diggs:procedure/diggs:MaterialGradationTest</t>
        </is>
      </c>
    </row>
    <row r="77" ht="17" customHeight="1">
      <c r="A77">
        <f>IF(ISNA(VLOOKUP(B75,Definitions!B$2:B$1623,1,FALSE)),"Not listed","")</f>
        <v/>
      </c>
      <c r="B77" s="26" t="inlineStr">
        <is>
          <t>d10</t>
        </is>
      </c>
      <c r="C77" s="21" t="inlineStr">
        <is>
          <t>//diggs:propertyClass</t>
        </is>
      </c>
      <c r="D77" s="21" t="inlineStr">
        <is>
          <t>ancestor::diggs:measurement//diggs:procedure/diggs:ParticleSizeTest</t>
        </is>
      </c>
    </row>
    <row r="78" ht="17" customHeight="1">
      <c r="A78">
        <f>IF(ISNA(VLOOKUP(B76,Definitions!B$2:B$1623,1,FALSE)),"Not listed","")</f>
        <v/>
      </c>
      <c r="B78" s="26" t="inlineStr">
        <is>
          <t>d15</t>
        </is>
      </c>
      <c r="C78" s="21" t="inlineStr">
        <is>
          <t>//diggs:propertyClass</t>
        </is>
      </c>
      <c r="D78" s="21" t="inlineStr">
        <is>
          <t>ancestor::diggs:measurement//diggs:procedure/diggs:MaterialGradationTest</t>
        </is>
      </c>
    </row>
    <row r="79" ht="17" customHeight="1">
      <c r="A79">
        <f>IF(ISNA(VLOOKUP(B77,Definitions!B$2:B$1623,1,FALSE)),"Not listed","")</f>
        <v/>
      </c>
      <c r="B79" s="26" t="inlineStr">
        <is>
          <t>d15</t>
        </is>
      </c>
      <c r="C79" s="21" t="inlineStr">
        <is>
          <t>//diggs:propertyClass</t>
        </is>
      </c>
      <c r="D79" s="21" t="inlineStr">
        <is>
          <t>ancestor::diggs:measurement//diggs:procedure/diggs:ParticleSizeTest</t>
        </is>
      </c>
    </row>
    <row r="80" ht="17" customHeight="1">
      <c r="A80">
        <f>IF(ISNA(VLOOKUP(B78,Definitions!B$2:B$1623,1,FALSE)),"Not listed","")</f>
        <v/>
      </c>
      <c r="B80" s="26" t="inlineStr">
        <is>
          <t>d30</t>
        </is>
      </c>
      <c r="C80" s="21" t="inlineStr">
        <is>
          <t>//diggs:propertyClass</t>
        </is>
      </c>
      <c r="D80" s="21" t="inlineStr">
        <is>
          <t>ancestor::diggs:measurement//diggs:procedure/diggs:MaterialGradationTest</t>
        </is>
      </c>
    </row>
    <row r="81" ht="17" customHeight="1">
      <c r="A81">
        <f>IF(ISNA(VLOOKUP(B79,Definitions!B$2:B$1623,1,FALSE)),"Not listed","")</f>
        <v/>
      </c>
      <c r="B81" s="26" t="inlineStr">
        <is>
          <t>d30</t>
        </is>
      </c>
      <c r="C81" s="21" t="inlineStr">
        <is>
          <t>//diggs:propertyClass</t>
        </is>
      </c>
      <c r="D81" s="21" t="inlineStr">
        <is>
          <t>ancestor::diggs:measurement//diggs:procedure/diggs:ParticleSizeTest</t>
        </is>
      </c>
    </row>
    <row r="82" ht="17" customHeight="1">
      <c r="A82">
        <f>IF(ISNA(VLOOKUP(B80,Definitions!B$2:B$1623,1,FALSE)),"Not listed","")</f>
        <v/>
      </c>
      <c r="B82" s="26" t="inlineStr">
        <is>
          <t>d50</t>
        </is>
      </c>
      <c r="C82" s="21" t="inlineStr">
        <is>
          <t>//diggs:propertyClass</t>
        </is>
      </c>
      <c r="D82" s="21" t="inlineStr">
        <is>
          <t>ancestor::diggs:measurement//diggs:procedure/diggs:MaterialGradationTest</t>
        </is>
      </c>
    </row>
    <row r="83" ht="17" customHeight="1">
      <c r="A83">
        <f>IF(ISNA(VLOOKUP(B81,Definitions!B$2:B$1623,1,FALSE)),"Not listed","")</f>
        <v/>
      </c>
      <c r="B83" s="26" t="inlineStr">
        <is>
          <t>d50</t>
        </is>
      </c>
      <c r="C83" s="21" t="inlineStr">
        <is>
          <t>//diggs:propertyClass</t>
        </is>
      </c>
      <c r="D83" s="21" t="inlineStr">
        <is>
          <t>ancestor::diggs:measurement//diggs:procedure/diggs:ParticleSizeTest</t>
        </is>
      </c>
    </row>
    <row r="84" ht="17" customHeight="1">
      <c r="A84">
        <f>IF(ISNA(VLOOKUP(B82,Definitions!B$2:B$1623,1,FALSE)),"Not listed","")</f>
        <v/>
      </c>
      <c r="B84" s="26" t="inlineStr">
        <is>
          <t>d60</t>
        </is>
      </c>
      <c r="C84" s="21" t="inlineStr">
        <is>
          <t>//diggs:propertyClass</t>
        </is>
      </c>
      <c r="D84" s="21" t="inlineStr">
        <is>
          <t>ancestor::diggs:measurement//diggs:procedure/diggs:MaterialGradationTest</t>
        </is>
      </c>
    </row>
    <row r="85" ht="17" customHeight="1">
      <c r="A85">
        <f>IF(ISNA(VLOOKUP(B83,Definitions!B$2:B$1623,1,FALSE)),"Not listed","")</f>
        <v/>
      </c>
      <c r="B85" s="26" t="inlineStr">
        <is>
          <t>d60</t>
        </is>
      </c>
      <c r="C85" s="21" t="inlineStr">
        <is>
          <t>//diggs:propertyClass</t>
        </is>
      </c>
      <c r="D85" s="21" t="inlineStr">
        <is>
          <t>ancestor::diggs:measurement//diggs:procedure/diggs:ParticleSizeTest</t>
        </is>
      </c>
    </row>
    <row r="86" ht="17" customHeight="1">
      <c r="A86">
        <f>IF(ISNA(VLOOKUP(B84,Definitions!B$2:B$1623,1,FALSE)),"Not listed","")</f>
        <v/>
      </c>
      <c r="B86" s="26" t="inlineStr">
        <is>
          <t>d85</t>
        </is>
      </c>
      <c r="C86" s="21" t="inlineStr">
        <is>
          <t>//diggs:propertyClass</t>
        </is>
      </c>
      <c r="D86" s="21" t="inlineStr">
        <is>
          <t>ancestor::diggs:measurement//diggs:procedure/diggs:MaterialGradationTest</t>
        </is>
      </c>
    </row>
    <row r="87" ht="17" customHeight="1">
      <c r="A87">
        <f>IF(ISNA(VLOOKUP(B85,Definitions!B$2:B$1623,1,FALSE)),"Not listed","")</f>
        <v/>
      </c>
      <c r="B87" s="26" t="inlineStr">
        <is>
          <t>d85</t>
        </is>
      </c>
      <c r="C87" s="21" t="inlineStr">
        <is>
          <t>//diggs:propertyClass</t>
        </is>
      </c>
      <c r="D87" s="21" t="inlineStr">
        <is>
          <t>ancestor::diggs:measurement//diggs:procedure/diggs:ParticleSizeTest</t>
        </is>
      </c>
    </row>
    <row r="88" ht="17" customHeight="1">
      <c r="A88">
        <f>IF(ISNA(VLOOKUP(B86,Definitions!B$2:B$1623,1,FALSE)),"Not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IF(ISNA(VLOOKUP(B87,Definitions!B$2:B$1623,1,FALSE)),"Not listed","")</f>
        <v/>
      </c>
      <c r="B89" s="26" t="inlineStr">
        <is>
          <t>delay</t>
        </is>
      </c>
      <c r="C89" s="21" t="inlineStr">
        <is>
          <t>//diggs:propertyClass</t>
        </is>
      </c>
      <c r="D89" s="21" t="inlineStr">
        <is>
          <t>ancestor::diggs:measurement//diggs:procedure/diggs:DynamicProbeTest</t>
        </is>
      </c>
    </row>
    <row r="90">
      <c r="A90">
        <f>IF(ISNA(VLOOKUP(B88,Definitions!B$2:B$1623,1,FALSE)),"Not listed","")</f>
        <v/>
      </c>
      <c r="B90" s="2" t="inlineStr">
        <is>
          <t>depth</t>
        </is>
      </c>
      <c r="C90" s="4" t="inlineStr">
        <is>
          <t>//diggs:propertyClass</t>
        </is>
      </c>
      <c r="D90" s="21" t="inlineStr">
        <is>
          <t>ancestor::diggs:TemporalResult</t>
        </is>
      </c>
    </row>
    <row r="91" ht="17" customHeight="1">
      <c r="A91">
        <f>IF(ISNA(VLOOKUP(B89,Definitions!B$2:B$1623,1,FALSE)),"Not listed","")</f>
        <v/>
      </c>
      <c r="B91" s="2" t="inlineStr">
        <is>
          <t>depth</t>
        </is>
      </c>
      <c r="C91" s="4" t="inlineStr">
        <is>
          <t>//diggs:propertyClass</t>
        </is>
      </c>
      <c r="D91" s="21" t="inlineStr">
        <is>
          <t>ancestor::diggs:TemporalResult</t>
        </is>
      </c>
    </row>
    <row r="92" ht="17" customHeight="1">
      <c r="A92">
        <f>IF(ISNA(VLOOKUP(B90,Definitions!B$2:B$1623,1,FALSE)),"Not listed","")</f>
        <v/>
      </c>
      <c r="B92" t="inlineStr">
        <is>
          <t>dilation_angle</t>
        </is>
      </c>
      <c r="C92" s="4" t="inlineStr">
        <is>
          <t>//diggs:propertyClass</t>
        </is>
      </c>
      <c r="D92" s="21" t="inlineStr">
        <is>
          <t>ancestor::diggs:measurement//diggs:procedure/diggs:PressuremeterTest</t>
        </is>
      </c>
    </row>
    <row r="93" ht="17" customHeight="1">
      <c r="A93">
        <f>IF(ISNA(VLOOKUP(B91,Definitions!B$2:B$1623,1,FALSE)),"Not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IF(ISNA(VLOOKUP(B92,Definitions!B$2:B$1623,1,FALSE)),"Not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IF(ISNA(VLOOKUP(B93,Definitions!B$2:B$1623,1,FALSE)),"Not listed","")</f>
        <v/>
      </c>
      <c r="B95" s="26" t="inlineStr">
        <is>
          <t>dry_density</t>
        </is>
      </c>
      <c r="C95" s="21" t="inlineStr">
        <is>
          <t>//diggs:propertyClass</t>
        </is>
      </c>
      <c r="D95" s="21" t="inlineStr">
        <is>
          <t>ancestor::diggs:measurement//diggs:procedure/diggs:LabDensityTest</t>
        </is>
      </c>
    </row>
    <row r="96" ht="17" customHeight="1">
      <c r="A96">
        <f>IF(ISNA(VLOOKUP(B94,Definitions!B$2:B$1623,1,FALSE)),"Not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IF(ISNA(VLOOKUP([1]AssociatedElements!B284,Definitions!B$2:B$1623,1,FALSE)),"Not listed","")</f>
        <v/>
      </c>
      <c r="B97" s="2" t="inlineStr">
        <is>
          <t>dry_density_max_true</t>
        </is>
      </c>
      <c r="C97" s="21" t="inlineStr">
        <is>
          <t>//diggs:propertyClass</t>
        </is>
      </c>
      <c r="D97" s="21" t="inlineStr">
        <is>
          <t>ancestor::diggs:measurement//diggs:procedure/diggs:LabCompactionTest</t>
        </is>
      </c>
    </row>
    <row r="98" ht="17" customHeight="1">
      <c r="A98">
        <f>IF(ISNA(VLOOKUP([1]AssociatedElements!B283,Definitions!B$2:B$1623,1,FALSE)),"Not listed","")</f>
        <v/>
      </c>
      <c r="B98" s="11" t="inlineStr">
        <is>
          <t>dry_density_true</t>
        </is>
      </c>
      <c r="C98" s="21" t="inlineStr">
        <is>
          <t>//diggs:propertyClass</t>
        </is>
      </c>
      <c r="D98" s="21" t="inlineStr">
        <is>
          <t>ancestor::diggs:measurement//diggs:procedure/diggs:LabDensityTest</t>
        </is>
      </c>
    </row>
    <row r="99" ht="17" customHeight="1">
      <c r="B99" s="2"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IF(ISNA(VLOOKUP([1]AssociatedElements!B284,Definitions!B$2:B$1623,1,FALSE)),"Not listed","")</f>
        <v/>
      </c>
      <c r="B100" s="2" t="inlineStr">
        <is>
          <t>easily_oxidized_matter</t>
        </is>
      </c>
      <c r="C100" s="4" t="inlineStr">
        <is>
          <t>//diggs:propertyClass</t>
        </is>
      </c>
      <c r="D100" s="21" t="inlineStr">
        <is>
          <t>ancestor::diggs:measurement//diggs:procedure/diggs:OrganicMatterByWetCombustionTest</t>
        </is>
      </c>
    </row>
    <row r="101" ht="17" customHeight="1">
      <c r="A101">
        <f>IF(ISNA(VLOOKUP(B99,Definitions!B$2:B$1623,1,FALSE)),"Not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IF(ISNA(VLOOKUP(B100,Definitions!B$2:B$1623,1,FALSE)),"Not listed","")</f>
        <v/>
      </c>
      <c r="B102" s="2" t="inlineStr">
        <is>
          <t>elapsed_time</t>
        </is>
      </c>
      <c r="C102" s="4" t="inlineStr">
        <is>
          <t>//diggs:propertyClass</t>
        </is>
      </c>
      <c r="D102" s="29" t="inlineStr">
        <is>
          <t>ancestor::diggs:dissipationTimeSeries</t>
        </is>
      </c>
    </row>
    <row r="103" ht="17" customHeight="1">
      <c r="A103">
        <f>IF(ISNA(VLOOKUP(B101,Definitions!B$2:B$1623,1,FALSE)),"Not listed","")</f>
        <v/>
      </c>
      <c r="B103" s="2" t="inlineStr">
        <is>
          <t>elapsed_time</t>
        </is>
      </c>
      <c r="C103" s="4" t="inlineStr">
        <is>
          <t>//diggs:propertyClass</t>
        </is>
      </c>
      <c r="D103" s="21" t="inlineStr">
        <is>
          <t>ancestor::diggs:lugeonStepTimeSeries</t>
        </is>
      </c>
    </row>
    <row r="104">
      <c r="A104">
        <f>IF(ISNA(VLOOKUP(B102,Definitions!B$2:B$1623,1,FALSE)),"Not listed","")</f>
        <v/>
      </c>
      <c r="B104" s="2" t="inlineStr">
        <is>
          <t>elapsed_time</t>
        </is>
      </c>
      <c r="C104" s="4" t="inlineStr">
        <is>
          <t>//diggs:propertyClass</t>
        </is>
      </c>
      <c r="D104" s="21" t="inlineStr">
        <is>
          <t>ancestor::diggs:measurement//diggs:procedure/diggs:StaticConePenetrationTest</t>
        </is>
      </c>
    </row>
    <row r="105" ht="17" customHeight="1">
      <c r="A105">
        <f>IF(ISNA(VLOOKUP(B103,Definitions!B$2:B$1623,1,FALSE)),"Not listed","")</f>
        <v/>
      </c>
      <c r="B105" s="2" t="inlineStr">
        <is>
          <t>elapsed_time</t>
        </is>
      </c>
      <c r="C105" s="4" t="inlineStr">
        <is>
          <t>//diggs:propertyClass</t>
        </is>
      </c>
      <c r="D105" s="21" t="inlineStr">
        <is>
          <t>ancestor::diggs:syneresisTimeSeries</t>
        </is>
      </c>
    </row>
    <row r="106" ht="17" customHeight="1">
      <c r="A106">
        <f>IF(ISNA(VLOOKUP(B104,Definitions!B$2:B$1623,1,FALSE)),"Not listed","")</f>
        <v/>
      </c>
      <c r="B106" t="inlineStr">
        <is>
          <t>filtrate_volume</t>
        </is>
      </c>
      <c r="C106" s="4" t="inlineStr">
        <is>
          <t>//diggs:propertyClass</t>
        </is>
      </c>
      <c r="D106" s="21" t="inlineStr">
        <is>
          <t>ancestor::diggs:measurement//diggs:procedure/diggs:PressureFiltrationTest</t>
        </is>
      </c>
    </row>
    <row r="107">
      <c r="A107">
        <f>IF(ISNA(VLOOKUP(B105,Definitions!B$2:B$1623,1,FALSE)),"Not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IF(ISNA(VLOOKUP(B106,Definitions!B$2:B$1623,1,FALSE)),"Not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IF(ISNA(VLOOKUP(B107,Definitions!B$2:B$1623,1,FALSE)),"Not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IF(ISNA(VLOOKUP(B108,Definitions!B$2:B$1623,1,FALSE)),"Not listed","")</f>
        <v/>
      </c>
      <c r="B110" s="2" t="inlineStr">
        <is>
          <t>flow_mass_rate</t>
        </is>
      </c>
      <c r="C110" s="4" t="inlineStr">
        <is>
          <t>//diggs:propertyClass</t>
        </is>
      </c>
      <c r="D110" s="21" t="inlineStr">
        <is>
          <t>ancestor::diggs:lugeonStepTimeSeries</t>
        </is>
      </c>
    </row>
    <row r="111" ht="17" customHeight="1">
      <c r="A111">
        <f>IF(ISNA(VLOOKUP(B109,Definitions!B$2:B$1623,1,FALSE)),"Not listed","")</f>
        <v/>
      </c>
      <c r="B111" s="2" t="inlineStr">
        <is>
          <t>flow_volume_rate</t>
        </is>
      </c>
      <c r="C111" s="4" t="inlineStr">
        <is>
          <t>//diggs:propertyClass</t>
        </is>
      </c>
      <c r="D111" s="21" t="inlineStr">
        <is>
          <t>ancestor::diggs:lugeonStepTimeSeries</t>
        </is>
      </c>
    </row>
    <row r="112">
      <c r="A112">
        <f>IF(ISNA(VLOOKUP([1]AssociatedElements!B286,Definitions!B$2:B$1623,1,FALSE)),"Not listed","")</f>
        <v/>
      </c>
      <c r="B112" s="2" t="inlineStr">
        <is>
          <t>free_swell_value</t>
        </is>
      </c>
      <c r="C112" s="4" t="inlineStr">
        <is>
          <t>//diggs:propertyClass</t>
        </is>
      </c>
      <c r="D112" s="21" t="inlineStr">
        <is>
          <t>ancestor::diggs:measurement//diggs:procedure/diggs:SwellOrCollapseTest</t>
        </is>
      </c>
    </row>
    <row r="113" ht="17" customHeight="1">
      <c r="A113">
        <f>IF(ISNA(VLOOKUP(B111,Definitions!B$2:B$1623,1,FALSE)),"Not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IF(ISNA(VLOOKUP(B112,Definitions!B$2:B$1623,1,FALSE)),"Not listed","")</f>
        <v/>
      </c>
      <c r="B114" t="inlineStr">
        <is>
          <t>friction_angle_cv</t>
        </is>
      </c>
      <c r="C114" s="4" t="inlineStr">
        <is>
          <t>//diggs:propertyClass</t>
        </is>
      </c>
      <c r="D114" s="21" t="inlineStr">
        <is>
          <t>ancestor::diggs:measurement//diggs:procedure/diggs:PressuremeterTest</t>
        </is>
      </c>
    </row>
    <row r="115">
      <c r="A115">
        <f>IF(ISNA(VLOOKUP(B113,Definitions!B$2:B$1623,1,FALSE)),"Not listed","")</f>
        <v/>
      </c>
      <c r="B115" t="inlineStr">
        <is>
          <t>friction_angle_cv</t>
        </is>
      </c>
      <c r="C115" t="inlineStr">
        <is>
          <t>//diggs:propertyClass</t>
        </is>
      </c>
      <c r="D115" t="inlineStr">
        <is>
          <t>ancestor::diggs:measurement//diggs:procedure/diggs:TriaxialTest</t>
        </is>
      </c>
    </row>
    <row r="116" ht="17" customHeight="1">
      <c r="A116">
        <f>IF(ISNA(VLOOKUP(B113,Definitions!B$2:B$1623,1,FALSE)),"Not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IF(ISNA(VLOOKUP(B114,Definitions!B$2:B$1623,1,FALSE)),"Not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IF(ISNA(VLOOKUP(B115,Definitions!B$2:B$1623,1,FALSE)),"Not listed","")</f>
        <v/>
      </c>
      <c r="B118" t="inlineStr">
        <is>
          <t>friction_angle_peak</t>
        </is>
      </c>
      <c r="C118" s="4" t="inlineStr">
        <is>
          <t>//diggs:propertyClass</t>
        </is>
      </c>
      <c r="D118" s="21" t="inlineStr">
        <is>
          <t>ancestor::diggs:measurement//diggs:procedure/diggs:TriaxialTest</t>
        </is>
      </c>
    </row>
    <row r="119">
      <c r="A119">
        <f>IF(ISNA(VLOOKUP(B117,Definitions!B$2:B$1623,1,FALSE)),"Not listed","")</f>
        <v/>
      </c>
      <c r="B119" s="26" t="inlineStr">
        <is>
          <t>friction_angle_residual</t>
        </is>
      </c>
      <c r="C119" s="21" t="inlineStr">
        <is>
          <t>//diggs:propertyClass</t>
        </is>
      </c>
      <c r="D119" s="21" t="inlineStr">
        <is>
          <t>ancestor::diggs:measurement//diggs:procedure/diggs:DirectShearTest</t>
        </is>
      </c>
    </row>
    <row r="120">
      <c r="A120">
        <f>IF(ISNA(VLOOKUP(B118,Definitions!B$2:B$1623,1,FALSE)),"Not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IF(ISNA(VLOOKUP(B119,Definitions!B$2:B$1623,1,FALSE)),"Not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IF(ISNA(VLOOKUP(B120,Definitions!B$2:B$1623,1,FALSE)),"Not listed","")</f>
        <v/>
      </c>
      <c r="B122" t="inlineStr">
        <is>
          <t>friction_angle_residual</t>
        </is>
      </c>
      <c r="C122" s="4" t="inlineStr">
        <is>
          <t>//diggs:propertyClass</t>
        </is>
      </c>
      <c r="D122" s="21" t="inlineStr">
        <is>
          <t>ancestor::diggs:measurement//diggs:procedure/diggs:TriaxialTest</t>
        </is>
      </c>
    </row>
    <row r="123">
      <c r="A123">
        <f>IF(ISNA(VLOOKUP(B121,Definitions!B$2:B$1623,1,FALSE)),"Not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IF(ISNA(VLOOKUP(B122,Definitions!B$2:B$1623,1,FALSE)),"Not listed","")</f>
        <v/>
      </c>
      <c r="B124" s="26" t="inlineStr">
        <is>
          <t>friction_ratio</t>
        </is>
      </c>
      <c r="C124" s="21" t="inlineStr">
        <is>
          <t>//diggs:propertyClass</t>
        </is>
      </c>
      <c r="D124" s="21" t="inlineStr">
        <is>
          <t>ancestor::diggs:measurement//diggs:procedure/diggs:StaticConePenetrationTest</t>
        </is>
      </c>
    </row>
    <row r="125">
      <c r="A125">
        <f>IF(ISNA(VLOOKUP(B123,Definitions!B$2:B$1623,1,FALSE)),"Not listed","")</f>
        <v/>
      </c>
      <c r="B125" t="inlineStr">
        <is>
          <t>frost_heave</t>
        </is>
      </c>
      <c r="C125" s="4" t="inlineStr">
        <is>
          <t>//diggs:propertyClass</t>
        </is>
      </c>
      <c r="D125" s="21" t="inlineStr">
        <is>
          <t>ancestor::diggs:measurement//diggs:procedure/diggs:FrostSusceptibilityTest</t>
        </is>
      </c>
    </row>
    <row r="126">
      <c r="A126">
        <f>IF(ISNA(VLOOKUP(B124,Definitions!B$2:B$1623,1,FALSE)),"Not listed","")</f>
        <v/>
      </c>
      <c r="B126" s="2" t="inlineStr">
        <is>
          <t>gauge_pressure</t>
        </is>
      </c>
      <c r="C126" s="4" t="inlineStr">
        <is>
          <t>//diggs:propertyClass</t>
        </is>
      </c>
      <c r="D126" s="21" t="inlineStr">
        <is>
          <t>ancestor::diggs:lugeonStepTimeSeries</t>
        </is>
      </c>
    </row>
    <row r="127" ht="17" customHeight="1">
      <c r="A127">
        <f>IF(ISNA(VLOOKUP(B125,Definitions!B$2:B$1623,1,FALSE)),"Not listed","")</f>
        <v/>
      </c>
      <c r="B127" t="inlineStr">
        <is>
          <t>gel_time</t>
        </is>
      </c>
      <c r="C127" s="4" t="inlineStr">
        <is>
          <t>//diggs:propertyClass</t>
        </is>
      </c>
      <c r="D127" s="21" t="inlineStr">
        <is>
          <t>ancestor::diggs:measurement//diggs:procedure/diggs:TiltCupTest</t>
        </is>
      </c>
    </row>
    <row r="128" ht="17" customHeight="1">
      <c r="A128">
        <f>IF(ISNA(VLOOKUP(B126,Definitions!B$2:B$1623,1,FALSE)),"Not listed","")</f>
        <v/>
      </c>
      <c r="B128" t="inlineStr">
        <is>
          <t>gel_time</t>
        </is>
      </c>
      <c r="C128" s="4" t="inlineStr">
        <is>
          <t>//diggs:propertyClass</t>
        </is>
      </c>
      <c r="D128" s="21" t="inlineStr">
        <is>
          <t>ancestor::diggs:measurement//diggs:procedure/diggs:ViscometerTest</t>
        </is>
      </c>
    </row>
    <row r="129" ht="17" customHeight="1">
      <c r="A129">
        <f>IF(ISNA(VLOOKUP(B127,Definitions!B$2:B$1623,1,FALSE)),"Not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IF(ISNA(VLOOKUP(B128,Definitions!B$2:B$1623,1,FALSE)),"Not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IF(ISNA(VLOOKUP(B129,Definitions!B$2:B$1623,1,FALSE)),"Not listed","")</f>
        <v/>
      </c>
      <c r="B131" s="26" t="inlineStr">
        <is>
          <t>inclination</t>
        </is>
      </c>
      <c r="C131" s="21" t="inlineStr">
        <is>
          <t>//diggs:propertyClass</t>
        </is>
      </c>
      <c r="D131" s="21" t="inlineStr">
        <is>
          <t>ancestor::diggs:measurement//diggs:procedure/diggs:StaticConePenetrationTest</t>
        </is>
      </c>
    </row>
    <row r="132">
      <c r="A132">
        <f>IF(ISNA(VLOOKUP(B130,Definitions!B$2:B$1623,1,FALSE)),"Not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IF(ISNA(VLOOKUP(B131,Definitions!B$2:B$1623,1,FALSE)),"Not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IF(ISNA(VLOOKUP(B132,Definitions!B$2:B$1623,1,FALSE)),"Not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IF(ISNA(VLOOKUP(B133,Definitions!B$2:B$1623,1,FALSE)),"Not listed","")</f>
        <v/>
      </c>
      <c r="B135" s="26" t="inlineStr">
        <is>
          <t>Is</t>
        </is>
      </c>
      <c r="C135" s="21" t="inlineStr">
        <is>
          <t>//diggs:propertyClass</t>
        </is>
      </c>
      <c r="D135" s="21" t="inlineStr">
        <is>
          <t>ancestor::diggs:measurement//diggs:procedure/diggs:PointLoadTest</t>
        </is>
      </c>
    </row>
    <row r="136">
      <c r="A136">
        <f>IF(ISNA(VLOOKUP(B134,Definitions!B$2:B$1623,1,FALSE)),"Not listed","")</f>
        <v/>
      </c>
      <c r="B136" s="26" t="inlineStr">
        <is>
          <t>Is50</t>
        </is>
      </c>
      <c r="C136" s="21" t="inlineStr">
        <is>
          <t>//diggs:propertyClass</t>
        </is>
      </c>
      <c r="D136" s="21" t="inlineStr">
        <is>
          <t>ancestor::diggs:measurement//diggs:procedure/diggs:PointLoadTest</t>
        </is>
      </c>
    </row>
    <row r="137">
      <c r="A137">
        <f>IF(ISNA(VLOOKUP(B135,Definitions!B$2:B$1623,1,FALSE)),"Not listed","")</f>
        <v/>
      </c>
      <c r="B137" s="26" t="inlineStr">
        <is>
          <t>LFFD</t>
        </is>
      </c>
      <c r="C137" s="21" t="inlineStr">
        <is>
          <t>//diggs:propertyClass</t>
        </is>
      </c>
      <c r="D137" s="21" t="inlineStr">
        <is>
          <t>ancestor::diggs:measurement//diggs:procedure/diggs:StaticConePenetrationTest</t>
        </is>
      </c>
    </row>
    <row r="138">
      <c r="A138">
        <f>IF(ISNA(VLOOKUP(B136,Definitions!B$2:B$1623,1,FALSE)),"Not listed","")</f>
        <v/>
      </c>
      <c r="B138" t="inlineStr">
        <is>
          <t>limit_pressure</t>
        </is>
      </c>
      <c r="C138" s="4" t="inlineStr">
        <is>
          <t>//diggs:propertyClass</t>
        </is>
      </c>
      <c r="D138" s="21" t="inlineStr">
        <is>
          <t>ancestor::diggs:measurement//diggs:procedure/diggs:PressuremeterTest</t>
        </is>
      </c>
    </row>
    <row r="139">
      <c r="A139">
        <f>IF(ISNA(VLOOKUP(B137,Definitions!B$2:B$1623,1,FALSE)),"Not listed","")</f>
        <v/>
      </c>
      <c r="B139" t="inlineStr">
        <is>
          <t>line_loss_coeff_A</t>
        </is>
      </c>
      <c r="C139" s="4" t="inlineStr">
        <is>
          <t>//diggs:propertyClass</t>
        </is>
      </c>
      <c r="D139" s="21" t="inlineStr">
        <is>
          <t>ancestor::diggs:measurement//diggs:procedure/diggs:LineLossTest</t>
        </is>
      </c>
    </row>
    <row r="140">
      <c r="A140">
        <f>IF(ISNA(VLOOKUP(B138,Definitions!B$2:B$1623,1,FALSE)),"Not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IF(ISNA(VLOOKUP(B139,Definitions!B$2:B$1623,1,FALSE)),"Not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IF(ISNA(VLOOKUP(B140,Definitions!B$2:B$1623,1,FALSE)),"Not listed","")</f>
        <v/>
      </c>
      <c r="B142" t="inlineStr">
        <is>
          <t>line_loss_r2</t>
        </is>
      </c>
      <c r="C142" s="4" t="inlineStr">
        <is>
          <t>//diggs:propertyClass</t>
        </is>
      </c>
      <c r="D142" s="21" t="inlineStr">
        <is>
          <t>ancestor::diggs:measurement//diggs:procedure/diggs:LineLossTest</t>
        </is>
      </c>
    </row>
    <row r="143" ht="17" customHeight="1">
      <c r="A143">
        <f>IF(ISNA(VLOOKUP(B141,Definitions!B$2:B$1623,1,FALSE)),"Not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IF(ISNA(VLOOKUP(B142,Definitions!B$2:B$1623,1,FALSE)),"Not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IF(ISNA(VLOOKUP(B143,Definitions!B$2:B$1623,1,FALSE)),"Not listed","")</f>
        <v/>
      </c>
      <c r="B145" s="26" t="inlineStr">
        <is>
          <t>liquidity_index</t>
        </is>
      </c>
      <c r="C145" s="21" t="inlineStr">
        <is>
          <t>//diggs:propertyClass</t>
        </is>
      </c>
      <c r="D145" s="21" t="inlineStr">
        <is>
          <t>ancestor::diggs:measurement//diggs:procedure/diggs:AtterbergLimitsTest</t>
        </is>
      </c>
    </row>
    <row r="146">
      <c r="A146">
        <f>IF(ISNA(VLOOKUP(B144,Definitions!B$2:B$1623,1,FALSE)),"Not listed","")</f>
        <v/>
      </c>
      <c r="B146" s="26" t="inlineStr">
        <is>
          <t>liquidity_index</t>
        </is>
      </c>
      <c r="C146" s="21" t="inlineStr">
        <is>
          <t>//diggs:propertyClass</t>
        </is>
      </c>
      <c r="D146" s="21" t="inlineStr">
        <is>
          <t>ancestor::diggs:measurement//diggs:procedure/diggs:WaterContentTest</t>
        </is>
      </c>
    </row>
    <row r="147">
      <c r="A147">
        <f>IF(ISNA(VLOOKUP(B145,Definitions!B$2:B$1623,1,FALSE)),"Not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IF(ISNA(VLOOKUP(B146,Definitions!B$2:B$1623,1,FALSE)),"Not listed","")</f>
        <v/>
      </c>
      <c r="B148" t="inlineStr">
        <is>
          <t>lugeon_value</t>
        </is>
      </c>
      <c r="C148" s="4" t="inlineStr">
        <is>
          <t>//diggs:propertyClass</t>
        </is>
      </c>
      <c r="D148" s="21" t="inlineStr">
        <is>
          <t>ancestor::diggs:measurement//diggs:procedure/diggs:LugeonTest</t>
        </is>
      </c>
    </row>
    <row r="149" ht="17" customHeight="1">
      <c r="A149">
        <f>IF(ISNA(VLOOKUP(B147,Definitions!B$2:B$1623,1,FALSE)),"Not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IF(ISNA(VLOOKUP(B148,Definitions!B$2:B$1623,1,FALSE)),"Not listed","")</f>
        <v/>
      </c>
      <c r="B150" s="2" t="inlineStr">
        <is>
          <t>mass</t>
        </is>
      </c>
      <c r="C150" s="4" t="inlineStr">
        <is>
          <t>//diggs:propertyClass</t>
        </is>
      </c>
      <c r="D150" s="21" t="inlineStr">
        <is>
          <t>ancestor::diggs:syneresisTimeSeries</t>
        </is>
      </c>
    </row>
    <row r="151">
      <c r="A151">
        <f>IF(ISNA(VLOOKUP(B149,Definitions!B$2:B$1623,1,FALSE)),"Not listed","")</f>
        <v/>
      </c>
      <c r="B151" s="2" t="inlineStr">
        <is>
          <t>mass_loss</t>
        </is>
      </c>
      <c r="C151" s="4" t="inlineStr">
        <is>
          <t>//diggs:propertyClass</t>
        </is>
      </c>
      <c r="D151" s="21" t="inlineStr">
        <is>
          <t>ancestor::diggs:syneresisTimeSeries</t>
        </is>
      </c>
    </row>
    <row r="152" ht="17" customHeight="1">
      <c r="A152">
        <f>IF(ISNA(VLOOKUP(B150,Definitions!B$2:B$1623,1,FALSE)),"Not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IF(ISNA(VLOOKUP(B151,Definitions!B$2:B$1623,1,FALSE)),"Not listed","")</f>
        <v/>
      </c>
      <c r="B153" t="inlineStr">
        <is>
          <t>mcv</t>
        </is>
      </c>
      <c r="C153" s="4" t="inlineStr">
        <is>
          <t>//diggs:propertyClass</t>
        </is>
      </c>
      <c r="D153" s="21" t="inlineStr">
        <is>
          <t>ancestor::diggs:measurement//diggs:procedure/diggs:MCVTest</t>
        </is>
      </c>
    </row>
    <row r="154">
      <c r="A154">
        <f>IF(ISNA(VLOOKUP(B152,Definitions!B$2:B$1623,1,FALSE)),"Not listed","")</f>
        <v/>
      </c>
      <c r="B154" s="2" t="inlineStr">
        <is>
          <t>mean_micro_deval_dry</t>
        </is>
      </c>
      <c r="C154" s="4" t="inlineStr">
        <is>
          <t>//diggs:propertyClass</t>
        </is>
      </c>
      <c r="D154" s="21" t="inlineStr">
        <is>
          <t>ancestor::diggs:measurement//diggs:procedure/diggs:MicroDevalTest</t>
        </is>
      </c>
    </row>
    <row r="155" ht="17" customHeight="1">
      <c r="A155">
        <f>IF(ISNA(VLOOKUP(B153,Definitions!B$2:B$1623,1,FALSE)),"Not listed","")</f>
        <v/>
      </c>
      <c r="B155" s="2" t="inlineStr">
        <is>
          <t>mean_micro_deval_wet</t>
        </is>
      </c>
      <c r="C155" s="4" t="inlineStr">
        <is>
          <t>//diggs:propertyClass</t>
        </is>
      </c>
      <c r="D155" s="21" t="inlineStr">
        <is>
          <t>ancestor::diggs:measurement//diggs:procedure/diggs:MicroDevalTest</t>
        </is>
      </c>
    </row>
    <row r="156" ht="17" customHeight="1">
      <c r="A156">
        <f>IF(ISNA(VLOOKUP(B154,Definitions!B$2:B$1623,1,FALSE)),"Not listed","")</f>
        <v/>
      </c>
      <c r="B156" t="inlineStr">
        <is>
          <t>menard_modulus</t>
        </is>
      </c>
      <c r="C156" t="inlineStr">
        <is>
          <t>//diggs:propertyClass</t>
        </is>
      </c>
      <c r="D156" t="inlineStr">
        <is>
          <t>ancestor::diggs:measurement//diggs:procedure/diggs:PressuremeterTest</t>
        </is>
      </c>
    </row>
    <row r="157">
      <c r="A157">
        <f>IF(ISNA(VLOOKUP(B154,Definitions!B$2:B$1623,1,FALSE)),"Not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IF(ISNA(VLOOKUP(B155,Definitions!B$2:B$1623,1,FALSE)),"Not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IF(ISNA(VLOOKUP(B156,Definitions!B$2:B$1623,1,FALSE)),"Not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IF(ISNA(VLOOKUP(B157,Definitions!B$2:B$1623,1,FALSE)),"Not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IF(ISNA(VLOOKUP(B158,Definitions!B$2:B$1623,1,FALSE)),"Not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IF(ISNA(VLOOKUP(B159,Definitions!B$2:B$1623,1,FALSE)),"Not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IF(ISNA(VLOOKUP(B160,Definitions!B$2:B$1623,1,FALSE)),"Not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IF(ISNA(VLOOKUP(B161,Definitions!B$2:B$1623,1,FALSE)),"Not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IF(ISNA(VLOOKUP(B162,Definitions!B$2:B$1623,1,FALSE)),"Not listed","")</f>
        <v/>
      </c>
      <c r="B165" s="26" t="inlineStr">
        <is>
          <t>ocr</t>
        </is>
      </c>
      <c r="C165" s="21" t="inlineStr">
        <is>
          <t>//diggs:propertyClass</t>
        </is>
      </c>
      <c r="D165" s="21" t="inlineStr">
        <is>
          <t>ancestor::diggs:measurement//diggs:procedure/diggs:ConsolidationTest</t>
        </is>
      </c>
    </row>
    <row r="166" ht="17" customHeight="1">
      <c r="A166">
        <f>IF(ISNA(VLOOKUP(B163,Definitions!B$2:B$1623,1,FALSE)),"Not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IF(ISNA(VLOOKUP(B164,Definitions!B$2:B$1623,1,FALSE)),"Not listed","")</f>
        <v/>
      </c>
      <c r="B167" s="2" t="inlineStr">
        <is>
          <t>p_wave_velocity</t>
        </is>
      </c>
      <c r="C167" s="4" t="inlineStr">
        <is>
          <t>//diggs:propertyClass</t>
        </is>
      </c>
      <c r="D167" s="21" t="inlineStr">
        <is>
          <t>ancestor::diggs:measurement//diggs:procedure/diggs:LabVelocityTest</t>
        </is>
      </c>
    </row>
    <row r="168" ht="17" customHeight="1">
      <c r="A168">
        <f>IF(ISNA(VLOOKUP(B165,Definitions!B$2:B$1623,1,FALSE)),"Not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IF(ISNA(VLOOKUP(B166,Definitions!B$2:B$1623,1,FALSE)),"Not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IF(ISNA(VLOOKUP(B167,Definitions!B$2:B$1623,1,FALSE)),"Not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IF(ISNA(VLOOKUP(B168,Definitions!B$2:B$1623,1,FALSE)),"Not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IF(ISNA(VLOOKUP(B169,Definitions!B$2:B$1623,1,FALSE)),"Not listed","")</f>
        <v/>
      </c>
      <c r="B172" s="2" t="inlineStr">
        <is>
          <t>percent_cobbles</t>
        </is>
      </c>
      <c r="C172" s="4" t="inlineStr">
        <is>
          <t>//diggs:propertyClass</t>
        </is>
      </c>
      <c r="D172" s="21" t="inlineStr">
        <is>
          <t>ancestor::diggs:measurement//diggs:procedure/diggs:MaterialGradationTest</t>
        </is>
      </c>
    </row>
    <row r="173" ht="17" customHeight="1">
      <c r="A173">
        <f>IF(ISNA(VLOOKUP(B170,Definitions!B$2:B$1623,1,FALSE)),"Not listed","")</f>
        <v/>
      </c>
      <c r="B173" s="2" t="inlineStr">
        <is>
          <t>percent_cobbles</t>
        </is>
      </c>
      <c r="C173" s="4" t="inlineStr">
        <is>
          <t>//diggs:propertyClass</t>
        </is>
      </c>
      <c r="D173" s="21" t="inlineStr">
        <is>
          <t>ancestor::diggs:measurement//diggs:procedure/diggs:ParticleSizeTest</t>
        </is>
      </c>
    </row>
    <row r="174" ht="17" customHeight="1">
      <c r="A174">
        <f>IF(ISNA(VLOOKUP(B171,Definitions!B$2:B$1623,1,FALSE)),"Not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IF(ISNA(VLOOKUP(B172,Definitions!B$2:B$1623,1,FALSE)),"Not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IF(ISNA(VLOOKUP(B173,Definitions!B$2:B$1623,1,FALSE)),"Not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IF(ISNA(VLOOKUP(B174,Definitions!B$2:B$1623,1,FALSE)),"Not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IF(ISNA(VLOOKUP(B175,Definitions!B$2:B$1623,1,FALSE)),"Not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IF(ISNA(VLOOKUP(B176,Definitions!B$2:B$1623,1,FALSE)),"Not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IF(ISNA(VLOOKUP(B177,Definitions!B$2:B$1623,1,FALSE)),"Not listed","")</f>
        <v/>
      </c>
      <c r="B180" s="2" t="inlineStr">
        <is>
          <t>percent_silt</t>
        </is>
      </c>
      <c r="C180" s="4" t="inlineStr">
        <is>
          <t>//diggs:propertyClass</t>
        </is>
      </c>
      <c r="D180" s="21" t="inlineStr">
        <is>
          <t>ancestor::diggs:measurement//diggs:procedure/diggs:MaterialGradationTest</t>
        </is>
      </c>
    </row>
    <row r="181" ht="17" customHeight="1">
      <c r="A181">
        <f>IF(ISNA(VLOOKUP(B178,Definitions!B$2:B$1623,1,FALSE)),"Not listed","")</f>
        <v/>
      </c>
      <c r="B181" s="2" t="inlineStr">
        <is>
          <t>percent_silt</t>
        </is>
      </c>
      <c r="C181" s="4" t="inlineStr">
        <is>
          <t>//diggs:propertyClass</t>
        </is>
      </c>
      <c r="D181" s="21" t="inlineStr">
        <is>
          <t>ancestor::diggs:measurement//diggs:procedure/diggs:ParticleSizeTest</t>
        </is>
      </c>
    </row>
    <row r="182" ht="17" customHeight="1">
      <c r="A182">
        <f>IF(ISNA(VLOOKUP(B179,Definitions!B$2:B$1623,1,FALSE)),"Not listed","")</f>
        <v/>
      </c>
      <c r="B182" s="26" t="inlineStr">
        <is>
          <t>pH</t>
        </is>
      </c>
      <c r="C182" s="21" t="inlineStr">
        <is>
          <t>//diggs:propertyClass</t>
        </is>
      </c>
      <c r="D182" s="21" t="inlineStr">
        <is>
          <t>ancestor::diggs:measurement//diggs:procedure/diggs:LabChemicalTest</t>
        </is>
      </c>
    </row>
    <row r="183" ht="17" customHeight="1">
      <c r="A183">
        <f>IF(ISNA(VLOOKUP(B180,Definitions!B$2:B$1623,1,FALSE)),"Not listed","")</f>
        <v/>
      </c>
      <c r="B183" s="26" t="inlineStr">
        <is>
          <t>pH</t>
        </is>
      </c>
      <c r="C183" s="21" t="inlineStr">
        <is>
          <t>//diggs:propertyClass</t>
        </is>
      </c>
      <c r="D183" s="21" t="inlineStr">
        <is>
          <t>ancestor::diggs:measurement//diggs:procedure/diggs:RedoxTest</t>
        </is>
      </c>
    </row>
    <row r="184" ht="17" customHeight="1">
      <c r="A184">
        <f>IF(ISNA(VLOOKUP(B181,Definitions!B$2:B$1623,1,FALSE)),"Not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IF(ISNA(VLOOKUP(B182,Definitions!B$2:B$1623,1,FALSE)),"Not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IF(ISNA(VLOOKUP(B183,Definitions!B$2:B$1623,1,FALSE)),"Not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IF(ISNA(VLOOKUP(B184,Definitions!B$2:B$1623,1,FALSE)),"Not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IF(ISNA(VLOOKUP(B185,Definitions!B$2:B$1623,1,FALSE)),"Not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IF(ISNA(VLOOKUP(B186,Definitions!B$2:B$1623,1,FALSE)),"Not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IF(ISNA(VLOOKUP(B187,Definitions!B$2:B$1623,1,FALSE)),"Not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IF(ISNA(VLOOKUP(B188,Definitions!B$2:B$1623,1,FALSE)),"Not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IF(ISNA(VLOOKUP(B189,Definitions!B$2:B$1623,1,FALSE)),"Not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IF(ISNA(VLOOKUP(B190,Definitions!B$2:B$1623,1,FALSE)),"Not listed","")</f>
        <v/>
      </c>
      <c r="B193" s="2" t="inlineStr">
        <is>
          <t>pore_pressure_u1</t>
        </is>
      </c>
      <c r="C193" s="4" t="inlineStr">
        <is>
          <t>//diggs:propertyClass</t>
        </is>
      </c>
      <c r="D193" s="21" t="inlineStr">
        <is>
          <t>ancestor::diggs:dissipationTimeSeries</t>
        </is>
      </c>
    </row>
    <row r="194" ht="17" customHeight="1">
      <c r="A194">
        <f>IF(ISNA(VLOOKUP(B191,Definitions!B$2:B$1623,1,FALSE)),"Not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IF(ISNA(VLOOKUP(B192,Definitions!B$2:B$1623,1,FALSE)),"Not listed","")</f>
        <v/>
      </c>
      <c r="B195" s="2" t="inlineStr">
        <is>
          <t>pore_pressure_u2</t>
        </is>
      </c>
      <c r="C195" s="4" t="inlineStr">
        <is>
          <t>//diggs:propertyClass</t>
        </is>
      </c>
      <c r="D195" s="21" t="inlineStr">
        <is>
          <t>ancestor::diggs:dissipationTimeSeries</t>
        </is>
      </c>
    </row>
    <row r="196" ht="17" customHeight="1">
      <c r="A196">
        <f>IF(ISNA(VLOOKUP(B193,Definitions!B$2:B$1623,1,FALSE)),"Not listed","")</f>
        <v/>
      </c>
      <c r="B196" s="26" t="inlineStr">
        <is>
          <t>pore_pressure_u2</t>
        </is>
      </c>
      <c r="C196" s="21" t="inlineStr">
        <is>
          <t>//diggs:propertyClass</t>
        </is>
      </c>
      <c r="D196" s="21" t="inlineStr">
        <is>
          <t>ancestor::diggs:measurement//diggs:procedure/diggs:StaticConePenetrationTest</t>
        </is>
      </c>
    </row>
    <row r="197">
      <c r="A197">
        <f>IF(ISNA(VLOOKUP(B194,Definitions!B$2:B$1623,1,FALSE)),"Not listed","")</f>
        <v/>
      </c>
      <c r="B197" s="2" t="inlineStr">
        <is>
          <t>pore_pressure_u3</t>
        </is>
      </c>
      <c r="C197" s="4" t="inlineStr">
        <is>
          <t>//diggs:propertyClass</t>
        </is>
      </c>
      <c r="D197" s="21" t="inlineStr">
        <is>
          <t>ancestor::diggs:dissipationTimeSeries</t>
        </is>
      </c>
    </row>
    <row r="198" ht="17" customHeight="1">
      <c r="A198">
        <f>IF(ISNA(VLOOKUP(B195,Definitions!B$2:B$1623,1,FALSE)),"Not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IF(ISNA(VLOOKUP(B196,Definitions!B$2:B$1623,1,FALSE)),"Not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IF(ISNA(VLOOKUP(B197,Definitions!B$2:B$1623,1,FALSE)),"Not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IF(ISNA(VLOOKUP([1]AssociatedElements!B293,Definitions!B$2:B$1623,1,FALSE)),"Not listed","")</f>
        <v/>
      </c>
      <c r="B201" s="2" t="inlineStr">
        <is>
          <t>pumping_rate</t>
        </is>
      </c>
      <c r="C201" s="4" t="inlineStr">
        <is>
          <t>//diggs:propertyClass</t>
        </is>
      </c>
      <c r="D201" s="21" t="inlineStr">
        <is>
          <t>ancestor::diggs:measurement//diggs:procedure/diggs:PumpingTest</t>
        </is>
      </c>
    </row>
    <row r="202">
      <c r="A202">
        <f>IF(ISNA(VLOOKUP(B199,Definitions!B$2:B$1623,1,FALSE)),"Not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IF(ISNA(VLOOKUP(B200,Definitions!B$2:B$1623,1,FALSE)),"Not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IF(ISNA(VLOOKUP(B201,Definitions!B$2:B$1623,1,FALSE)),"Not listed","")</f>
        <v/>
      </c>
      <c r="B204" s="26" t="inlineStr">
        <is>
          <t>relative_density</t>
        </is>
      </c>
      <c r="C204" s="21" t="inlineStr">
        <is>
          <t>//diggs:propertyClass</t>
        </is>
      </c>
      <c r="D204" s="21" t="inlineStr">
        <is>
          <t>ancestor::diggs:measurement//diggs:procedure/diggs:DrivenPenetrationTest</t>
        </is>
      </c>
    </row>
    <row r="205">
      <c r="A205">
        <f>IF(ISNA(VLOOKUP(B202,Definitions!B$2:B$1623,1,FALSE)),"Not listed","")</f>
        <v/>
      </c>
      <c r="B205" t="inlineStr">
        <is>
          <t>relative_density</t>
        </is>
      </c>
      <c r="C205" s="4" t="inlineStr">
        <is>
          <t>//diggs:propertyClass</t>
        </is>
      </c>
      <c r="D205" s="21" t="inlineStr">
        <is>
          <t>ancestor::diggs:measurement//diggs:procedure/diggs:RelativeDensityTest</t>
        </is>
      </c>
    </row>
    <row r="206">
      <c r="A206">
        <f>IF(ISNA(VLOOKUP(B203,Definitions!B$2:B$1623,1,FALSE)),"Not listed","")</f>
        <v/>
      </c>
      <c r="B206" s="2" t="inlineStr">
        <is>
          <t>resistivity</t>
        </is>
      </c>
      <c r="C206" s="4" t="inlineStr">
        <is>
          <t>//diggs:propertyClass</t>
        </is>
      </c>
      <c r="D206" s="21" t="inlineStr">
        <is>
          <t>ancestor::diggs:measurement//diggs:procedure/diggs:InSituResistivityTest</t>
        </is>
      </c>
    </row>
    <row r="207" ht="17" customHeight="1">
      <c r="A207">
        <f>IF(ISNA(VLOOKUP(B204,Definitions!B$2:B$1623,1,FALSE)),"Not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IF(ISNA(VLOOKUP(B205,Definitions!B$2:B$1623,1,FALSE)),"Not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IF(ISNA(VLOOKUP(B206,Definitions!B$2:B$1623,1,FALSE)),"Not listed","")</f>
        <v/>
      </c>
      <c r="B209" t="inlineStr">
        <is>
          <t>schmidt_hardness_value</t>
        </is>
      </c>
      <c r="C209" s="4" t="inlineStr">
        <is>
          <t>//diggs:propertyClass</t>
        </is>
      </c>
      <c r="D209" s="21" t="inlineStr">
        <is>
          <t>ancestor::diggs:measurement//diggs:procedure/diggs:SchmidtReboundHardnessTest</t>
        </is>
      </c>
    </row>
    <row r="210">
      <c r="A210">
        <f>IF(ISNA(VLOOKUP(B207,Definitions!B$2:B$1623,1,FALSE)),"Not listed","")</f>
        <v/>
      </c>
      <c r="B210" s="26" t="inlineStr">
        <is>
          <t>sensitivity</t>
        </is>
      </c>
      <c r="C210" s="21" t="inlineStr">
        <is>
          <t>//diggs:propertyClass</t>
        </is>
      </c>
      <c r="D210" s="21" t="inlineStr">
        <is>
          <t>ancestor::diggs:measurement//diggs:procedure/diggs:InsituVaneTest</t>
        </is>
      </c>
    </row>
    <row r="211">
      <c r="A211">
        <f>IF(ISNA(VLOOKUP(B208,Definitions!B$2:B$1623,1,FALSE)),"Not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IF(ISNA(VLOOKUP(B209,Definitions!B$2:B$1623,1,FALSE)),"Not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IF(ISNA(VLOOKUP(B210,Definitions!B$2:B$1623,1,FALSE)),"Not listed","")</f>
        <v/>
      </c>
      <c r="B213" t="inlineStr">
        <is>
          <t>set_time</t>
        </is>
      </c>
      <c r="C213" s="4" t="inlineStr">
        <is>
          <t>//diggs:propertyClass</t>
        </is>
      </c>
      <c r="D213" s="21" t="inlineStr">
        <is>
          <t>ancestor::diggs:measurement//diggs:procedure/diggs:SetTimeTest</t>
        </is>
      </c>
    </row>
    <row r="214">
      <c r="A214">
        <f>IF(ISNA(VLOOKUP(B211,Definitions!B$2:B$1623,1,FALSE)),"Not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IF(ISNA(VLOOKUP(B212,Definitions!B$2:B$1623,1,FALSE)),"Not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IF(ISNA(VLOOKUP(B213,Definitions!B$2:B$1623,1,FALSE)),"Not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IF(ISNA(VLOOKUP(B214,Definitions!B$2:B$1623,1,FALSE)),"Not listed","")</f>
        <v/>
      </c>
      <c r="B217" t="inlineStr">
        <is>
          <t>shear_strength_drained</t>
        </is>
      </c>
      <c r="C217" s="4" t="inlineStr">
        <is>
          <t>//diggs:propertyClass</t>
        </is>
      </c>
      <c r="D217" s="21" t="inlineStr">
        <is>
          <t>ancestor::diggs:measurement//diggs:procedure/diggs:TriaxialTest</t>
        </is>
      </c>
    </row>
    <row r="218">
      <c r="A218">
        <f>IF(ISNA(VLOOKUP(B216,Definitions!B$2:B$1623,1,FALSE)),"Not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IF(ISNA(VLOOKUP(B217,Definitions!B$2:B$1623,1,FALSE)),"Not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IF(ISNA(VLOOKUP(B218,Definitions!B$2:B$1623,1,FALSE)),"Not listed","")</f>
        <v/>
      </c>
      <c r="B220" t="inlineStr">
        <is>
          <t>shear_strength_undrained</t>
        </is>
      </c>
      <c r="C220" s="4" t="inlineStr">
        <is>
          <t>//diggs:propertyClass</t>
        </is>
      </c>
      <c r="D220" s="21" t="inlineStr">
        <is>
          <t>ancestor::diggs:measurement//diggs:procedure/diggs:LabPenetrometerTest</t>
        </is>
      </c>
    </row>
    <row r="221">
      <c r="A221">
        <f>IF(ISNA(VLOOKUP(B219,Definitions!B$2:B$1623,1,FALSE)),"Not listed","")</f>
        <v/>
      </c>
      <c r="B221" s="26" t="inlineStr">
        <is>
          <t>shear_strength_undrained</t>
        </is>
      </c>
      <c r="C221" s="21" t="inlineStr">
        <is>
          <t>//diggs:propertyClass</t>
        </is>
      </c>
      <c r="D221" s="21" t="inlineStr">
        <is>
          <t>ancestor::diggs:measurement//diggs:procedure/diggs:LabVaneTest</t>
        </is>
      </c>
    </row>
    <row r="222">
      <c r="A222">
        <f>IF(ISNA(VLOOKUP(B220,Definitions!B$2:B$1623,1,FALSE)),"Not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IF(ISNA(VLOOKUP(B221,Definitions!B$2:B$1623,1,FALSE)),"Not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IF(ISNA(VLOOKUP(B222,Definitions!B$2:B$1623,1,FALSE)),"Not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IF(ISNA(VLOOKUP(B223,Definitions!B$2:B$1623,1,FALSE)),"Not listed","")</f>
        <v/>
      </c>
      <c r="B225" s="26" t="inlineStr">
        <is>
          <t>shear_strength_undrained</t>
        </is>
      </c>
      <c r="C225" s="21" t="inlineStr">
        <is>
          <t>//diggs:propertyClass</t>
        </is>
      </c>
      <c r="D225" s="21" t="inlineStr">
        <is>
          <t>ancestor::diggs:measurement//diggs:procedure/diggs:TriaxialTest</t>
        </is>
      </c>
    </row>
    <row r="226">
      <c r="A226">
        <f>IF(ISNA(VLOOKUP(B224,Definitions!B$2:B$1623,1,FALSE)),"Not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IF(ISNA(VLOOKUP(B225,Definitions!B$2:B$1623,1,FALSE)),"Not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IF(ISNA(VLOOKUP(B226,Definitions!B$2:B$1623,1,FALSE)),"Not listed","")</f>
        <v/>
      </c>
      <c r="B228" t="inlineStr">
        <is>
          <t>shear_strength_undrained_residual</t>
        </is>
      </c>
      <c r="C228" s="4" t="inlineStr">
        <is>
          <t>//diggs:propertyClass</t>
        </is>
      </c>
      <c r="D228" s="21" t="inlineStr">
        <is>
          <t>ancestor::diggs:measurement//diggs:procedure/diggs:LabPenetrometerTest</t>
        </is>
      </c>
    </row>
    <row r="229">
      <c r="A229">
        <f>IF(ISNA(VLOOKUP(B227,Definitions!B$2:B$1623,1,FALSE)),"Not listed","")</f>
        <v/>
      </c>
      <c r="B229" s="26" t="inlineStr">
        <is>
          <t>shear_strength_undrained_residual</t>
        </is>
      </c>
      <c r="C229" s="21" t="inlineStr">
        <is>
          <t>//diggs:propertyClass</t>
        </is>
      </c>
      <c r="D229" s="21" t="inlineStr">
        <is>
          <t>ancestor::diggs:measurement//diggs:procedure/diggs:LabVaneTest</t>
        </is>
      </c>
    </row>
    <row r="230">
      <c r="A230">
        <f>IF(ISNA(VLOOKUP(B228,Definitions!B$2:B$1623,1,FALSE)),"Not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IF(ISNA(VLOOKUP(B229,Definitions!B$2:B$1623,1,FALSE)),"Not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IF(ISNA(VLOOKUP(B230,Definitions!B$2:B$1623,1,FALSE)),"Not listed","")</f>
        <v/>
      </c>
      <c r="B232" t="inlineStr">
        <is>
          <t>shear_strength_undrained_residual</t>
        </is>
      </c>
      <c r="C232" s="4" t="inlineStr">
        <is>
          <t>//diggs:propertyClass</t>
        </is>
      </c>
      <c r="D232" s="21" t="inlineStr">
        <is>
          <t>ancestor::diggs:measurement//diggs:procedure/diggs:TriaxialTest</t>
        </is>
      </c>
    </row>
    <row r="233">
      <c r="A233">
        <f>IF(ISNA(VLOOKUP(B231,Definitions!B$2:B$1623,1,FALSE)),"Not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IF(ISNA(VLOOKUP(B232,Definitions!B$2:B$1623,1,FALSE)),"Not listed","")</f>
        <v/>
      </c>
      <c r="B234" s="2" t="inlineStr">
        <is>
          <t>shear_velocity</t>
        </is>
      </c>
      <c r="C234" s="4" t="inlineStr">
        <is>
          <t>//diggs:propertyClass</t>
        </is>
      </c>
      <c r="D234" s="21" t="inlineStr">
        <is>
          <t>ancestor::diggs:measurement//diggs:procedure/diggs:LabVelocityTest</t>
        </is>
      </c>
    </row>
    <row r="235">
      <c r="A235">
        <f>IF(ISNA(VLOOKUP(B233,Definitions!B$2:B$1623,1,FALSE)),"Not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IF(ISNA(VLOOKUP(B234,Definitions!B$2:B$1623,1,FALSE)),"Not listed","")</f>
        <v/>
      </c>
      <c r="B236" s="2" t="inlineStr">
        <is>
          <t>shrinkage</t>
        </is>
      </c>
      <c r="C236" s="4" t="inlineStr">
        <is>
          <t>//diggs:propertyClass</t>
        </is>
      </c>
      <c r="D236" s="21" t="inlineStr">
        <is>
          <t>ancestor::diggs:measurement//diggs:procedure/diggs:LinearShrinkageTest</t>
        </is>
      </c>
    </row>
    <row r="237" ht="17" customHeight="1">
      <c r="A237">
        <f>IF(ISNA(VLOOKUP(B235,Definitions!B$2:B$1623,1,FALSE)),"Not listed","")</f>
        <v/>
      </c>
      <c r="B237" t="inlineStr">
        <is>
          <t>shrinkage</t>
        </is>
      </c>
      <c r="C237" s="4" t="inlineStr">
        <is>
          <t>//diggs:propertyClass</t>
        </is>
      </c>
      <c r="D237" s="21" t="inlineStr">
        <is>
          <t>ancestor::diggs:measurement//diggs:procedure/diggs:ShrinkageTest</t>
        </is>
      </c>
    </row>
    <row r="238">
      <c r="A238">
        <f>IF(ISNA(VLOOKUP(B236,Definitions!B$2:B$1623,1,FALSE)),"Not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IF(ISNA(VLOOKUP(B237,Definitions!B$2:B$1623,1,FALSE)),"Not listed","")</f>
        <v/>
      </c>
      <c r="B239" s="26" t="inlineStr">
        <is>
          <t>shrinkage_ratio</t>
        </is>
      </c>
      <c r="C239" s="21" t="inlineStr">
        <is>
          <t>//diggs:propertyClass</t>
        </is>
      </c>
      <c r="D239" s="21" t="inlineStr">
        <is>
          <t>ancestor::diggs:measurement//diggs:procedure/diggs:AtterbergLimitsTest</t>
        </is>
      </c>
    </row>
    <row r="240">
      <c r="A240">
        <f>IF(ISNA(VLOOKUP(B238,Definitions!B$2:B$1623,1,FALSE)),"Not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IF(ISNA(VLOOKUP(B239,Definitions!B$2:B$1623,1,FALSE)),"Not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IF(ISNA(VLOOKUP(B240,Definitions!B$2:B$1623,1,FALSE)),"Not listed","")</f>
        <v/>
      </c>
      <c r="B242" t="inlineStr">
        <is>
          <t>slump</t>
        </is>
      </c>
      <c r="C242" s="4" t="inlineStr">
        <is>
          <t>//diggs:propertyClass</t>
        </is>
      </c>
      <c r="D242" s="21" t="inlineStr">
        <is>
          <t>ancestor::diggs:measurement//diggs:procedure/diggs:SlumpTest</t>
        </is>
      </c>
    </row>
    <row r="243" ht="17" customHeight="1">
      <c r="A243">
        <f>IF(ISNA(VLOOKUP(B241,Definitions!B$2:B$1623,1,FALSE)),"Not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IF(ISNA(VLOOKUP(B242,Definitions!B$2:B$1623,1,FALSE)),"Not listed","")</f>
        <v/>
      </c>
      <c r="B244" t="inlineStr">
        <is>
          <t>soil_suction</t>
        </is>
      </c>
      <c r="C244" s="4" t="inlineStr">
        <is>
          <t>//diggs:propertyClass</t>
        </is>
      </c>
      <c r="D244" s="21" t="inlineStr">
        <is>
          <t>ancestor::diggs:measurement//diggs:procedure/diggs:SuctionTest</t>
        </is>
      </c>
    </row>
    <row r="245" ht="17" customHeight="1">
      <c r="A245">
        <f>IF(ISNA(VLOOKUP(B243,Definitions!B$2:B$1623,1,FALSE)),"Not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IF(ISNA(VLOOKUP(B244,Definitions!B$2:B$1623,1,FALSE)),"Not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IF(ISNA(VLOOKUP(B245,Definitions!B$2:B$1623,1,FALSE)),"Not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IF(ISNA(VLOOKUP(B246,Definitions!B$2:B$1623,1,FALSE)),"Not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IF(ISNA(VLOOKUP([1]AssociatedElements!B231,Definitions!B$2:B$1623,1,FALSE)),"Not listed","")</f>
        <v/>
      </c>
      <c r="B249" s="26" t="inlineStr">
        <is>
          <t>specific_gravity_solids</t>
        </is>
      </c>
      <c r="C249" s="21" t="inlineStr">
        <is>
          <t>//diggs:propertyClass</t>
        </is>
      </c>
      <c r="D249" s="21" t="inlineStr">
        <is>
          <t>ancestor::diggs:measurement//diggs:procedure/diggs:SpecificGravityTest</t>
        </is>
      </c>
    </row>
    <row r="250">
      <c r="A250">
        <f>IF(ISNA(VLOOKUP(B248,Definitions!B$2:B$1623,1,FALSE)),"Not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IF(ISNA(VLOOKUP([1]AssociatedElements!B287,Definitions!B$2:B$1623,1,FALSE)),"Not listed","")</f>
        <v/>
      </c>
      <c r="B251" s="2" t="inlineStr">
        <is>
          <t>swell_pressure</t>
        </is>
      </c>
      <c r="C251" s="4" t="inlineStr">
        <is>
          <t>//diggs:propertyClass</t>
        </is>
      </c>
      <c r="D251" s="21" t="inlineStr">
        <is>
          <t>ancestor::diggs:measurement//diggs:procedure/diggs:SwellOrCollapseTest</t>
        </is>
      </c>
    </row>
    <row r="252">
      <c r="A252">
        <f>IF(ISNA(VLOOKUP(B250,Definitions!B$2:B$1623,1,FALSE)),"Not listed","")</f>
        <v/>
      </c>
      <c r="B252" t="inlineStr">
        <is>
          <t>syneresis</t>
        </is>
      </c>
      <c r="C252" s="4" t="inlineStr">
        <is>
          <t>//diggs:propertyClass</t>
        </is>
      </c>
      <c r="D252" s="21" t="inlineStr">
        <is>
          <t>ancestor::diggs:measurement//diggs:procedure/diggs:SyneresisTest</t>
        </is>
      </c>
    </row>
    <row r="253" ht="17" customHeight="1">
      <c r="A253">
        <f>IF(ISNA(VLOOKUP(B251,Definitions!B$2:B$1623,1,FALSE)),"Not listed","")</f>
        <v/>
      </c>
      <c r="B253" s="2" t="inlineStr">
        <is>
          <t>syneresis</t>
        </is>
      </c>
      <c r="C253" s="4" t="inlineStr">
        <is>
          <t>//diggs:propertyClass</t>
        </is>
      </c>
      <c r="D253" s="21" t="inlineStr">
        <is>
          <t>ancestor::diggs:syneresisTimeSeries</t>
        </is>
      </c>
    </row>
    <row r="254" ht="17" customHeight="1">
      <c r="A254">
        <f>IF(ISNA(VLOOKUP(B252,Definitions!B$2:B$1623,1,FALSE)),"Not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IF(ISNA(VLOOKUP(B253,Definitions!B$2:B$1623,1,FALSE)),"Not listed","")</f>
        <v/>
      </c>
      <c r="B255" s="2" t="inlineStr">
        <is>
          <t>syneresis_surface_area_normalized</t>
        </is>
      </c>
      <c r="C255" s="4" t="inlineStr">
        <is>
          <t>//diggs:propertyClass</t>
        </is>
      </c>
      <c r="D255" s="21" t="inlineStr">
        <is>
          <t>ancestor::diggs:syneresisTimeSeries</t>
        </is>
      </c>
    </row>
    <row r="256" ht="17" customHeight="1">
      <c r="A256">
        <f>IF(ISNA(VLOOKUP(B254,Definitions!B$2:B$1623,1,FALSE)),"Not listed","")</f>
        <v/>
      </c>
      <c r="B256" s="26" t="inlineStr">
        <is>
          <t>t50</t>
        </is>
      </c>
      <c r="C256" s="21" t="inlineStr">
        <is>
          <t>//diggs:propertyClass</t>
        </is>
      </c>
      <c r="D256" s="21" t="inlineStr">
        <is>
          <t>ancestor::diggs:measurement//diggs:procedure/diggs:PorePressureDissipationTest</t>
        </is>
      </c>
    </row>
    <row r="257">
      <c r="A257">
        <f>IF(ISNA(VLOOKUP([1]AssociatedElements!B276,Definitions!B$2:B$1623,1,FALSE)),"Not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IF(ISNA(VLOOKUP(B256,Definitions!B$2:B$1623,1,FALSE)),"Not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IF(ISNA(VLOOKUP(B257,Definitions!B$2:B$1623,1,FALSE)),"Not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IF(ISNA(VLOOKUP([1]AssociatedElements!B294,Definitions!B$2:B$1623,1,FALSE)),"Not listed","")</f>
        <v/>
      </c>
      <c r="B260" s="2" t="inlineStr">
        <is>
          <t>tensile_strength</t>
        </is>
      </c>
      <c r="C260" s="4" t="inlineStr">
        <is>
          <t>//diggs:propertyClass</t>
        </is>
      </c>
      <c r="D260" s="21" t="inlineStr">
        <is>
          <t>ancestor::diggs:measurement//diggs:procedure/diggs:TensileStrengthTest</t>
        </is>
      </c>
    </row>
    <row r="261" ht="17" customHeight="1">
      <c r="A261">
        <f>IF(ISNA(VLOOKUP(B259,Definitions!B$2:B$1623,1,FALSE)),"Not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IF(ISNA(VLOOKUP(B260,Definitions!B$2:B$1623,1,FALSE)),"Not listed","")</f>
        <v/>
      </c>
      <c r="B262" s="26" t="inlineStr">
        <is>
          <t>time</t>
        </is>
      </c>
      <c r="C262" s="4" t="inlineStr">
        <is>
          <t>//diggs:propertyClass</t>
        </is>
      </c>
      <c r="D262" s="21" t="inlineStr">
        <is>
          <t>ancestor::diggs:dissipationTimeSeries</t>
        </is>
      </c>
    </row>
    <row r="263" ht="17" customHeight="1">
      <c r="A263">
        <f>IF(ISNA(VLOOKUP(B261,Definitions!B$2:B$1623,1,FALSE)),"Not listed","")</f>
        <v/>
      </c>
      <c r="B263" s="2" t="inlineStr">
        <is>
          <t>time</t>
        </is>
      </c>
      <c r="C263" s="4" t="inlineStr">
        <is>
          <t>//diggs:propertyClass</t>
        </is>
      </c>
      <c r="D263" s="21" t="inlineStr">
        <is>
          <t>ancestor::diggs:lugeonStepTimeSeries</t>
        </is>
      </c>
    </row>
    <row r="264" ht="17" customHeight="1">
      <c r="A264">
        <f>IF(ISNA(VLOOKUP(B262,Definitions!B$2:B$1623,1,FALSE)),"Not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IF(ISNA(VLOOKUP(B263,Definitions!B$2:B$1623,1,FALSE)),"Not listed","")</f>
        <v/>
      </c>
      <c r="B265" s="26" t="inlineStr">
        <is>
          <t>time</t>
        </is>
      </c>
      <c r="C265" s="4" t="inlineStr">
        <is>
          <t>//diggs:propertyClass</t>
        </is>
      </c>
      <c r="D265" s="21" t="inlineStr">
        <is>
          <t>ancestor::diggs:syneresisTimeSeries</t>
        </is>
      </c>
    </row>
    <row r="266" ht="17" customHeight="1">
      <c r="A266">
        <f>IF(ISNA(VLOOKUP(B264,Definitions!B$2:B$1623,1,FALSE)),"Not listed","")</f>
        <v/>
      </c>
      <c r="B266" s="26" t="inlineStr">
        <is>
          <t>time</t>
        </is>
      </c>
      <c r="C266" s="21" t="inlineStr">
        <is>
          <t>//diggs:propertyClass</t>
        </is>
      </c>
      <c r="D266" s="21" t="inlineStr">
        <is>
          <t>ancestor::SpatialResult</t>
        </is>
      </c>
    </row>
    <row r="267" ht="17" customHeight="1">
      <c r="A267">
        <f>IF(ISNA(VLOOKUP(B265,Definitions!B$2:B$1623,1,FALSE)),"Not listed","")</f>
        <v/>
      </c>
      <c r="B267" s="26" t="inlineStr">
        <is>
          <t>time</t>
        </is>
      </c>
      <c r="C267" s="21" t="inlineStr">
        <is>
          <t>//diggs:propertyClass</t>
        </is>
      </c>
      <c r="D267" s="21" t="inlineStr">
        <is>
          <t>ancestor::TestResult</t>
        </is>
      </c>
    </row>
    <row r="268" ht="17" customHeight="1">
      <c r="A268">
        <f>IF(ISNA(VLOOKUP(B266,Definitions!B$2:B$1623,1,FALSE)),"Not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IF(ISNA(VLOOKUP(B267,Definitions!B$2:B$1623,1,FALSE)),"Not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IF(ISNA(VLOOKUP(B268,Definitions!B$2:B$1623,1,FALSE)),"Not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IF(ISNA(VLOOKUP([1]AssociatedElements!B283,Definitions!B$2:B$1623,1,FALSE)),"Not listed","")</f>
        <v/>
      </c>
      <c r="B271" s="2"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IF(ISNA(VLOOKUP([1]AssociatedElements!B285,Definitions!B$2:B$1623,1,FALSE)),"Not listed","")</f>
        <v/>
      </c>
      <c r="B272" s="2" t="inlineStr">
        <is>
          <t>total_organic_matter</t>
        </is>
      </c>
      <c r="C272" s="4" t="inlineStr">
        <is>
          <t>//diggs:propertyClass</t>
        </is>
      </c>
      <c r="D272" s="21" t="inlineStr">
        <is>
          <t>ancestor::diggs:measurement//diggs:procedure/diggs:OrganicMatterByWetCombustionTest</t>
        </is>
      </c>
    </row>
    <row r="273" ht="17" customHeight="1">
      <c r="A273">
        <f>IF(ISNA(VLOOKUP(B271,Definitions!B$2:B$1623,1,FALSE)),"Not listed","")</f>
        <v/>
      </c>
      <c r="B273" s="2" t="inlineStr">
        <is>
          <t>transducer_pressure</t>
        </is>
      </c>
      <c r="C273" s="4" t="inlineStr">
        <is>
          <t>//diggs:propertyClass</t>
        </is>
      </c>
      <c r="D273" s="21" t="inlineStr">
        <is>
          <t>ancestor::diggs:lugeonStepTimeSeries</t>
        </is>
      </c>
    </row>
    <row r="274" ht="17" customHeight="1">
      <c r="A274">
        <f>IF(ISNA(VLOOKUP(B272,Definitions!B$2:B$1623,1,FALSE)),"Not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IF(ISNA(VLOOKUP(B273,Definitions!B$2:B$1623,1,FALSE)),"Not listed","")</f>
        <v/>
      </c>
      <c r="B275" s="2" t="inlineStr">
        <is>
          <t>uscs_group_name</t>
        </is>
      </c>
      <c r="C275" s="4" t="inlineStr">
        <is>
          <t>//diggs:propertyClass</t>
        </is>
      </c>
      <c r="D275" s="21" t="inlineStr">
        <is>
          <t>ancestor::diggs:measurement//diggs:procedure/diggs:ParticleSizeTest</t>
        </is>
      </c>
    </row>
    <row r="276" ht="17" customHeight="1">
      <c r="A276">
        <f>IF(ISNA(VLOOKUP(B274,Definitions!B$2:B$1623,1,FALSE)),"Not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IF(ISNA(VLOOKUP(B275,Definitions!B$2:B$1623,1,FALSE)),"Not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IF(ISNA(VLOOKUP(B276,Definitions!B$2:B$1623,1,FALSE)),"Not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IF(ISNA(VLOOKUP(B277,Definitions!B$2:B$1623,1,FALSE)),"Not listed","")</f>
        <v/>
      </c>
      <c r="B279" s="2" t="inlineStr">
        <is>
          <t>volume</t>
        </is>
      </c>
      <c r="C279" s="4" t="inlineStr">
        <is>
          <t>//diggs:propertyClass</t>
        </is>
      </c>
      <c r="D279" s="21" t="inlineStr">
        <is>
          <t>ancestor::diggs:syneresisTimeSeries</t>
        </is>
      </c>
    </row>
    <row r="280">
      <c r="A280">
        <f>IF(ISNA(VLOOKUP(B278,Definitions!B$2:B$1623,1,FALSE)),"Not listed","")</f>
        <v/>
      </c>
      <c r="B280" s="2" t="inlineStr">
        <is>
          <t>volume_loss</t>
        </is>
      </c>
      <c r="C280" s="4" t="inlineStr">
        <is>
          <t>//diggs:propertyClass</t>
        </is>
      </c>
      <c r="D280" s="21" t="inlineStr">
        <is>
          <t>ancestor::diggs:syneresisTimeSeries</t>
        </is>
      </c>
    </row>
    <row r="281" ht="17" customHeight="1">
      <c r="A281">
        <f>IF(ISNA(VLOOKUP(B279,Definitions!B$2:B$1623,1,FALSE)),"Not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IF(ISNA(VLOOKUP(B280,Definitions!B$2:B$1623,1,FALSE)),"Not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IF(ISNA(VLOOKUP([1]AssociatedElements!B290,Definitions!B$2:B$1623,1,FALSE)),"Not listed","")</f>
        <v/>
      </c>
      <c r="B283" s="2" t="inlineStr">
        <is>
          <t>water_content_difference</t>
        </is>
      </c>
      <c r="C283" s="4" t="inlineStr">
        <is>
          <t>//diggs:propertyClass</t>
        </is>
      </c>
      <c r="D283" s="21" t="inlineStr">
        <is>
          <t>ancestor::diggs:measurement//diggs:procedure/diggs:LabCompactionTest</t>
        </is>
      </c>
    </row>
    <row r="284" ht="17" customHeight="1">
      <c r="A284">
        <f>IF(ISNA(VLOOKUP(B282,Definitions!B$2:B$1623,1,FALSE)),"Not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IF(ISNA(VLOOKUP(B283,Definitions!B$2:B$1623,1,FALSE)),"Not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IF(ISNA(VLOOKUP(B284,Definitions!B$2:B$1623,1,FALSE)),"Not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IF(ISNA(VLOOKUP(B285,Definitions!B$2:B$1623,1,FALSE)),"Not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IF(ISNA(VLOOKUP(B286,Definitions!B$2:B$1623,1,FALSE)),"Not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IF(ISNA(VLOOKUP(B287,Definitions!B$2:B$1623,1,FALSE)),"Not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IF(ISNA(VLOOKUP(B288,Definitions!B$2:B$1623,1,FALSE)),"Not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IF(ISNA(VLOOKUP(B289,Definitions!B$2:B$1623,1,FALSE)),"Not listed","")</f>
        <v/>
      </c>
      <c r="B291" s="2"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IF(ISNA(VLOOKUP([1]AssociatedElements!B292,Definitions!B$2:B$1623,1,FALSE)),"Not listed","")</f>
        <v/>
      </c>
      <c r="B292" s="2" t="inlineStr">
        <is>
          <t>water_depth</t>
        </is>
      </c>
      <c r="C292" s="4" t="inlineStr">
        <is>
          <t>//diggs:propertyClass</t>
        </is>
      </c>
      <c r="D292" s="21" t="inlineStr">
        <is>
          <t>ancestor::diggs:measurement//diggs:procedure/diggs:PumpingTest</t>
        </is>
      </c>
    </row>
    <row r="293" ht="17" customHeight="1">
      <c r="A293">
        <f>IF(ISNA(VLOOKUP([1]AssociatedElements!B274,Definitions!B$2:B$1623,1,FALSE)),"Not listed","")</f>
        <v/>
      </c>
      <c r="B293" s="2" t="inlineStr">
        <is>
          <t>water_depth</t>
        </is>
      </c>
      <c r="C293" s="4" t="inlineStr">
        <is>
          <t>//diggs:propertyClass</t>
        </is>
      </c>
      <c r="D293" s="21" t="inlineStr">
        <is>
          <t>ancestor::diggs:measurement//diggs:procedure/diggs:WaterLevelMonitoring</t>
        </is>
      </c>
    </row>
    <row r="294" ht="17" customHeight="1">
      <c r="A294">
        <f>IF(ISNA(VLOOKUP(B292,Definitions!B$2:B$1623,1,FALSE)),"Not listed","")</f>
        <v/>
      </c>
      <c r="B294" s="2"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IF(ISNA(VLOOKUP([1]AssociatedElements!B291,Definitions!B$2:B$1623,1,FALSE)),"Not listed","")</f>
        <v/>
      </c>
      <c r="B295" s="2" t="inlineStr">
        <is>
          <t>water_elev</t>
        </is>
      </c>
      <c r="C295" s="4" t="inlineStr">
        <is>
          <t>//diggs:propertyClass</t>
        </is>
      </c>
      <c r="D295" s="21" t="inlineStr">
        <is>
          <t>ancestor::diggs:measurement//diggs:procedure/diggs:PumpingTest</t>
        </is>
      </c>
    </row>
    <row r="296" ht="17" customHeight="1">
      <c r="A296">
        <f>IF(ISNA(VLOOKUP([1]AssociatedElements!B275,Definitions!B$2:B$1623,1,FALSE)),"Not listed","")</f>
        <v/>
      </c>
      <c r="B296" s="2" t="inlineStr">
        <is>
          <t>water_elev</t>
        </is>
      </c>
      <c r="C296" s="4" t="inlineStr">
        <is>
          <t>//diggs:propertyClass</t>
        </is>
      </c>
      <c r="D296" s="21" t="inlineStr">
        <is>
          <t>ancestor::diggs:measurement//diggs:procedure/diggs:WaterLevelMonitoring</t>
        </is>
      </c>
    </row>
    <row r="297" ht="17" customHeight="1">
      <c r="A297">
        <f>IF(ISNA(VLOOKUP([1]AssociatedElements!B295,Definitions!B$2:B$1623,1,FALSE)),"Not listed","")</f>
        <v/>
      </c>
      <c r="B297" s="2" t="inlineStr">
        <is>
          <t>d84</t>
        </is>
      </c>
      <c r="C297" s="4" t="inlineStr">
        <is>
          <t>//diggs:propertyClass</t>
        </is>
      </c>
      <c r="D297" s="21" t="inlineStr">
        <is>
          <t>ancestor::diggs:measurement//diggs:procedure/diggs:MaterialGradationTest</t>
        </is>
      </c>
    </row>
    <row r="298" ht="17" customHeight="1">
      <c r="A298">
        <f>IF(ISNA(VLOOKUP([1]AssociatedElements!B296,Definitions!B$2:B$1623,1,FALSE)),"Not listed","")</f>
        <v/>
      </c>
      <c r="B298" s="2" t="inlineStr">
        <is>
          <t>d84</t>
        </is>
      </c>
      <c r="C298" s="4" t="inlineStr">
        <is>
          <t>//diggs:propertyClass</t>
        </is>
      </c>
      <c r="D298" s="21" t="inlineStr">
        <is>
          <t>ancestor::diggs:measurement//diggs:procedure/diggs:ParticleSizeTest</t>
        </is>
      </c>
    </row>
    <row r="299" ht="17" customHeight="1">
      <c r="A299">
        <f>IF(ISNA(VLOOKUP([1]AssociatedElements!B297,Definitions!B$2:B$1623,1,FALSE)),"Not listed","")</f>
        <v/>
      </c>
      <c r="B299" s="2" t="inlineStr">
        <is>
          <t>d90</t>
        </is>
      </c>
      <c r="C299" s="4" t="inlineStr">
        <is>
          <t>//diggs:propertyClass</t>
        </is>
      </c>
      <c r="D299" s="21" t="inlineStr">
        <is>
          <t>ancestor::diggs:measurement//diggs:procedure/diggs:MaterialGradationTest</t>
        </is>
      </c>
    </row>
    <row r="300" ht="17" customHeight="1">
      <c r="A300">
        <f>IF(ISNA(VLOOKUP([1]AssociatedElements!B298,Definitions!B$2:B$1623,1,FALSE)),"Not listed","")</f>
        <v/>
      </c>
      <c r="B300" s="2" t="inlineStr">
        <is>
          <t>d90</t>
        </is>
      </c>
      <c r="C300" s="4" t="inlineStr">
        <is>
          <t>//diggs:propertyClass</t>
        </is>
      </c>
      <c r="D300" s="21" t="inlineStr">
        <is>
          <t>ancestor::diggs:measurement//diggs:procedure/diggs:ParticleSizeTest</t>
        </is>
      </c>
    </row>
    <row r="301" ht="17" customHeight="1">
      <c r="A301">
        <f>IF(ISNA(VLOOKUP([1]AssociatedElements!B299,Definitions!B$2:B$1623,1,FALSE)),"Not listed","")</f>
        <v/>
      </c>
      <c r="B301" s="2"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IF(ISNA(VLOOKUP([1]AssociatedElements!B300,Definitions!B$2:B$1623,1,FALSE)),"Not listed","")</f>
        <v/>
      </c>
      <c r="B302" s="2"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IF(ISNA(VLOOKUP([1]AssociatedElements!B301,Definitions!B$2:B$1623,1,FALSE)),"Not listed","")</f>
        <v/>
      </c>
      <c r="B303" s="2"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IF(ISNA(VLOOKUP([1]AssociatedElements!B302,Definitions!B$2:B$1623,1,FALSE)),"Not listed","")</f>
        <v/>
      </c>
      <c r="B304" s="2" t="inlineStr">
        <is>
          <t>percent_fine_gravel</t>
        </is>
      </c>
      <c r="C304" s="4" t="inlineStr">
        <is>
          <t>//diggs:propertyClass</t>
        </is>
      </c>
      <c r="D304" s="21" t="inlineStr">
        <is>
          <t>ancestor::diggs:measurement//diggs:procedure/diggs:ParticleSizeTest</t>
        </is>
      </c>
    </row>
    <row r="305" ht="17" customHeight="1">
      <c r="A305">
        <f>IF(ISNA(VLOOKUP([1]AssociatedElements!B303,Definitions!B$2:B$1623,1,FALSE)),"Not listed","")</f>
        <v/>
      </c>
      <c r="B305" s="2"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IF(ISNA(VLOOKUP([1]AssociatedElements!B304,Definitions!B$2:B$1623,1,FALSE)),"Not listed","")</f>
        <v/>
      </c>
      <c r="B306" s="2" t="inlineStr">
        <is>
          <t>percent_coarse_sand</t>
        </is>
      </c>
      <c r="C306" s="4" t="inlineStr">
        <is>
          <t>//diggs:propertyClass</t>
        </is>
      </c>
      <c r="D306" s="21" t="inlineStr">
        <is>
          <t>ancestor::diggs:measurement//diggs:procedure/diggs:ParticleSizeTest</t>
        </is>
      </c>
    </row>
    <row r="307" ht="17" customHeight="1">
      <c r="A307">
        <f>IF(ISNA(VLOOKUP([1]AssociatedElements!B305,Definitions!B$2:B$1623,1,FALSE)),"Not listed","")</f>
        <v/>
      </c>
      <c r="B307" s="2"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IF(ISNA(VLOOKUP([1]AssociatedElements!B306,Definitions!B$2:B$1623,1,FALSE)),"Not listed","")</f>
        <v/>
      </c>
      <c r="B308" s="2" t="inlineStr">
        <is>
          <t>percent_medium_sand</t>
        </is>
      </c>
      <c r="C308" s="4" t="inlineStr">
        <is>
          <t>//diggs:propertyClass</t>
        </is>
      </c>
      <c r="D308" s="21" t="inlineStr">
        <is>
          <t>ancestor::diggs:measurement//diggs:procedure/diggs:ParticleSizeTest</t>
        </is>
      </c>
    </row>
    <row r="309" ht="17" customHeight="1">
      <c r="A309">
        <f>IF(ISNA(VLOOKUP([1]AssociatedElements!B307,Definitions!B$2:B$1623,1,FALSE)),"Not listed","")</f>
        <v/>
      </c>
      <c r="B309" s="2"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IF(ISNA(VLOOKUP([1]AssociatedElements!B308,Definitions!B$2:B$1623,1,FALSE)),"Not listed","")</f>
        <v/>
      </c>
      <c r="B310" s="2" t="inlineStr">
        <is>
          <t>percent_fine_sand</t>
        </is>
      </c>
      <c r="C310" s="4" t="inlineStr">
        <is>
          <t>//diggs:propertyClass</t>
        </is>
      </c>
      <c r="D310" s="21" t="inlineStr">
        <is>
          <t>ancestor::diggs:measurement//diggs:procedure/diggs:ParticleSizeTest</t>
        </is>
      </c>
    </row>
    <row r="311" ht="17" customHeight="1">
      <c r="A311">
        <f>IF(ISNA(VLOOKUP([1]AssociatedElements!B309,Definitions!B$2:B$1623,1,FALSE)),"Not listed","")</f>
        <v/>
      </c>
      <c r="B311" s="2"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IF(ISNA(VLOOKUP([1]AssociatedElements!B310,Definitions!B$2:B$1623,1,FALSE)),"Not listed","")</f>
        <v/>
      </c>
      <c r="B312" s="2"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IF(ISNA(VLOOKUP([1]AssociatedElements!B311,Definitions!B$2:B$1623,1,FALSE)),"Not listed","")</f>
        <v/>
      </c>
      <c r="B313" s="2"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IF(ISNA(VLOOKUP([1]AssociatedElements!B312,Definitions!B$2:B$1623,1,FALSE)),"Not listed","")</f>
        <v/>
      </c>
      <c r="B314" s="2" t="inlineStr">
        <is>
          <t>aashto_percent_coarse_sand</t>
        </is>
      </c>
      <c r="C314" s="4" t="inlineStr">
        <is>
          <t>//diggs:propertyClass</t>
        </is>
      </c>
      <c r="D314" s="21" t="inlineStr">
        <is>
          <t>ancestor::diggs:measurement//diggs:procedure/diggs:ParticleSizeTest</t>
        </is>
      </c>
    </row>
    <row r="315">
      <c r="A315">
        <f>IF(ISNA(VLOOKUP([1]AssociatedElements!B313,Definitions!B$2:B$1623,1,FALSE)),"Not listed","")</f>
        <v/>
      </c>
      <c r="B315" s="2" t="inlineStr">
        <is>
          <t>aashto_percent_fine_sand</t>
        </is>
      </c>
      <c r="C315" s="4" t="inlineStr">
        <is>
          <t>//diggs:propertyClass</t>
        </is>
      </c>
      <c r="D315" s="21" t="inlineStr">
        <is>
          <t>ancestor::diggs:measurement//diggs:procedure/diggs:MaterialGradationTest</t>
        </is>
      </c>
    </row>
    <row r="316">
      <c r="A316">
        <f>IF(ISNA(VLOOKUP([1]AssociatedElements!B314,Definitions!B$2:B$1623,1,FALSE)),"Not listed","")</f>
        <v/>
      </c>
      <c r="B316" s="2" t="inlineStr">
        <is>
          <t>aashto_percent_fine_sand</t>
        </is>
      </c>
      <c r="C316" s="4" t="inlineStr">
        <is>
          <t>//diggs:propertyClass</t>
        </is>
      </c>
      <c r="D316" s="21" t="inlineStr">
        <is>
          <t>ancestor::diggs:measurement//diggs:procedure/diggs:ParticleSizeTest</t>
        </is>
      </c>
    </row>
    <row r="317">
      <c r="B317" s="14" t="inlineStr">
        <is>
          <t>settlement</t>
        </is>
      </c>
      <c r="C317" s="4" t="inlineStr">
        <is>
          <t>//diggs:propertyClass</t>
        </is>
      </c>
      <c r="D317" s="21" t="inlineStr">
        <is>
          <t>ancestor::diggs:TemporalResult</t>
        </is>
      </c>
    </row>
    <row r="318">
      <c r="B318" s="14" t="inlineStr">
        <is>
          <t>settlement</t>
        </is>
      </c>
      <c r="C318" s="4" t="inlineStr">
        <is>
          <t>//diggs:propertyClass</t>
        </is>
      </c>
      <c r="D318" s="21" t="inlineStr">
        <is>
          <t>ancestor::diggs:PerformanceCriterion</t>
        </is>
      </c>
    </row>
    <row r="319">
      <c r="B319" s="14" t="inlineStr">
        <is>
          <t>differential_settlement</t>
        </is>
      </c>
      <c r="C319" s="4" t="inlineStr">
        <is>
          <t>//diggs:propertyClass</t>
        </is>
      </c>
      <c r="D319" s="21" t="inlineStr">
        <is>
          <t>ancestor::diggs:TemporalResult</t>
        </is>
      </c>
    </row>
    <row r="320">
      <c r="B320" s="14" t="inlineStr">
        <is>
          <t>differential_settlement</t>
        </is>
      </c>
      <c r="C320" s="4" t="inlineStr">
        <is>
          <t>//diggs:propertyClass</t>
        </is>
      </c>
      <c r="D320" s="21" t="inlineStr">
        <is>
          <t>ancestor::diggs:PerformanceCriterion</t>
        </is>
      </c>
    </row>
    <row r="321">
      <c r="B321" s="14" t="inlineStr">
        <is>
          <t>settlement_reduction_ratio</t>
        </is>
      </c>
      <c r="C321" s="4" t="inlineStr">
        <is>
          <t>//diggs:propertyClass</t>
        </is>
      </c>
      <c r="D321" s="21" t="inlineStr">
        <is>
          <t>ancestor::diggs:TemporalResult</t>
        </is>
      </c>
    </row>
    <row r="322">
      <c r="B322" s="14" t="inlineStr">
        <is>
          <t>settlement_reduction_ratio</t>
        </is>
      </c>
      <c r="C322" s="4" t="inlineStr">
        <is>
          <t>//diggs:propertyClass</t>
        </is>
      </c>
      <c r="D322" s="21" t="inlineStr">
        <is>
          <t>ancestor::diggs:PerformanceCriterion</t>
        </is>
      </c>
    </row>
    <row r="323">
      <c r="B323" s="14" t="inlineStr">
        <is>
          <t>pore_pressure</t>
        </is>
      </c>
      <c r="C323" s="4" t="inlineStr">
        <is>
          <t>//diggs:propertyClass</t>
        </is>
      </c>
      <c r="D323" s="21" t="inlineStr">
        <is>
          <t>ancestor::diggs:TemporalResult</t>
        </is>
      </c>
    </row>
    <row r="324">
      <c r="B324" s="14" t="inlineStr">
        <is>
          <t>reinforcement_load_fraction</t>
        </is>
      </c>
      <c r="C324" s="4" t="inlineStr">
        <is>
          <t>//diggs:propertyClass</t>
        </is>
      </c>
      <c r="D324" s="21" t="inlineStr">
        <is>
          <t>ancestor::diggs:PerformanceCriterion</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2026-08-31T21:29:58Z</dcterms:modified>
  <cp:lastModifiedBy>Dan Ponti</cp:lastModifiedBy>
  <cp:lastPrinted>2024-01-23T07:37:04Z</cp:lastPrinted>
</cp:coreProperties>
</file>