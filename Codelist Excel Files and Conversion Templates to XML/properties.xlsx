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04"/>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oressure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s="2">
        <f>IF(ISNA(VLOOKUP(B98,AssociatedElements!B$2:B739,1,FALSE)),"Not used","")</f>
        <v/>
      </c>
      <c r="B98" s="11" t="inlineStr">
        <is>
          <t>modulus_shear</t>
        </is>
      </c>
      <c r="C98" s="11" t="inlineStr">
        <is>
          <t>Shear Modulus</t>
        </is>
      </c>
      <c r="D98" s="12" t="inlineStr">
        <is>
          <t xml:space="preserve"> Shear modulus, denoted by G, is defined as the ratio of shear stress to the shear strain.</t>
        </is>
      </c>
      <c r="E98" s="11" t="inlineStr">
        <is>
          <t>double</t>
        </is>
      </c>
      <c r="F98" s="11" t="inlineStr">
        <is>
          <t>pressure</t>
        </is>
      </c>
    </row>
    <row r="99" ht="119" customHeight="1">
      <c r="A99" s="2">
        <f>IF(ISNA(VLOOKUP(B99,AssociatedElements!B$2:B740,1,FALSE)),"Not used","")</f>
        <v/>
      </c>
      <c r="B99" s="11" t="inlineStr">
        <is>
          <t>modulus_youngs</t>
        </is>
      </c>
      <c r="C99" s="11" t="inlineStr">
        <is>
          <t>Young's Modulus</t>
        </is>
      </c>
      <c r="D99"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99" s="11" t="inlineStr">
        <is>
          <t>double</t>
        </is>
      </c>
      <c r="F99" s="11" t="inlineStr">
        <is>
          <t>pressure</t>
        </is>
      </c>
    </row>
    <row r="100" ht="51" customHeight="1">
      <c r="A100" s="2">
        <f>IF(ISNA(VLOOKUP(B100,AssociatedElements!B$2:B741,1,FALSE)),"Not used","")</f>
        <v/>
      </c>
      <c r="B100" s="11" t="inlineStr">
        <is>
          <t>mud_balance_density</t>
        </is>
      </c>
      <c r="C100" s="11" t="inlineStr">
        <is>
          <t>Mud Balance Density</t>
        </is>
      </c>
      <c r="D100" s="12" t="inlineStr">
        <is>
          <t xml:space="preserve"> Grout or mud density determined using a mud balance. While called a density, measurement is a force (weight) / voume but can also report this value in true density units (mass/volume)</t>
        </is>
      </c>
      <c r="E100" s="11" t="inlineStr">
        <is>
          <t>double</t>
        </is>
      </c>
      <c r="F100" s="11" t="inlineStr">
        <is>
          <t>force or mass per volume</t>
        </is>
      </c>
    </row>
    <row r="101" ht="68" customHeight="1">
      <c r="A101" s="2">
        <f>IF(ISNA(VLOOKUP(B101,AssociatedElements!B$2:B742,1,FALSE)),"Not used","")</f>
        <v/>
      </c>
      <c r="B101" s="11" t="inlineStr">
        <is>
          <t>n_value</t>
        </is>
      </c>
      <c r="C101" s="11" t="inlineStr">
        <is>
          <t>N-Value (Raw)</t>
        </is>
      </c>
      <c r="D101" s="12" t="inlineStr">
        <is>
          <t xml:space="preserve"> Value from Standard Penetration Test (SPT) to define advancement in terms of blows required to drive a specific sampler I foot into the soil using a hammer that provides a specific impact energy.</t>
        </is>
      </c>
      <c r="E101" s="11" t="inlineStr">
        <is>
          <t>integer</t>
        </is>
      </c>
      <c r="F101" s="11" t="n"/>
    </row>
    <row r="102" ht="85" customHeight="1">
      <c r="A102" s="2">
        <f>IF(ISNA(VLOOKUP(B102,AssociatedElements!B$2:B743,1,FALSE)),"Not used","")</f>
        <v/>
      </c>
      <c r="B102" s="11" t="inlineStr">
        <is>
          <t>n1_60</t>
        </is>
      </c>
      <c r="C102" s="11" t="inlineStr">
        <is>
          <t>N1,60</t>
        </is>
      </c>
      <c r="D102"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2" s="11" t="inlineStr">
        <is>
          <t>integer</t>
        </is>
      </c>
      <c r="F102" s="11" t="n"/>
    </row>
    <row r="103" ht="51" customHeight="1">
      <c r="A103" s="2">
        <f>IF(ISNA(VLOOKUP(B103,AssociatedElements!B$2:B744,1,FALSE)),"Not used","")</f>
        <v/>
      </c>
      <c r="B103" s="11" t="inlineStr">
        <is>
          <t>n60</t>
        </is>
      </c>
      <c r="C103" s="11" t="inlineStr">
        <is>
          <t>N60</t>
        </is>
      </c>
      <c r="D103" s="12" t="inlineStr">
        <is>
          <t xml:space="preserve"> Calculated value that corrects the value of the Standard Penetration Blow Count (N-value), to account for energy of the hammer (specifically normalized to 60% energy).</t>
        </is>
      </c>
      <c r="E103" s="11" t="inlineStr">
        <is>
          <t>integer</t>
        </is>
      </c>
      <c r="F103" s="11" t="n"/>
    </row>
    <row r="104" ht="68" customHeight="1">
      <c r="A104" s="2">
        <f>IF(ISNA(VLOOKUP(B104,AssociatedElements!B$2:B745,1,FALSE)),"Not used","")</f>
        <v/>
      </c>
      <c r="B104" s="11" t="inlineStr">
        <is>
          <t>non_plastic</t>
        </is>
      </c>
      <c r="C104" s="11" t="inlineStr">
        <is>
          <t>Non Plastic</t>
        </is>
      </c>
      <c r="D104" s="12" t="inlineStr">
        <is>
          <t xml:space="preserve"> A value of true for this property indiates that no plastic limit can be . In such cases the value of the plastic limit should be left empty or set to the null value, and the value of non_plastic set to true.</t>
        </is>
      </c>
      <c r="E104" s="11" t="inlineStr">
        <is>
          <t>boolean</t>
        </is>
      </c>
      <c r="F104" s="11" t="n"/>
    </row>
    <row r="105" ht="102" customHeight="1">
      <c r="A105" s="2">
        <f>IF(ISNA(VLOOKUP(B105,AssociatedElements!B$2:B746,1,FALSE)),"Not used","")</f>
        <v/>
      </c>
      <c r="B105" s="11" t="inlineStr">
        <is>
          <t>ocr</t>
        </is>
      </c>
      <c r="C105" s="11" t="inlineStr">
        <is>
          <t>Overconsolidation Ratio</t>
        </is>
      </c>
      <c r="D105"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5" s="11" t="inlineStr">
        <is>
          <t>double</t>
        </is>
      </c>
      <c r="F105" s="11" t="n"/>
    </row>
    <row r="106" ht="34" customHeight="1">
      <c r="A106" s="2">
        <f>IF(ISNA(VLOOKUP(B106,AssociatedElements!B$2:B816,1,FALSE)),"Not used","")</f>
        <v/>
      </c>
      <c r="B106" s="2" t="inlineStr">
        <is>
          <t>p_wave_velocity</t>
        </is>
      </c>
      <c r="C106" s="2" t="inlineStr">
        <is>
          <t>Primary Compression Wave Velocity</t>
        </is>
      </c>
      <c r="D106" s="16" t="inlineStr">
        <is>
          <t>The velocity of a p-wave (Vp). P-waves (primary waves) are compressional waves that are longitudinal in nature.</t>
        </is>
      </c>
      <c r="E106" s="2" t="inlineStr">
        <is>
          <t>double</t>
        </is>
      </c>
      <c r="F106" s="2" t="inlineStr">
        <is>
          <t>length per time</t>
        </is>
      </c>
    </row>
    <row r="107" ht="85" customHeight="1">
      <c r="A107" s="2">
        <f>IF(ISNA(VLOOKUP(B107,AssociatedElements!B$2:B747,1,FALSE)),"Not used","")</f>
        <v/>
      </c>
      <c r="B107" s="11" t="inlineStr">
        <is>
          <t>p0_reading</t>
        </is>
      </c>
      <c r="C107" s="15" t="inlineStr">
        <is>
          <t>P0 Reading</t>
        </is>
      </c>
      <c r="D107"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7" s="15" t="inlineStr">
        <is>
          <t>double</t>
        </is>
      </c>
      <c r="F107" s="15" t="inlineStr">
        <is>
          <t>pressure</t>
        </is>
      </c>
    </row>
    <row r="108" ht="68" customHeight="1">
      <c r="A108" s="2">
        <f>IF(ISNA(VLOOKUP(B108,AssociatedElements!B$2:B748,1,FALSE)),"Not used","")</f>
        <v/>
      </c>
      <c r="B108" s="11" t="inlineStr">
        <is>
          <t>p1_reading</t>
        </is>
      </c>
      <c r="C108" s="15" t="inlineStr">
        <is>
          <t>P1 Reading</t>
        </is>
      </c>
      <c r="D108" s="14" t="inlineStr">
        <is>
          <t>B-Reading corrected for the DB membrane stiffness at 1.10 mm expansion and the gauge pressure deviation from zero. This corrected pressure is referred to as p1. This is an intermediate result from a flat plate dilatometer test.</t>
        </is>
      </c>
      <c r="E108" s="15" t="inlineStr">
        <is>
          <t>double</t>
        </is>
      </c>
      <c r="F108" s="15" t="inlineStr">
        <is>
          <t>pressure</t>
        </is>
      </c>
    </row>
    <row r="109" ht="68" customHeight="1">
      <c r="A109" s="2">
        <f>IF(ISNA(VLOOKUP(B109,AssociatedElements!B$2:B749,1,FALSE)),"Not used","")</f>
        <v/>
      </c>
      <c r="B109" s="11" t="inlineStr">
        <is>
          <t>p2_reading</t>
        </is>
      </c>
      <c r="C109" s="15" t="inlineStr">
        <is>
          <t>P2 Reading</t>
        </is>
      </c>
      <c r="D109" s="14" t="inlineStr">
        <is>
          <t>C-Reading corrected for the DA membrane stiffness at 0.05 mm expansion and the gauge pressure deviation from zero. This corrected pressure is referred to as p2. This is an intermediate result from a flat plate dilatometer test.</t>
        </is>
      </c>
      <c r="E109" s="15" t="inlineStr">
        <is>
          <t>double</t>
        </is>
      </c>
      <c r="F109" s="15" t="inlineStr">
        <is>
          <t>pressure</t>
        </is>
      </c>
    </row>
    <row r="110" ht="34" customHeight="1">
      <c r="A110" s="2">
        <f>IF(ISNA(VLOOKUP(B110,AssociatedElements!B$2:B753,1,FALSE)),"Not used","")</f>
        <v/>
      </c>
      <c r="B110" s="17" t="inlineStr">
        <is>
          <t>pen_increment</t>
        </is>
      </c>
      <c r="C110" s="22" t="inlineStr">
        <is>
          <t>Penetration Increment</t>
        </is>
      </c>
      <c r="D110" s="22" t="inlineStr">
        <is>
          <t>The distance that a tool travels for a given number of hammer blows.</t>
        </is>
      </c>
      <c r="E110" s="18" t="inlineStr">
        <is>
          <t>double</t>
        </is>
      </c>
      <c r="F110" s="2" t="inlineStr">
        <is>
          <t>length</t>
        </is>
      </c>
      <c r="G110" s="19" t="n"/>
    </row>
    <row r="111" ht="34" customHeight="1">
      <c r="A111" s="2">
        <f>IF(ISNA(VLOOKUP(B111,AssociatedElements!B$2:B833,1,FALSE)),"Not used","")</f>
        <v/>
      </c>
      <c r="B111" s="2" t="inlineStr">
        <is>
          <t>percent_cobbles</t>
        </is>
      </c>
      <c r="C111" s="2" t="inlineStr">
        <is>
          <t>Percent Cobbles</t>
        </is>
      </c>
      <c r="D111" s="28" t="inlineStr">
        <is>
          <t>The percentage by weight of particles larger  than 3 inches (75 mm) and smaller than 12 inches (300 mm)</t>
        </is>
      </c>
      <c r="E111" s="36" t="inlineStr">
        <is>
          <t>double</t>
        </is>
      </c>
      <c r="F111" s="28" t="inlineStr">
        <is>
          <t>force per force</t>
        </is>
      </c>
      <c r="J111" s="2" t="inlineStr">
        <is>
          <t>x</t>
        </is>
      </c>
    </row>
    <row r="112" ht="34" customHeight="1">
      <c r="A112" s="2">
        <f>IF(ISNA(VLOOKUP(B112,AssociatedElements!B$2:B750,1,FALSE)),"Not used","")</f>
        <v/>
      </c>
      <c r="B112" s="11" t="inlineStr">
        <is>
          <t>percent_fines</t>
        </is>
      </c>
      <c r="C112" s="15" t="inlineStr">
        <is>
          <t>Percent Fines</t>
        </is>
      </c>
      <c r="D112" s="28" t="inlineStr">
        <is>
          <t>The percentage of particles that pass through the #200 sieve (&lt;0.075-mm).</t>
        </is>
      </c>
      <c r="E112" s="36" t="inlineStr">
        <is>
          <t>double</t>
        </is>
      </c>
      <c r="F112" s="28" t="inlineStr">
        <is>
          <t>force per force</t>
        </is>
      </c>
      <c r="J112" s="2" t="inlineStr">
        <is>
          <t>x</t>
        </is>
      </c>
    </row>
    <row r="113" ht="34" customHeight="1">
      <c r="A113" s="2">
        <f>IF(ISNA(VLOOKUP(B113,AssociatedElements!B$2:B751,1,FALSE)),"Not used","")</f>
        <v/>
      </c>
      <c r="B113" s="11" t="inlineStr">
        <is>
          <t>percent_gravel</t>
        </is>
      </c>
      <c r="C113" s="15" t="inlineStr">
        <is>
          <t>Percent Gravel</t>
        </is>
      </c>
      <c r="D113" s="28" t="inlineStr">
        <is>
          <t xml:space="preserve">The percentage of particles that are retained on the #4 and larger sizes (&gt;4.75 mm). </t>
        </is>
      </c>
      <c r="E113" s="36" t="inlineStr">
        <is>
          <t>double</t>
        </is>
      </c>
      <c r="F113" s="28" t="inlineStr">
        <is>
          <t>force per force</t>
        </is>
      </c>
      <c r="J113" s="2" t="inlineStr">
        <is>
          <t>x</t>
        </is>
      </c>
    </row>
    <row r="114" ht="34" customHeight="1">
      <c r="A114" s="2">
        <f>IF(ISNA(VLOOKUP(B114,AssociatedElements!B$2:B752,1,FALSE)),"Not used","")</f>
        <v/>
      </c>
      <c r="B114" s="11" t="inlineStr">
        <is>
          <t>percent_sand</t>
        </is>
      </c>
      <c r="C114" s="15" t="inlineStr">
        <is>
          <t>Percent Sand</t>
        </is>
      </c>
      <c r="D114" s="28" t="inlineStr">
        <is>
          <t>The percentage of particles thatpass the #4 sieve and are retained on the #200 sieve (&lt;4.75 mm and &gt;0.075-mm).</t>
        </is>
      </c>
      <c r="E114" s="36" t="inlineStr">
        <is>
          <t>double</t>
        </is>
      </c>
      <c r="F114" s="28" t="inlineStr">
        <is>
          <t>force per force</t>
        </is>
      </c>
      <c r="J114" s="2" t="inlineStr">
        <is>
          <t>x</t>
        </is>
      </c>
    </row>
    <row r="115" ht="119" customHeight="1">
      <c r="A115" s="2">
        <f>IF(ISNA(VLOOKUP(B115,AssociatedElements!B$2:B829,1,FALSE)),"Not used","")</f>
        <v/>
      </c>
      <c r="B115" s="2" t="inlineStr">
        <is>
          <t>percent_silt</t>
        </is>
      </c>
      <c r="C115" s="15" t="inlineStr">
        <is>
          <t>Percent Silt</t>
        </is>
      </c>
      <c r="D115"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5" s="36" t="inlineStr">
        <is>
          <t>double</t>
        </is>
      </c>
      <c r="F115" s="28" t="inlineStr">
        <is>
          <t>force per force</t>
        </is>
      </c>
      <c r="J115" s="2" t="inlineStr">
        <is>
          <t>x</t>
        </is>
      </c>
    </row>
    <row r="116" ht="17" customHeight="1">
      <c r="A116" s="2">
        <f>IF(ISNA(VLOOKUP(B116,AssociatedElements!B$2:B753,1,FALSE)),"Not used","")</f>
        <v/>
      </c>
      <c r="B116" s="11" t="inlineStr">
        <is>
          <t>pH</t>
        </is>
      </c>
      <c r="C116" s="15" t="inlineStr">
        <is>
          <t>pH</t>
        </is>
      </c>
      <c r="D116" s="28" t="inlineStr">
        <is>
          <t>A meassure of how acidic or basic a soil or water is.</t>
        </is>
      </c>
      <c r="E116" s="36" t="inlineStr">
        <is>
          <t>double</t>
        </is>
      </c>
      <c r="F116" s="36" t="n"/>
    </row>
    <row r="117" ht="34" customHeight="1">
      <c r="A117" s="2">
        <f>IF(ISNA(VLOOKUP(B117,AssociatedElements!B$2:B754,1,FALSE)),"Not used","")</f>
        <v/>
      </c>
      <c r="B117" s="11" t="inlineStr">
        <is>
          <t>pid_result</t>
        </is>
      </c>
      <c r="C117" s="15" t="inlineStr">
        <is>
          <t>Photoionization Detector Result</t>
        </is>
      </c>
      <c r="D117" s="28" t="inlineStr">
        <is>
          <t>Measures volatile organic compounds and other gases, expressed in parts per million or percent LEL</t>
        </is>
      </c>
      <c r="E117" s="36" t="inlineStr">
        <is>
          <t>double</t>
        </is>
      </c>
      <c r="F117" s="28" t="inlineStr">
        <is>
          <t>amount of substance per amount of substance</t>
        </is>
      </c>
      <c r="I117" s="33" t="n"/>
      <c r="J117" s="2" t="inlineStr">
        <is>
          <t>x</t>
        </is>
      </c>
    </row>
    <row r="118" ht="51" customHeight="1">
      <c r="A118" s="2">
        <f>IF(ISNA(VLOOKUP(B118,AssociatedElements!B$2:B755,1,FALSE)),"Not used","")</f>
        <v/>
      </c>
      <c r="B118" s="11" t="inlineStr">
        <is>
          <t>plastic_limit</t>
        </is>
      </c>
      <c r="C118" s="15" t="inlineStr">
        <is>
          <t>Plastic Limit</t>
        </is>
      </c>
      <c r="D118" s="28" t="inlineStr">
        <is>
          <t>The plastic limit (PL) is the water content where soil transitions between brittle and plastic behavior. A unitless value.</t>
        </is>
      </c>
      <c r="E118" s="36" t="inlineStr">
        <is>
          <t>integer</t>
        </is>
      </c>
      <c r="F118" s="36" t="n"/>
      <c r="J118" s="2" t="inlineStr">
        <is>
          <t>x</t>
        </is>
      </c>
    </row>
    <row r="119" ht="119" customHeight="1">
      <c r="A119" s="2">
        <f>IF(ISNA(VLOOKUP(B119,AssociatedElements!B$2:B756,1,FALSE)),"Not used","")</f>
        <v/>
      </c>
      <c r="B119" s="11" t="inlineStr">
        <is>
          <t>plasticity_index</t>
        </is>
      </c>
      <c r="C119" s="15" t="inlineStr">
        <is>
          <t>Plasticity Index</t>
        </is>
      </c>
      <c r="D119"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19" s="36" t="inlineStr">
        <is>
          <t>integer</t>
        </is>
      </c>
      <c r="F119" s="36" t="n"/>
    </row>
    <row r="120" ht="51" customHeight="1">
      <c r="A120" s="2">
        <f>IF(ISNA(VLOOKUP(B120,AssociatedElements!B$2:B757,1,FALSE)),"Not used","")</f>
        <v/>
      </c>
      <c r="B120" s="11" t="inlineStr">
        <is>
          <t>point_load_test_index</t>
        </is>
      </c>
      <c r="C120" s="15" t="inlineStr">
        <is>
          <t>Point Load Test Index</t>
        </is>
      </c>
      <c r="D120" s="28" t="inlineStr">
        <is>
          <t>The Point Load Test produces the Point Load Test Index (Is50), which can be correlated with the uniaxial compressive strength (UCS) of rock.</t>
        </is>
      </c>
      <c r="E120" s="36" t="inlineStr">
        <is>
          <t>double</t>
        </is>
      </c>
      <c r="F120" s="36" t="n"/>
    </row>
    <row r="121" ht="51" customHeight="1">
      <c r="A121" s="2">
        <f>IF(ISNA(VLOOKUP(B121,AssociatedElements!B$2:B758,1,FALSE)),"Not used","")</f>
        <v/>
      </c>
      <c r="B121" s="11" t="inlineStr">
        <is>
          <t>poisson_ratio</t>
        </is>
      </c>
      <c r="C121" s="15" t="inlineStr">
        <is>
          <t>Poisson Ratio</t>
        </is>
      </c>
      <c r="D121" s="28" t="inlineStr">
        <is>
          <t>Ratio of the transverse contraction of a body to its longitudinal extension when stretched. Typical values in minerals are from 0.15 to 0.3 (Carbonates:0.15, Sandstones:0.2, Shales:0.25).</t>
        </is>
      </c>
      <c r="E121" s="36" t="inlineStr">
        <is>
          <t>double</t>
        </is>
      </c>
      <c r="F121" s="36" t="n"/>
      <c r="J121" s="2" t="inlineStr">
        <is>
          <t>x</t>
        </is>
      </c>
    </row>
    <row r="122" ht="51" customHeight="1">
      <c r="A122" s="2">
        <f>IF(ISNA(VLOOKUP(B122,AssociatedElements!B$2:B759,1,FALSE)),"Not used","")</f>
        <v/>
      </c>
      <c r="B122" s="11" t="inlineStr">
        <is>
          <t>pore_pressure_equil</t>
        </is>
      </c>
      <c r="C122" s="15" t="inlineStr">
        <is>
          <t>Equilibrium Pore Water Pressure (U0)</t>
        </is>
      </c>
      <c r="D122" s="14" t="inlineStr">
        <is>
          <t>The value of pore pressure measured in the field after dissipation of induced excess pore pressure. Could also be from CPTu test</t>
        </is>
      </c>
      <c r="E122" s="15" t="inlineStr">
        <is>
          <t>double</t>
        </is>
      </c>
      <c r="F122" s="15" t="inlineStr">
        <is>
          <t>pressure</t>
        </is>
      </c>
    </row>
    <row r="123" ht="51" customHeight="1">
      <c r="A123" s="2">
        <f>IF(ISNA(VLOOKUP(B123,AssociatedElements!B$2:B760,1,FALSE)),"Not used","")</f>
        <v/>
      </c>
      <c r="B123" s="11" t="inlineStr">
        <is>
          <t>pore_pressure_est</t>
        </is>
      </c>
      <c r="C123" s="15" t="inlineStr">
        <is>
          <t>Estimated Pore Water Pressure</t>
        </is>
      </c>
      <c r="D123" s="14" t="inlineStr">
        <is>
          <t>The pore-water pressure acting at the center of the membrane before the insertion of the DMT blade (often assumed as hydrostatic below the water table surface).</t>
        </is>
      </c>
      <c r="E123" s="15" t="inlineStr">
        <is>
          <t>double</t>
        </is>
      </c>
      <c r="F123" s="15" t="inlineStr">
        <is>
          <t>pressure</t>
        </is>
      </c>
    </row>
    <row r="124" ht="17" customHeight="1">
      <c r="A124" s="2">
        <f>IF(ISNA(VLOOKUP(B124,AssociatedElements!B$2:B761,1,FALSE)),"Not used","")</f>
        <v/>
      </c>
      <c r="B124" s="11" t="inlineStr">
        <is>
          <t>pore_pressure_u1</t>
        </is>
      </c>
      <c r="C124" s="15" t="inlineStr">
        <is>
          <t>Pore Water Pressure (U1)</t>
        </is>
      </c>
      <c r="D124" s="14" t="inlineStr">
        <is>
          <t>Measured pore pressure from u1 transducer on tip.</t>
        </is>
      </c>
      <c r="E124" s="15" t="inlineStr">
        <is>
          <t>double</t>
        </is>
      </c>
      <c r="F124" s="15" t="inlineStr">
        <is>
          <t>pressure</t>
        </is>
      </c>
    </row>
    <row r="125" ht="17" customHeight="1">
      <c r="A125" s="2">
        <f>IF(ISNA(VLOOKUP(B125,AssociatedElements!B$2:B762,1,FALSE)),"Not used","")</f>
        <v/>
      </c>
      <c r="B125" s="11" t="inlineStr">
        <is>
          <t>pore_pressure_u2</t>
        </is>
      </c>
      <c r="C125" s="15" t="inlineStr">
        <is>
          <t>Pore Water Pressure (U2)</t>
        </is>
      </c>
      <c r="D125" s="14" t="inlineStr">
        <is>
          <t>Measured pore pressure from u2 transducer behind tip.</t>
        </is>
      </c>
      <c r="E125" s="15" t="inlineStr">
        <is>
          <t>double</t>
        </is>
      </c>
      <c r="F125" s="15" t="inlineStr">
        <is>
          <t>pressure</t>
        </is>
      </c>
    </row>
    <row r="126" ht="17" customHeight="1">
      <c r="A126" s="2">
        <f>IF(ISNA(VLOOKUP(B126,AssociatedElements!B$2:B763,1,FALSE)),"Not used","")</f>
        <v/>
      </c>
      <c r="B126" s="11" t="inlineStr">
        <is>
          <t>pore_pressure_u3</t>
        </is>
      </c>
      <c r="C126" s="15" t="inlineStr">
        <is>
          <t>Pore Water Pressure (U3)</t>
        </is>
      </c>
      <c r="D126" s="14" t="inlineStr">
        <is>
          <t>Measured pore pressure from u3 transducer behind sleeve.</t>
        </is>
      </c>
      <c r="E126" s="15" t="inlineStr">
        <is>
          <t>double</t>
        </is>
      </c>
      <c r="F126" s="15" t="inlineStr">
        <is>
          <t>pressure</t>
        </is>
      </c>
    </row>
    <row r="127" ht="170" customHeight="1">
      <c r="A127" s="2">
        <f>IF(ISNA(VLOOKUP(B127,AssociatedElements!B$2:B764,1,FALSE)),"Not used","")</f>
        <v/>
      </c>
      <c r="B127" s="11" t="inlineStr">
        <is>
          <t>preconsolidation_pressure</t>
        </is>
      </c>
      <c r="C127" s="15" t="inlineStr">
        <is>
          <t>Preconsolidation Pressure</t>
        </is>
      </c>
      <c r="D127"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7" s="15" t="inlineStr">
        <is>
          <t>double</t>
        </is>
      </c>
      <c r="F127" s="15" t="inlineStr">
        <is>
          <t>pressure</t>
        </is>
      </c>
    </row>
    <row r="128" ht="17" customHeight="1">
      <c r="A128" s="2">
        <f>IF(ISNA(VLOOKUP(B128,AssociatedElements!B$2:B765,1,FALSE)),"Not used","")</f>
        <v/>
      </c>
      <c r="B128" s="11" t="inlineStr">
        <is>
          <t>pressure_filtration_coeff</t>
        </is>
      </c>
      <c r="C128" s="15" t="inlineStr">
        <is>
          <t>Pressure Filtration Coefficient</t>
        </is>
      </c>
      <c r="D128" s="14" t="inlineStr">
        <is>
          <t>Value derived from a pressure filtration test</t>
        </is>
      </c>
      <c r="E128" s="15" t="inlineStr">
        <is>
          <t>double</t>
        </is>
      </c>
      <c r="F128" s="15" t="inlineStr">
        <is>
          <t>reciprocal time squared</t>
        </is>
      </c>
    </row>
    <row r="129" ht="17" customHeight="1">
      <c r="A129" s="2">
        <f>IF(ISNA(VLOOKUP(B129,AssociatedElements!B$2:B786,1,FALSE)),"Not used","")</f>
        <v/>
      </c>
      <c r="B129" s="11" t="inlineStr">
        <is>
          <t>pumping_rate</t>
        </is>
      </c>
      <c r="C129" s="11" t="inlineStr">
        <is>
          <t>Pumping rate</t>
        </is>
      </c>
      <c r="D129" s="2" t="inlineStr">
        <is>
          <t>Flow of water produced by pumping; recorded in pump tests</t>
        </is>
      </c>
      <c r="E129" s="11" t="inlineStr">
        <is>
          <t>double</t>
        </is>
      </c>
      <c r="F129" s="11" t="inlineStr">
        <is>
          <t>volume per time</t>
        </is>
      </c>
    </row>
    <row r="130" ht="136" customHeight="1">
      <c r="A130" s="2">
        <f>IF(ISNA(VLOOKUP(B130,AssociatedElements!B$2:B766,1,FALSE)),"Not used","")</f>
        <v/>
      </c>
      <c r="B130" s="11" t="inlineStr">
        <is>
          <t>recompression_index</t>
        </is>
      </c>
      <c r="C130" s="15" t="inlineStr">
        <is>
          <t>Recompression Index</t>
        </is>
      </c>
      <c r="D130"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0" s="15" t="inlineStr">
        <is>
          <t>double</t>
        </is>
      </c>
      <c r="F130" s="15" t="n"/>
    </row>
    <row r="131" ht="34" customHeight="1">
      <c r="A131" s="2">
        <f>IF(ISNA(VLOOKUP(B131,AssociatedElements!B$2:B767,1,FALSE)),"Not used","")</f>
        <v/>
      </c>
      <c r="B131" s="11" t="inlineStr">
        <is>
          <t>redox_potential</t>
        </is>
      </c>
      <c r="C131" s="15" t="inlineStr">
        <is>
          <t>Redox Potential</t>
        </is>
      </c>
      <c r="D131" s="14" t="inlineStr">
        <is>
          <t xml:space="preserve">A 'measure of the ability of chemical/biochemical systems to oxidize (lose electrons) or reduce (gain electrons). </t>
        </is>
      </c>
      <c r="E131" s="15" t="inlineStr">
        <is>
          <t>double</t>
        </is>
      </c>
      <c r="F131" s="15" t="inlineStr">
        <is>
          <t>electric potential difference</t>
        </is>
      </c>
    </row>
    <row r="132" ht="34" customHeight="1">
      <c r="A132" s="2">
        <f>IF(ISNA(VLOOKUP(B132,AssociatedElements!B$2:B768,1,FALSE)),"Not used","")</f>
        <v/>
      </c>
      <c r="B132" s="11" t="inlineStr">
        <is>
          <t>relative_density</t>
        </is>
      </c>
      <c r="C132" s="15" t="inlineStr">
        <is>
          <t>Density, Relative</t>
        </is>
      </c>
      <c r="D132" s="14" t="inlineStr">
        <is>
          <t xml:space="preserve">The density of a granular specimen relative to its maximum and minimum density (or void ratio) </t>
        </is>
      </c>
      <c r="E132" s="15" t="inlineStr">
        <is>
          <t>double</t>
        </is>
      </c>
      <c r="F132" s="15" t="n"/>
    </row>
    <row r="133" ht="34" customHeight="1">
      <c r="A133" s="2">
        <f>IF(ISNA(VLOOKUP(B133,AssociatedElements!B$2:B769,1,FALSE)),"Not used","")</f>
        <v/>
      </c>
      <c r="B133" s="11" t="inlineStr">
        <is>
          <t>resistivity</t>
        </is>
      </c>
      <c r="C133" s="15" t="inlineStr">
        <is>
          <t>Electrical Resistivity</t>
        </is>
      </c>
      <c r="D133" s="14" t="inlineStr">
        <is>
          <t>A measure of the resisting power of a specified material to the flow of an electric current.</t>
        </is>
      </c>
      <c r="E133" s="15" t="inlineStr">
        <is>
          <t>double</t>
        </is>
      </c>
      <c r="F133" s="15" t="inlineStr">
        <is>
          <t>electrical resistivity</t>
        </is>
      </c>
    </row>
    <row r="134" ht="17" customHeight="1">
      <c r="A134" s="2">
        <f>IF(ISNA(VLOOKUP(B134,AssociatedElements!B$2:B770,1,FALSE)),"Not used","")</f>
        <v/>
      </c>
      <c r="B134" s="11" t="inlineStr">
        <is>
          <t>rock_porosity</t>
        </is>
      </c>
      <c r="C134" s="15" t="inlineStr">
        <is>
          <t>Rock Porosity</t>
        </is>
      </c>
      <c r="D134" s="14" t="inlineStr">
        <is>
          <t>The open space in a rock divided by the total rock volume.</t>
        </is>
      </c>
      <c r="E134" s="15" t="inlineStr">
        <is>
          <t>double</t>
        </is>
      </c>
      <c r="J134" s="2" t="inlineStr">
        <is>
          <t>x</t>
        </is>
      </c>
    </row>
    <row r="135" ht="68" customHeight="1">
      <c r="A135" s="2">
        <f>IF(ISNA(VLOOKUP(B135,AssociatedElements!B$2:B771,1,FALSE)),"Not used","")</f>
        <v/>
      </c>
      <c r="B135" s="11" t="inlineStr">
        <is>
          <t>schmidt_hardness_value</t>
        </is>
      </c>
      <c r="C135" s="15" t="inlineStr">
        <is>
          <t>Schmidt Hardness Value</t>
        </is>
      </c>
      <c r="D135" s="14" t="inlineStr">
        <is>
          <t>The Schmidt Hardness Test utilizes a hammer mass launched against an impact plunger. The amount of hammer mass rebound depends on the hardness of the test piece. This rebound amount is then shown on a scale of 10 to 100.</t>
        </is>
      </c>
      <c r="E135" s="15" t="inlineStr">
        <is>
          <t>double</t>
        </is>
      </c>
      <c r="F135" s="15" t="n"/>
    </row>
    <row r="136" ht="34" customHeight="1">
      <c r="A136" s="2">
        <f>IF(ISNA(VLOOKUP(B136,AssociatedElements!B$2:B772,1,FALSE)),"Not used","")</f>
        <v/>
      </c>
      <c r="B136" s="11" t="inlineStr">
        <is>
          <t>sensitivity</t>
        </is>
      </c>
      <c r="C136" s="15" t="inlineStr">
        <is>
          <t>Sensitivity</t>
        </is>
      </c>
      <c r="D136" s="14" t="inlineStr">
        <is>
          <t>the ratio of the strength of the soil in the undisturbed state to that of the soil in the remolded state.</t>
        </is>
      </c>
      <c r="E136" s="15" t="inlineStr">
        <is>
          <t>double</t>
        </is>
      </c>
      <c r="F136" s="15" t="n"/>
    </row>
    <row r="137" ht="17" customHeight="1">
      <c r="A137" s="2">
        <f>IF(ISNA(VLOOKUP(B137,AssociatedElements!B$2:B773,1,FALSE)),"Not used","")</f>
        <v/>
      </c>
      <c r="B137" s="11" t="inlineStr">
        <is>
          <t>set_time</t>
        </is>
      </c>
      <c r="C137" s="15" t="inlineStr">
        <is>
          <t>Set Time</t>
        </is>
      </c>
      <c r="D137" s="14" t="inlineStr">
        <is>
          <t>Setting time for grout</t>
        </is>
      </c>
      <c r="E137" s="15" t="inlineStr">
        <is>
          <t>double</t>
        </is>
      </c>
      <c r="F137" s="15" t="inlineStr">
        <is>
          <t>time</t>
        </is>
      </c>
    </row>
    <row r="138" ht="85" customHeight="1">
      <c r="A138" s="2">
        <f>IF(ISNA(VLOOKUP(B138,AssociatedElements!B$2:B774,1,FALSE)),"Not used","")</f>
        <v/>
      </c>
      <c r="B138" s="11" t="inlineStr">
        <is>
          <t>shear_strength_drained</t>
        </is>
      </c>
      <c r="C138" s="15" t="inlineStr">
        <is>
          <t>Peak Drained Shear Strength</t>
        </is>
      </c>
      <c r="D138"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8" s="15" t="inlineStr">
        <is>
          <t>double</t>
        </is>
      </c>
      <c r="F138" s="15" t="inlineStr">
        <is>
          <t>pressure</t>
        </is>
      </c>
    </row>
    <row r="139" ht="68" customHeight="1">
      <c r="A139" s="2">
        <f>IF(ISNA(VLOOKUP(B139,AssociatedElements!B$2:B775,1,FALSE)),"Not used","")</f>
        <v/>
      </c>
      <c r="B139" s="11" t="inlineStr">
        <is>
          <t>shear_strength_undrained</t>
        </is>
      </c>
      <c r="C139" s="15" t="inlineStr">
        <is>
          <t>Peak Undrained Shear Strength</t>
        </is>
      </c>
      <c r="D139" s="14" t="inlineStr">
        <is>
          <t xml:space="preserve">The peak shear strength of an intact specimen when no volume change is allowed during the tests. The value can be measured in the lab and in the field. In both cases, the value can be calculated from different tests. </t>
        </is>
      </c>
      <c r="E139" s="15" t="inlineStr">
        <is>
          <t>double</t>
        </is>
      </c>
      <c r="F139" s="15" t="inlineStr">
        <is>
          <t>pressure</t>
        </is>
      </c>
    </row>
    <row r="140" ht="68" customHeight="1">
      <c r="A140" s="2">
        <f>IF(ISNA(VLOOKUP(B140,AssociatedElements!B$2:B776,1,FALSE)),"Not used","")</f>
        <v/>
      </c>
      <c r="B140" s="11" t="inlineStr">
        <is>
          <t>shear_strength_undrained_residual</t>
        </is>
      </c>
      <c r="C140" s="15" t="inlineStr">
        <is>
          <t>Residual Undrained Shear Strength</t>
        </is>
      </c>
      <c r="D140" s="14" t="inlineStr">
        <is>
          <t xml:space="preserve">A measure of the shear strength of the soil for which the shear stress remains essentially constant with increasing shear displacement andwhen no volume change is allowed during the tests. </t>
        </is>
      </c>
      <c r="E140" s="15" t="inlineStr">
        <is>
          <t>double</t>
        </is>
      </c>
      <c r="F140" s="15" t="inlineStr">
        <is>
          <t>pressure</t>
        </is>
      </c>
    </row>
    <row r="141" ht="68" customHeight="1">
      <c r="A141" s="2">
        <f>IF(ISNA(VLOOKUP(B141,AssociatedElements!B$2:B815,1,FALSE)),"Not used","")</f>
        <v/>
      </c>
      <c r="B141" s="2" t="inlineStr">
        <is>
          <t>shear_velocity</t>
        </is>
      </c>
      <c r="C141" s="2" t="inlineStr">
        <is>
          <t>Shear Velocity</t>
        </is>
      </c>
      <c r="D141" s="16" t="inlineStr">
        <is>
          <t>The velocity of a shear wave (Vs); a shear wave is a type of seismic wave in which the particle motion is perpendicular to the direction of propagation in a horizontal plane ; also called S-wave or secondary wave.</t>
        </is>
      </c>
      <c r="E141" s="2" t="inlineStr">
        <is>
          <t>double</t>
        </is>
      </c>
      <c r="F141" s="2" t="inlineStr">
        <is>
          <t>length per time</t>
        </is>
      </c>
    </row>
    <row r="142" ht="102" customHeight="1">
      <c r="A142" s="2">
        <f>IF(ISNA(VLOOKUP(B142,AssociatedElements!B$2:B777,1,FALSE)),"Not used","")</f>
        <v/>
      </c>
      <c r="B142" s="11" t="inlineStr">
        <is>
          <t>shore_hardness_value</t>
        </is>
      </c>
      <c r="C142" s="15" t="inlineStr">
        <is>
          <t>Shore Hardness Value</t>
        </is>
      </c>
      <c r="D142"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2" s="15" t="inlineStr">
        <is>
          <t>double</t>
        </is>
      </c>
      <c r="F142" s="15" t="inlineStr">
        <is>
          <t>dimensionless</t>
        </is>
      </c>
    </row>
    <row r="143" ht="34" customHeight="1">
      <c r="A143" s="2">
        <f>IF(ISNA(VLOOKUP(B143,AssociatedElements!B$2:B778,1,FALSE)),"Not used","")</f>
        <v/>
      </c>
      <c r="B143" s="11" t="inlineStr">
        <is>
          <t>shrinkage</t>
        </is>
      </c>
      <c r="C143" s="15" t="inlineStr">
        <is>
          <t>Shrinkage</t>
        </is>
      </c>
      <c r="D143" s="14" t="inlineStr">
        <is>
          <t>The amount specimen shrinkage, reported as a percentage of total volume</t>
        </is>
      </c>
      <c r="E143" s="15" t="inlineStr">
        <is>
          <t>double</t>
        </is>
      </c>
      <c r="F143" s="2" t="inlineStr">
        <is>
          <t>volume per volume</t>
        </is>
      </c>
      <c r="J143" s="2" t="inlineStr">
        <is>
          <t>x</t>
        </is>
      </c>
    </row>
    <row r="144" ht="34" customHeight="1">
      <c r="A144" s="2">
        <f>IF(ISNA(VLOOKUP(B144,AssociatedElements!B$2:B779,1,FALSE)),"Not used","")</f>
        <v/>
      </c>
      <c r="B144" s="11" t="inlineStr">
        <is>
          <t>shrinkage_limit</t>
        </is>
      </c>
      <c r="C144" s="15" t="inlineStr">
        <is>
          <t>Shrinkage Limit</t>
        </is>
      </c>
      <c r="D144" s="14" t="inlineStr">
        <is>
          <t>The shrinkage limit (SL) is the water content below which a soil undergoes no further volume change.</t>
        </is>
      </c>
      <c r="E144" s="15" t="inlineStr">
        <is>
          <t>integer</t>
        </is>
      </c>
      <c r="F144" s="2" t="inlineStr">
        <is>
          <t>dimensionless</t>
        </is>
      </c>
      <c r="J144" s="2" t="inlineStr">
        <is>
          <t>x</t>
        </is>
      </c>
    </row>
    <row r="145" ht="51" customHeight="1">
      <c r="A145" s="2">
        <f>IF(ISNA(VLOOKUP(B145,AssociatedElements!B$2:B780,1,FALSE)),"Not used","")</f>
        <v/>
      </c>
      <c r="B145" s="11" t="inlineStr">
        <is>
          <t>shrinkage_ratio</t>
        </is>
      </c>
      <c r="C145" s="15" t="inlineStr">
        <is>
          <t>Shrinkage Ratio</t>
        </is>
      </c>
      <c r="D145" s="14" t="inlineStr">
        <is>
          <t xml:space="preserve">The ratio of a given volume change expressed as a percentage of the dry volume to the corresponding change in water content above the shrinkage limit. </t>
        </is>
      </c>
      <c r="E145" s="15" t="inlineStr">
        <is>
          <t>double</t>
        </is>
      </c>
      <c r="F145" s="15" t="n"/>
    </row>
    <row r="146" ht="68" customHeight="1">
      <c r="A146" s="2">
        <f>IF(ISNA(VLOOKUP(B146,AssociatedElements!B$2:B781,1,FALSE)),"Not used","")</f>
        <v/>
      </c>
      <c r="B146" s="11" t="inlineStr">
        <is>
          <t>slake_durability_index</t>
        </is>
      </c>
      <c r="C146" s="15" t="inlineStr">
        <is>
          <t>Slake Durability Index</t>
        </is>
      </c>
      <c r="D146" s="14" t="inlineStr">
        <is>
          <t>The Slake Durability Index predicts the long-term durability of the rock specimens, to establish weathering and degradation characteristics of each rock type, and to assess the impact of water on the rock degradation.</t>
        </is>
      </c>
      <c r="E146" s="15" t="inlineStr">
        <is>
          <t>double</t>
        </is>
      </c>
      <c r="F146" s="15" t="inlineStr">
        <is>
          <t>dimensionless</t>
        </is>
      </c>
    </row>
    <row r="147" ht="17" customHeight="1">
      <c r="A147" s="2">
        <f>IF(ISNA(VLOOKUP(B147,AssociatedElements!B$2:B782,1,FALSE)),"Not used","")</f>
        <v/>
      </c>
      <c r="B147" s="11" t="inlineStr">
        <is>
          <t>sleeve_friction</t>
        </is>
      </c>
      <c r="C147" s="15" t="inlineStr">
        <is>
          <t>Sleeve Friction</t>
        </is>
      </c>
      <c r="D147" s="14" t="inlineStr">
        <is>
          <t>Value of stress measured on sleeve of cone during penetration</t>
        </is>
      </c>
      <c r="E147" s="15" t="inlineStr">
        <is>
          <t>double</t>
        </is>
      </c>
      <c r="F147" s="15" t="inlineStr">
        <is>
          <t>pressure</t>
        </is>
      </c>
    </row>
    <row r="148" ht="17" customHeight="1">
      <c r="A148" s="2">
        <f>IF(ISNA(VLOOKUP(B148,AssociatedElements!B$2:B783,1,FALSE)),"Not used","")</f>
        <v/>
      </c>
      <c r="B148" s="11" t="inlineStr">
        <is>
          <t>slump</t>
        </is>
      </c>
      <c r="C148" s="15" t="inlineStr">
        <is>
          <t>Slump</t>
        </is>
      </c>
      <c r="D148" s="14" t="inlineStr">
        <is>
          <t>Amount of slump of grout sample</t>
        </is>
      </c>
      <c r="E148" s="15" t="inlineStr">
        <is>
          <t>double</t>
        </is>
      </c>
      <c r="F148" s="15" t="inlineStr">
        <is>
          <t>length</t>
        </is>
      </c>
    </row>
    <row r="149" ht="17" customHeight="1">
      <c r="A149" s="2">
        <f>IF(ISNA(VLOOKUP(B149,AssociatedElements!B$2:B784,1,FALSE)),"Not used","")</f>
        <v/>
      </c>
      <c r="B149" s="11" t="inlineStr">
        <is>
          <t>soil_moisture_content</t>
        </is>
      </c>
      <c r="C149" s="15" t="inlineStr">
        <is>
          <t>Soil Moisture Content</t>
        </is>
      </c>
      <c r="D149" s="14" t="inlineStr">
        <is>
          <t>Soil moisture content measured by sensor (eg CPT)</t>
        </is>
      </c>
      <c r="E149" s="15" t="inlineStr">
        <is>
          <t>double</t>
        </is>
      </c>
      <c r="F149" s="15" t="inlineStr">
        <is>
          <t>dimensionless</t>
        </is>
      </c>
    </row>
    <row r="150" ht="17" customHeight="1">
      <c r="A150" s="2">
        <f>IF(ISNA(VLOOKUP(B150,AssociatedElements!B$2:B785,1,FALSE)),"Not used","")</f>
        <v/>
      </c>
      <c r="B150" s="11" t="inlineStr">
        <is>
          <t>soil_suction</t>
        </is>
      </c>
      <c r="C150" s="15" t="inlineStr">
        <is>
          <t>Soil Suction</t>
        </is>
      </c>
      <c r="D150" s="14" t="inlineStr">
        <is>
          <t>Soil suction value</t>
        </is>
      </c>
      <c r="E150" s="15" t="inlineStr">
        <is>
          <t>double</t>
        </is>
      </c>
      <c r="F150" s="15" t="inlineStr">
        <is>
          <t>pressure</t>
        </is>
      </c>
    </row>
    <row r="151" ht="34" customHeight="1">
      <c r="A151" s="2">
        <f>IF(ISNA(VLOOKUP(B151,AssociatedElements!B$2:B786,1,FALSE)),"Not used","")</f>
        <v/>
      </c>
      <c r="B151" s="11" t="inlineStr">
        <is>
          <t>soil_type</t>
        </is>
      </c>
      <c r="C151" s="15" t="inlineStr">
        <is>
          <t>Soil Type</t>
        </is>
      </c>
      <c r="D151" s="14" t="inlineStr">
        <is>
          <t>A value derived from a dilatometer test, using the dilatometer modulus and material index.</t>
        </is>
      </c>
      <c r="E151" s="15" t="inlineStr">
        <is>
          <t>string</t>
        </is>
      </c>
      <c r="F151" s="15" t="n"/>
    </row>
    <row r="152" ht="119" customHeight="1">
      <c r="A152" s="2">
        <f>IF(ISNA(VLOOKUP(B152,AssociatedElements!B$2:B787,1,FALSE)),"Not used","")</f>
        <v/>
      </c>
      <c r="B152" s="11" t="inlineStr">
        <is>
          <t>specific_gravity_apparent</t>
        </is>
      </c>
      <c r="C152" s="15" t="inlineStr">
        <is>
          <t>Apparent Specific Gravity</t>
        </is>
      </c>
      <c r="D152"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2" s="15" t="inlineStr">
        <is>
          <t>double</t>
        </is>
      </c>
      <c r="F152" s="15" t="n"/>
    </row>
    <row r="153" ht="85" customHeight="1">
      <c r="A153" s="2">
        <f>IF(ISNA(VLOOKUP(B153,AssociatedElements!B$2:B788,1,FALSE)),"Not used","")</f>
        <v/>
      </c>
      <c r="B153" s="11" t="inlineStr">
        <is>
          <t>specific_gravity_bulk</t>
        </is>
      </c>
      <c r="C153" s="15" t="inlineStr">
        <is>
          <t>Bulk Specific Gravity</t>
        </is>
      </c>
      <c r="D153"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3" s="15" t="inlineStr">
        <is>
          <t>double</t>
        </is>
      </c>
      <c r="F153" s="15" t="n"/>
    </row>
    <row r="154" ht="85" customHeight="1">
      <c r="A154" s="2">
        <f>IF(ISNA(VLOOKUP(B154,AssociatedElements!B$2:B789,1,FALSE)),"Not used","")</f>
        <v/>
      </c>
      <c r="B154" s="11" t="inlineStr">
        <is>
          <t>specific_gravity_solids</t>
        </is>
      </c>
      <c r="C154" s="15" t="inlineStr">
        <is>
          <t>Specific Gravity of Solids</t>
        </is>
      </c>
      <c r="D154"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4" s="15" t="inlineStr">
        <is>
          <t>double</t>
        </is>
      </c>
      <c r="F154" s="15" t="n"/>
    </row>
    <row r="155" ht="17" customHeight="1">
      <c r="A155" s="2">
        <f>IF(ISNA(VLOOKUP(B155,AssociatedElements!B$2:B790,1,FALSE)),"Not used","")</f>
        <v/>
      </c>
      <c r="B155" s="11" t="inlineStr">
        <is>
          <t>sulfate_content</t>
        </is>
      </c>
      <c r="C155" s="15" t="inlineStr">
        <is>
          <t>Sulfate Content</t>
        </is>
      </c>
      <c r="D155" s="14" t="inlineStr">
        <is>
          <t>Sulfate content by lab testing (corrosivity series)</t>
        </is>
      </c>
      <c r="E155" s="15" t="inlineStr">
        <is>
          <t>double</t>
        </is>
      </c>
      <c r="F155" s="15" t="inlineStr">
        <is>
          <t>amount of substance per amount of substance</t>
        </is>
      </c>
    </row>
    <row r="156" ht="34" customHeight="1">
      <c r="A156" s="2">
        <f>IF(ISNA(VLOOKUP(B156,AssociatedElements!B$2:B791,1,FALSE)),"Not used","")</f>
        <v/>
      </c>
      <c r="B156" s="11" t="inlineStr">
        <is>
          <t>syneresis</t>
        </is>
      </c>
      <c r="C156" s="15" t="inlineStr">
        <is>
          <t>Syneresis</t>
        </is>
      </c>
      <c r="D156" s="14" t="inlineStr">
        <is>
          <t>The contraction of a gel accompanied by the separating out of liquid. It is calculated as a percent of volume or mass loss.</t>
        </is>
      </c>
      <c r="E156" s="15" t="inlineStr">
        <is>
          <t>double</t>
        </is>
      </c>
      <c r="F156" s="2" t="inlineStr">
        <is>
          <t>dimensionless</t>
        </is>
      </c>
      <c r="J156" s="2" t="inlineStr">
        <is>
          <t>x</t>
        </is>
      </c>
    </row>
    <row r="157" ht="68" customHeight="1">
      <c r="A157" s="2">
        <f>IF(ISNA(VLOOKUP(B157,AssociatedElements!B$2:B792,1,FALSE)),"Not used","")</f>
        <v/>
      </c>
      <c r="B157" s="11" t="inlineStr">
        <is>
          <t>syneresis_surface_area_normalized</t>
        </is>
      </c>
      <c r="C157" s="15" t="inlineStr">
        <is>
          <t>Surface Area Normalized Syneresis</t>
        </is>
      </c>
      <c r="D157" s="14" t="inlineStr">
        <is>
          <t>The syneresis value of a gel specimen divided by its surface area; accounts for variability in syneresis of a gel depending on the amount of the gel exposed to air. Calculated as mass loss divided by surface area</t>
        </is>
      </c>
      <c r="E157" s="15" t="inlineStr">
        <is>
          <t>double</t>
        </is>
      </c>
      <c r="F157" s="15" t="inlineStr">
        <is>
          <t>mass per area</t>
        </is>
      </c>
    </row>
    <row r="158" ht="51" customHeight="1">
      <c r="A158" s="2">
        <f>IF(ISNA(VLOOKUP(B158,AssociatedElements!B$2:B793,1,FALSE)),"Not used","")</f>
        <v/>
      </c>
      <c r="B158" s="11" t="inlineStr">
        <is>
          <t>t50</t>
        </is>
      </c>
      <c r="C158" s="15" t="inlineStr">
        <is>
          <t>T50</t>
        </is>
      </c>
      <c r="D158" s="14" t="inlineStr">
        <is>
          <t>Time until pore pressure reaches the halfway pressure (u50) between starting dynamic pore pressure and equilibrium pore pressure</t>
        </is>
      </c>
      <c r="E158" s="15" t="inlineStr">
        <is>
          <t>double</t>
        </is>
      </c>
      <c r="F158" s="15" t="inlineStr">
        <is>
          <t>time</t>
        </is>
      </c>
    </row>
    <row r="159" ht="17" customHeight="1">
      <c r="A159" s="2">
        <f>IF(ISNA(VLOOKUP(B159,AssociatedElements!B$2:B794,1,FALSE)),"Not used","")</f>
        <v/>
      </c>
      <c r="B159" s="11" t="inlineStr">
        <is>
          <t>temperature</t>
        </is>
      </c>
      <c r="C159" s="15" t="inlineStr">
        <is>
          <t>Temperature</t>
        </is>
      </c>
      <c r="D159" s="14" t="inlineStr">
        <is>
          <t>Measured temperature</t>
        </is>
      </c>
      <c r="E159" s="15" t="inlineStr">
        <is>
          <t>double</t>
        </is>
      </c>
      <c r="F159" s="15" t="inlineStr">
        <is>
          <t>thermodynamic temperature</t>
        </is>
      </c>
    </row>
    <row r="160" ht="17" customHeight="1">
      <c r="A160" s="2">
        <f>IF(ISNA(VLOOKUP(B160,AssociatedElements!B$2:B795,1,FALSE)),"Not used","")</f>
        <v/>
      </c>
      <c r="B160" s="11" t="inlineStr">
        <is>
          <t>ten_percent_fines_value</t>
        </is>
      </c>
      <c r="C160" s="15" t="inlineStr">
        <is>
          <t>Ten Percent Fines Value</t>
        </is>
      </c>
      <c r="D160" s="14" t="inlineStr">
        <is>
          <t>A measure of the resistance of aggregate crushing.</t>
        </is>
      </c>
      <c r="E160" s="15" t="inlineStr">
        <is>
          <t>integer</t>
        </is>
      </c>
      <c r="F160" s="15" t="n"/>
    </row>
    <row r="161" ht="34" customHeight="1">
      <c r="A161" s="2">
        <f>IF(ISNA(VLOOKUP(B161,AssociatedElements!B$2:B818,1,FALSE)),"Not used","")</f>
        <v/>
      </c>
      <c r="B161" s="11" t="inlineStr">
        <is>
          <t>tensile_strength</t>
        </is>
      </c>
      <c r="C161" s="11" t="inlineStr">
        <is>
          <t>Tensile strength</t>
        </is>
      </c>
      <c r="D161" s="2" t="inlineStr">
        <is>
          <t>The maximum stress a material can withstand before breaking under tensile (pulling) forces</t>
        </is>
      </c>
      <c r="E161" s="11" t="inlineStr">
        <is>
          <t>double</t>
        </is>
      </c>
      <c r="F161" s="11" t="inlineStr">
        <is>
          <t>pressure</t>
        </is>
      </c>
    </row>
    <row r="162" ht="51" customHeight="1">
      <c r="A162" s="2">
        <f>IF(ISNA(VLOOKUP(B162,AssociatedElements!B$2:B796,1,FALSE)),"Not used","")</f>
        <v/>
      </c>
      <c r="B162" s="11" t="inlineStr">
        <is>
          <t>thrust</t>
        </is>
      </c>
      <c r="C162" s="15" t="inlineStr">
        <is>
          <t>Thrust</t>
        </is>
      </c>
      <c r="D162" s="14" t="inlineStr">
        <is>
          <t>Thrust force required to advance the dilatometer to the test depth. This force is exclusive of soil or other friction along the push rods. This thrust is referred to as qd.</t>
        </is>
      </c>
      <c r="E162" s="15" t="inlineStr">
        <is>
          <t>double</t>
        </is>
      </c>
      <c r="F162" s="15" t="inlineStr">
        <is>
          <t>force</t>
        </is>
      </c>
    </row>
    <row r="163" ht="17" customHeight="1">
      <c r="A163" s="2">
        <f>IF(ISNA(VLOOKUP(B163,AssociatedElements!B$2:B797,1,FALSE)),"Not used","")</f>
        <v/>
      </c>
      <c r="B163" s="11" t="inlineStr">
        <is>
          <t>time</t>
        </is>
      </c>
      <c r="C163" s="15" t="inlineStr">
        <is>
          <t>Time</t>
        </is>
      </c>
      <c r="D163" s="14" t="inlineStr">
        <is>
          <t>Time instant of measurement</t>
        </is>
      </c>
      <c r="E163" s="15" t="inlineStr">
        <is>
          <t>time</t>
        </is>
      </c>
      <c r="F163" s="15" t="inlineStr">
        <is>
          <t>time</t>
        </is>
      </c>
    </row>
    <row r="164" ht="34" customHeight="1">
      <c r="A164" s="2">
        <f>IF(ISNA(VLOOKUP(B164,AssociatedElements!B$2:B798,1,FALSE)),"Not used","")</f>
        <v/>
      </c>
      <c r="B164" s="11" t="inlineStr">
        <is>
          <t>tip_resistance</t>
        </is>
      </c>
      <c r="C164" s="15" t="inlineStr">
        <is>
          <t>Tip Resistance</t>
        </is>
      </c>
      <c r="D164" s="14" t="inlineStr">
        <is>
          <t>A measure of stress measured at tip of cone during penetration</t>
        </is>
      </c>
      <c r="E164" s="15" t="inlineStr">
        <is>
          <t>double</t>
        </is>
      </c>
      <c r="F164" s="15" t="inlineStr">
        <is>
          <t>pressure</t>
        </is>
      </c>
    </row>
    <row r="165" ht="17" customHeight="1">
      <c r="A165" s="2">
        <f>IF(ISNA(VLOOKUP(B165,AssociatedElements!B$2:B799,1,FALSE)),"Not used","")</f>
        <v/>
      </c>
      <c r="B165" s="11" t="inlineStr">
        <is>
          <t>tip_resistance_corrected</t>
        </is>
      </c>
      <c r="C165" s="15" t="inlineStr">
        <is>
          <t>Corrected Tip Resistance</t>
        </is>
      </c>
      <c r="D165" s="14" t="inlineStr">
        <is>
          <t>Tip resistance corrected for u2 pore pressure measurement</t>
        </is>
      </c>
      <c r="E165" s="15" t="inlineStr">
        <is>
          <t>double</t>
        </is>
      </c>
      <c r="F165" s="15" t="inlineStr">
        <is>
          <t>pressure</t>
        </is>
      </c>
    </row>
    <row r="166" ht="17" customHeight="1">
      <c r="A166" s="2">
        <f>IF(ISNA(VLOOKUP(B166,AssociatedElements!B$2:B821,1,FALSE)),"Not used","")</f>
        <v/>
      </c>
      <c r="B166" s="2" t="inlineStr">
        <is>
          <t>torque</t>
        </is>
      </c>
      <c r="C166" s="24" t="inlineStr">
        <is>
          <t>Torque</t>
        </is>
      </c>
      <c r="D166" s="24" t="inlineStr">
        <is>
          <t>Torque: The rotational force applied by the drill rig.</t>
        </is>
      </c>
      <c r="E166" s="2" t="inlineStr">
        <is>
          <t>double</t>
        </is>
      </c>
      <c r="F166" s="2" t="inlineStr">
        <is>
          <t>moment of force</t>
        </is>
      </c>
    </row>
    <row r="167" ht="17" customHeight="1">
      <c r="A167" s="2">
        <f>IF(ISNA(VLOOKUP(B167,AssociatedElements!B$2:B834,1,FALSE)),"Not used","")</f>
        <v/>
      </c>
      <c r="B167" s="2" t="inlineStr">
        <is>
          <t>transducer_pressure</t>
        </is>
      </c>
      <c r="C167" s="2" t="inlineStr">
        <is>
          <t>Transducer Pressure</t>
        </is>
      </c>
      <c r="D167" s="31" t="inlineStr">
        <is>
          <t>Pressure measured with a transducer</t>
        </is>
      </c>
      <c r="E167" s="2" t="inlineStr">
        <is>
          <t>double</t>
        </is>
      </c>
      <c r="F167" s="2" t="inlineStr">
        <is>
          <t>pressure</t>
        </is>
      </c>
    </row>
    <row r="168" ht="34" customHeight="1">
      <c r="A168" s="2">
        <f>IF(ISNA(VLOOKUP(B168,AssociatedElements!B$2:B800,1,FALSE)),"Not used","")</f>
        <v/>
      </c>
      <c r="B168" s="11" t="inlineStr">
        <is>
          <t>u50</t>
        </is>
      </c>
      <c r="C168" s="15" t="inlineStr">
        <is>
          <t>U50</t>
        </is>
      </c>
      <c r="D168" s="14" t="inlineStr">
        <is>
          <t>Pore pressure midway between dynamic pore pressure and equilibrium pore pressure</t>
        </is>
      </c>
      <c r="E168" s="15" t="inlineStr">
        <is>
          <t>double</t>
        </is>
      </c>
      <c r="F168" s="15" t="inlineStr">
        <is>
          <t>pressure</t>
        </is>
      </c>
    </row>
    <row r="169" ht="68" customHeight="1">
      <c r="A169" s="2">
        <f>IF(ISNA(VLOOKUP(B169,AssociatedElements!B$2:B824,1,FALSE)),"Not used","")</f>
        <v/>
      </c>
      <c r="B169" s="2" t="inlineStr">
        <is>
          <t>uscs_group_name</t>
        </is>
      </c>
      <c r="C169" s="2" t="inlineStr">
        <is>
          <t>USCS Group Name</t>
        </is>
      </c>
      <c r="D169" s="2" t="inlineStr">
        <is>
          <t xml:space="preserve">The Unified Soil Classification group name, including any modifiers as defined in Figures 1,2 and 3 of ASTM D2487 or Figures 1 and 2 of ASTM D2488, eg "Silty sand" or "Gravelly silt with sand". </t>
        </is>
      </c>
      <c r="E169" s="2" t="inlineStr">
        <is>
          <t>string</t>
        </is>
      </c>
    </row>
    <row r="170" ht="51" customHeight="1">
      <c r="A170" s="2">
        <f>IF(ISNA(VLOOKUP(B170,AssociatedElements!B$2:B802,1,FALSE)),"Not used","")</f>
        <v/>
      </c>
      <c r="B170" s="11" t="inlineStr">
        <is>
          <t>uscs_symbol</t>
        </is>
      </c>
      <c r="C170" s="15" t="inlineStr">
        <is>
          <t>USCS Group Symbol</t>
        </is>
      </c>
      <c r="D170" s="14" t="inlineStr">
        <is>
          <t xml:space="preserve">The two-letter symbol of soil type of the Unified Soil Classification System, used in engineering and geology to describe the texture and grain size of a soil. </t>
        </is>
      </c>
      <c r="E170" s="15" t="inlineStr">
        <is>
          <t>string</t>
        </is>
      </c>
      <c r="F170" s="15" t="n"/>
    </row>
    <row r="171" ht="34" customHeight="1">
      <c r="A171" s="2">
        <f>IF(ISNA(VLOOKUP(B171,AssociatedElements!B$2:B803,1,FALSE)),"Not used","")</f>
        <v/>
      </c>
      <c r="B171" s="11" t="inlineStr">
        <is>
          <t>uscs_symbol_425</t>
        </is>
      </c>
      <c r="C171" s="15" t="inlineStr">
        <is>
          <t>USCS Symbol Passing 425 Screen</t>
        </is>
      </c>
      <c r="D171" s="14" t="inlineStr">
        <is>
          <t>The two letter symbol of soil type of the Unified Soil Classification System of material passing 425 micron screen</t>
        </is>
      </c>
      <c r="E171" s="15" t="inlineStr">
        <is>
          <t>string</t>
        </is>
      </c>
      <c r="F171" s="15" t="n"/>
    </row>
    <row r="172" ht="51" customHeight="1">
      <c r="A172" s="2">
        <f>IF(ISNA(VLOOKUP(B172,AssociatedElements!B$2:B804,1,FALSE)),"Not used","")</f>
        <v/>
      </c>
      <c r="B172" s="11" t="inlineStr">
        <is>
          <t>vertical_stress_total</t>
        </is>
      </c>
      <c r="C172" s="15" t="inlineStr">
        <is>
          <t>Total Vertical Stress</t>
        </is>
      </c>
      <c r="D172" s="14" t="inlineStr">
        <is>
          <t>Total vertical stress at the center of the membrane before the insertion of the DMT blade, generally calculated from unit weights estimated using the DMT results.</t>
        </is>
      </c>
      <c r="E172" s="15" t="inlineStr">
        <is>
          <t>double</t>
        </is>
      </c>
      <c r="F172" s="15" t="inlineStr">
        <is>
          <t>pressure</t>
        </is>
      </c>
    </row>
    <row r="173" ht="17" customHeight="1">
      <c r="A173" s="2">
        <f>IF(ISNA(VLOOKUP(B173,AssociatedElements!B$2:B836,1,FALSE)),"Not used","")</f>
        <v/>
      </c>
      <c r="B173" s="2" t="inlineStr">
        <is>
          <t>volume</t>
        </is>
      </c>
      <c r="C173" s="2" t="inlineStr">
        <is>
          <t>Volume</t>
        </is>
      </c>
      <c r="D173" s="2" t="inlineStr">
        <is>
          <t>The amount of material observed</t>
        </is>
      </c>
      <c r="E173" s="2" t="inlineStr">
        <is>
          <t>double</t>
        </is>
      </c>
      <c r="F173" s="2" t="inlineStr">
        <is>
          <t>volume</t>
        </is>
      </c>
    </row>
    <row r="174" ht="17" customHeight="1">
      <c r="A174" s="2">
        <f>IF(ISNA(VLOOKUP(B174,AssociatedElements!B$2:B838,1,FALSE)),"Not used","")</f>
        <v/>
      </c>
      <c r="B174" s="2" t="inlineStr">
        <is>
          <t>volume_loss</t>
        </is>
      </c>
      <c r="C174" s="24" t="inlineStr">
        <is>
          <t>Volume Loss</t>
        </is>
      </c>
      <c r="D174" s="24" t="inlineStr">
        <is>
          <t>The amount of volume reduced between observation steps</t>
        </is>
      </c>
      <c r="E174" s="2" t="inlineStr">
        <is>
          <t>double</t>
        </is>
      </c>
      <c r="F174" s="2" t="inlineStr">
        <is>
          <t>volume</t>
        </is>
      </c>
    </row>
    <row r="175" ht="68" customHeight="1">
      <c r="A175" s="2">
        <f>IF(ISNA(VLOOKUP(B175,AssociatedElements!B$2:B805,1,FALSE)),"Not used","")</f>
        <v/>
      </c>
      <c r="B175" s="11" t="inlineStr">
        <is>
          <t>volumetric_shrinkage</t>
        </is>
      </c>
      <c r="C175" s="15" t="inlineStr">
        <is>
          <t>Volumetric Shrinkage</t>
        </is>
      </c>
      <c r="D175" s="28" t="inlineStr">
        <is>
          <t>The decrease in volume of a soil mass when the water content is reduced from a given percentage to the shrinkage limit and which is expressed as percentage of dry volume of the soil mass.</t>
        </is>
      </c>
      <c r="E175" s="36" t="inlineStr">
        <is>
          <t>integer</t>
        </is>
      </c>
      <c r="F175" s="28" t="inlineStr">
        <is>
          <t>volume per volume</t>
        </is>
      </c>
      <c r="J175" s="2" t="inlineStr">
        <is>
          <t>x</t>
        </is>
      </c>
    </row>
    <row r="176" ht="17" customHeight="1">
      <c r="A176" s="2">
        <f>IF(ISNA(VLOOKUP(B176,AssociatedElements!B$2:B806,1,FALSE)),"Not used","")</f>
        <v/>
      </c>
      <c r="B176" s="11" t="inlineStr">
        <is>
          <t>washout_result</t>
        </is>
      </c>
      <c r="C176" s="15" t="inlineStr">
        <is>
          <t>Washout Result</t>
        </is>
      </c>
      <c r="D176" s="28" t="inlineStr">
        <is>
          <t>Descriptive result of a washout test</t>
        </is>
      </c>
      <c r="E176" s="36" t="inlineStr">
        <is>
          <t>string</t>
        </is>
      </c>
      <c r="F176" s="36" t="n"/>
    </row>
    <row r="177" ht="68" customHeight="1">
      <c r="A177" s="2">
        <f>IF(ISNA(VLOOKUP(B177,AssociatedElements!B$2:B807,1,FALSE)),"Not used","")</f>
        <v/>
      </c>
      <c r="B177" s="11" t="inlineStr">
        <is>
          <t>water_content_natural</t>
        </is>
      </c>
      <c r="C177" s="20" t="inlineStr">
        <is>
          <t>Natural Water Content</t>
        </is>
      </c>
      <c r="D177" s="37" t="inlineStr">
        <is>
          <t>Also referred to as moisture content, this is the mass of water divided by the mass of the solids, expressed as a percentage. Use of this parameter is for natural conditions. Determined in a laboratory or via sensor.</t>
        </is>
      </c>
      <c r="E177" s="36" t="inlineStr">
        <is>
          <t>double</t>
        </is>
      </c>
      <c r="F177" s="28" t="inlineStr">
        <is>
          <t>force per force</t>
        </is>
      </c>
      <c r="J177" s="2" t="inlineStr">
        <is>
          <t>x</t>
        </is>
      </c>
    </row>
    <row r="178" ht="102" customHeight="1">
      <c r="A178" s="2">
        <f>IF(ISNA(VLOOKUP(B178,AssociatedElements!B$2:B808,1,FALSE)),"Not used","")</f>
        <v/>
      </c>
      <c r="B178" s="11" t="inlineStr">
        <is>
          <t>water_content_optimum</t>
        </is>
      </c>
      <c r="C178" s="15" t="inlineStr">
        <is>
          <t>Optimum Water Content</t>
        </is>
      </c>
      <c r="D178"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8" s="36" t="inlineStr">
        <is>
          <t>double</t>
        </is>
      </c>
      <c r="F178" s="28" t="inlineStr">
        <is>
          <t>force per force</t>
        </is>
      </c>
      <c r="J178" s="2" t="inlineStr">
        <is>
          <t>x</t>
        </is>
      </c>
    </row>
    <row r="179" ht="34" customHeight="1">
      <c r="A179" s="2">
        <f>IF(ISNA(VLOOKUP(B179,AssociatedElements!B$2:B809,1,FALSE)),"Not used","")</f>
        <v/>
      </c>
      <c r="B179" s="11" t="inlineStr">
        <is>
          <t>water_depth</t>
        </is>
      </c>
      <c r="C179" s="11" t="inlineStr">
        <is>
          <t>Water Depth</t>
        </is>
      </c>
      <c r="D179" s="2" t="inlineStr">
        <is>
          <t>Measured depth to water below datum, typically directly observed or computed from a pressure transducer</t>
        </is>
      </c>
      <c r="E179" s="11" t="inlineStr">
        <is>
          <t>double</t>
        </is>
      </c>
      <c r="F179" s="11" t="inlineStr">
        <is>
          <t>length</t>
        </is>
      </c>
    </row>
    <row r="180" ht="34" customHeight="1">
      <c r="A180" s="2">
        <f>IF(ISNA(VLOOKUP(B180,AssociatedElements!B$2:B809,1,FALSE)),"Not used","")</f>
        <v/>
      </c>
      <c r="B180" s="11" t="inlineStr">
        <is>
          <t>water_elev</t>
        </is>
      </c>
      <c r="C180" s="11" t="inlineStr">
        <is>
          <t>Water Elevation</t>
        </is>
      </c>
      <c r="D180" s="2" t="inlineStr">
        <is>
          <t>Measured elevation of water level, typically directly observed or computed from a pressure transducer.</t>
        </is>
      </c>
      <c r="E180" s="11" t="inlineStr">
        <is>
          <t>double</t>
        </is>
      </c>
      <c r="F180" s="11" t="inlineStr">
        <is>
          <t>length</t>
        </is>
      </c>
    </row>
    <row r="181" ht="34" customHeight="1">
      <c r="A181" s="2">
        <f>IF(ISNA(VLOOKUP(B181,AssociatedElements!B$2:B839,1,FALSE)),"Not used","")</f>
        <v/>
      </c>
      <c r="B181" s="2" t="inlineStr">
        <is>
          <t>easily_oxidized_carbon</t>
        </is>
      </c>
      <c r="C181" s="2" t="inlineStr">
        <is>
          <t>Easily Oxidized Carbon</t>
        </is>
      </c>
      <c r="D181" s="2" t="inlineStr">
        <is>
          <t>Amount of carbon (as a percent) in a soil that is easily oxidized as defined in AASHTO Standard T 194.</t>
        </is>
      </c>
      <c r="E181" s="2" t="inlineStr">
        <is>
          <t>double</t>
        </is>
      </c>
      <c r="F181" s="2" t="inlineStr">
        <is>
          <t>amount of substance per amount of substance</t>
        </is>
      </c>
    </row>
    <row r="182" ht="34" customHeight="1">
      <c r="A182" s="2">
        <f>IF(ISNA(VLOOKUP(B182,AssociatedElements!B$2:B840,1,FALSE)),"Not used","")</f>
        <v/>
      </c>
      <c r="B182" s="2" t="inlineStr">
        <is>
          <t>total_carbon</t>
        </is>
      </c>
      <c r="C182" s="2" t="inlineStr">
        <is>
          <t>Total Carbon</t>
        </is>
      </c>
      <c r="D182" s="2" t="inlineStr">
        <is>
          <t>Amount of carbon in a soil (as a percent) as defined in AASHTO Standard T 194.</t>
        </is>
      </c>
      <c r="E182" s="2" t="inlineStr">
        <is>
          <t>double</t>
        </is>
      </c>
      <c r="F182" s="2" t="inlineStr">
        <is>
          <t>amount of substance per amount of substance</t>
        </is>
      </c>
    </row>
    <row r="183" ht="34" customHeight="1">
      <c r="A183" s="2">
        <f>IF(ISNA(VLOOKUP(B183,AssociatedElements!B$2:B841,1,FALSE)),"Not used","")</f>
        <v/>
      </c>
      <c r="B183" s="2" t="inlineStr">
        <is>
          <t>easily_oxidized_matter</t>
        </is>
      </c>
      <c r="C183" s="2" t="inlineStr">
        <is>
          <t>Easily Oxidized Organic Matter</t>
        </is>
      </c>
      <c r="D183" s="2" t="inlineStr">
        <is>
          <t>Amount of easily oxidized organic matter (as a percent) in a soil  as defined in AASHTO Standard T 194.</t>
        </is>
      </c>
      <c r="E183" s="2" t="inlineStr">
        <is>
          <t>double</t>
        </is>
      </c>
      <c r="F183" s="2" t="inlineStr">
        <is>
          <t>amount of substance per amount of substance</t>
        </is>
      </c>
    </row>
    <row r="184" ht="34" customHeight="1">
      <c r="A184" s="2">
        <f>IF(ISNA(VLOOKUP(B184,AssociatedElements!B$2:B842,1,FALSE)),"Not used","")</f>
        <v/>
      </c>
      <c r="B184" s="2" t="inlineStr">
        <is>
          <t>total_organic_matter</t>
        </is>
      </c>
      <c r="C184" s="2" t="inlineStr">
        <is>
          <t>Total Organic Matter</t>
        </is>
      </c>
      <c r="D184" s="2" t="inlineStr">
        <is>
          <t>Amount of organic matter (as a percent) in a soil as defined in AASHTO Standard T 194.</t>
        </is>
      </c>
      <c r="E184" s="2" t="inlineStr">
        <is>
          <t>double</t>
        </is>
      </c>
      <c r="F184" s="2" t="inlineStr">
        <is>
          <t>amount of substance per amount of substance</t>
        </is>
      </c>
    </row>
    <row r="185" ht="51" customHeight="1">
      <c r="A185" s="2">
        <f>IF(ISNA(VLOOKUP(B185,AssociatedElements!B$2:B843,1,FALSE)),"Not used","")</f>
        <v/>
      </c>
      <c r="B185" s="2" t="inlineStr">
        <is>
          <t>free_swell_value</t>
        </is>
      </c>
      <c r="C185" s="2" t="inlineStr">
        <is>
          <t>Free Swell Value</t>
        </is>
      </c>
      <c r="D185" s="2" t="inlineStr">
        <is>
          <t>Determined by a one-dimensional swell or collapse test, this is the swell strain corresponding to a vertical stress of 1 kPa (20 lbf/ft2).</t>
        </is>
      </c>
      <c r="E185" s="2" t="inlineStr">
        <is>
          <t>double</t>
        </is>
      </c>
      <c r="F185" s="2" t="inlineStr">
        <is>
          <t>length per length</t>
        </is>
      </c>
    </row>
    <row r="186" ht="34" customHeight="1">
      <c r="A186" s="2">
        <f>IF(ISNA(VLOOKUP(B186,AssociatedElements!B$2:B844,1,FALSE)),"Not used","")</f>
        <v/>
      </c>
      <c r="B186" s="2" t="inlineStr">
        <is>
          <t>swell_pressure</t>
        </is>
      </c>
      <c r="C186" s="2" t="inlineStr">
        <is>
          <t>Swell Pressure</t>
        </is>
      </c>
      <c r="D186" s="2" t="inlineStr">
        <is>
          <t>Determined by a one-dimensional swell or collapse test, this is stress corresponding to zero strain.</t>
        </is>
      </c>
      <c r="E186" s="2" t="inlineStr">
        <is>
          <t>double</t>
        </is>
      </c>
      <c r="F186" s="2" t="inlineStr">
        <is>
          <t>pressure</t>
        </is>
      </c>
    </row>
    <row r="187" ht="51" customHeight="1">
      <c r="A187" s="2">
        <f>IF(ISNA(VLOOKUP(B187,AssociatedElements!B$2:B845,1,FALSE)),"Not used","")</f>
        <v/>
      </c>
      <c r="B187" s="2" t="inlineStr">
        <is>
          <t>d_value</t>
        </is>
      </c>
      <c r="C187" s="2" t="inlineStr">
        <is>
          <t>D Value</t>
        </is>
      </c>
      <c r="D187" s="38" t="inlineStr">
        <is>
          <t>The rapid method equivalent of percent compaction; the comparison of in-place density to laboratory derived maximum density.</t>
        </is>
      </c>
      <c r="E187" s="2" t="inlineStr">
        <is>
          <t>double</t>
        </is>
      </c>
      <c r="F187" s="2" t="inlineStr">
        <is>
          <t>dimensionless</t>
        </is>
      </c>
    </row>
    <row r="188" ht="34" customHeight="1">
      <c r="A188" s="2">
        <f>IF(ISNA(VLOOKUP(B188,AssociatedElements!B$2:B846,1,FALSE)),"Not used","")</f>
        <v/>
      </c>
      <c r="B188" s="2" t="inlineStr">
        <is>
          <t>c_value</t>
        </is>
      </c>
      <c r="C188" s="2" t="inlineStr">
        <is>
          <t>C Value</t>
        </is>
      </c>
      <c r="D188" s="2" t="inlineStr">
        <is>
          <t>The comparison of field compactive effort to standard laboratory compactive effort.</t>
        </is>
      </c>
      <c r="E188" s="2" t="inlineStr">
        <is>
          <t>double</t>
        </is>
      </c>
      <c r="F188" s="2" t="inlineStr">
        <is>
          <t>dimensionless</t>
        </is>
      </c>
    </row>
    <row r="189" ht="34" customHeight="1">
      <c r="A189" s="2">
        <f>IF(ISNA(VLOOKUP(B189,AssociatedElements!B$2:B847,1,FALSE)),"Not used","")</f>
        <v/>
      </c>
      <c r="B189" s="2" t="inlineStr">
        <is>
          <t>water_content_difference</t>
        </is>
      </c>
      <c r="C189" s="2" t="inlineStr">
        <is>
          <t>Water Content Difference</t>
        </is>
      </c>
      <c r="D189" s="2" t="inlineStr">
        <is>
          <t>The difference in water content between the field and the optimum water content of a soil.</t>
        </is>
      </c>
      <c r="E189" s="2" t="inlineStr">
        <is>
          <t>double</t>
        </is>
      </c>
      <c r="F189" s="2" t="inlineStr">
        <is>
          <t>force per force</t>
        </is>
      </c>
    </row>
    <row r="190" ht="34" customHeight="1">
      <c r="A190" s="2">
        <f>IF(ISNA(VLOOKUP(B190,AssociatedElements!B$2:B847,1,FALSE)),"Not used","")</f>
        <v/>
      </c>
      <c r="B190" s="2" t="inlineStr">
        <is>
          <t>d84</t>
        </is>
      </c>
      <c r="C190" s="2" t="inlineStr">
        <is>
          <t>d84</t>
        </is>
      </c>
      <c r="D190" s="2" t="inlineStr">
        <is>
          <t>Grain diameter corresponding to 84 percent passing.  Intermediate value used to report other results.</t>
        </is>
      </c>
      <c r="E190" s="2" t="inlineStr">
        <is>
          <t>double</t>
        </is>
      </c>
      <c r="F190" s="2" t="inlineStr">
        <is>
          <t>length</t>
        </is>
      </c>
    </row>
    <row r="191" ht="34" customHeight="1">
      <c r="A191" s="2">
        <f>IF(ISNA(VLOOKUP(B191,AssociatedElements!B$2:B848,1,FALSE)),"Not used","")</f>
        <v/>
      </c>
      <c r="B191" s="2" t="inlineStr">
        <is>
          <t>d90</t>
        </is>
      </c>
      <c r="C191" s="2" t="inlineStr">
        <is>
          <t>d90</t>
        </is>
      </c>
      <c r="D191" s="2" t="inlineStr">
        <is>
          <t>Grain diameter corresponding to 90 percent passing.  Intermediate value used to report other results.</t>
        </is>
      </c>
      <c r="E191" s="2" t="inlineStr">
        <is>
          <t>double</t>
        </is>
      </c>
      <c r="F191" s="2" t="inlineStr">
        <is>
          <t>length</t>
        </is>
      </c>
    </row>
    <row r="192" ht="34" customHeight="1">
      <c r="A192" s="2">
        <f>IF(ISNA(VLOOKUP(B192,AssociatedElements!B$2:B849,1,FALSE)),"Not used","")</f>
        <v/>
      </c>
      <c r="B192" s="2" t="inlineStr">
        <is>
          <t>percent_coarse_gravel</t>
        </is>
      </c>
      <c r="C192" s="2" t="inlineStr">
        <is>
          <t>percent coarse gravel</t>
        </is>
      </c>
      <c r="D192" s="2" t="inlineStr">
        <is>
          <t>The percentage of particles that pass the 75 mm sieve and are retained on the 19mm sieve (&lt;75 mm and &gt;19mm).</t>
        </is>
      </c>
      <c r="E192" s="2" t="inlineStr">
        <is>
          <t>double</t>
        </is>
      </c>
      <c r="F192" s="2" t="inlineStr">
        <is>
          <t>force per force</t>
        </is>
      </c>
    </row>
    <row r="193" ht="34" customHeight="1">
      <c r="A193" s="2">
        <f>IF(ISNA(VLOOKUP(B193,AssociatedElements!B$2:B850,1,FALSE)),"Not used","")</f>
        <v/>
      </c>
      <c r="B193" s="2" t="inlineStr">
        <is>
          <t>percent_fine_gravel</t>
        </is>
      </c>
      <c r="C193" s="2" t="inlineStr">
        <is>
          <t>percent fine gravel</t>
        </is>
      </c>
      <c r="D193" s="2" t="inlineStr">
        <is>
          <t>The percentage of particles that pass the 19 mm sieve and are retained on the 4.75mm sieve (&lt;19 mm and &gt;4.75mm).</t>
        </is>
      </c>
      <c r="E193" s="2" t="inlineStr">
        <is>
          <t>double</t>
        </is>
      </c>
      <c r="F193" s="2" t="inlineStr">
        <is>
          <t>force per force</t>
        </is>
      </c>
    </row>
    <row r="194" ht="34" customHeight="1">
      <c r="A194" s="2">
        <f>IF(ISNA(VLOOKUP(B194,AssociatedElements!B$2:B851,1,FALSE)),"Not used","")</f>
        <v/>
      </c>
      <c r="B194" s="2" t="inlineStr">
        <is>
          <t>percent_coarse_sand</t>
        </is>
      </c>
      <c r="C194" s="2" t="inlineStr">
        <is>
          <t>percent coarse sand</t>
        </is>
      </c>
      <c r="D194" s="2" t="inlineStr">
        <is>
          <t>The percentage of particles thatpass the #4 sieve and are retained on the #10 sieve (&lt;4.75 mm and &gt;2 mm).</t>
        </is>
      </c>
      <c r="E194" s="2" t="inlineStr">
        <is>
          <t>double</t>
        </is>
      </c>
      <c r="F194" s="2" t="inlineStr">
        <is>
          <t>force per force</t>
        </is>
      </c>
    </row>
    <row r="195" ht="34" customHeight="1">
      <c r="A195" s="2">
        <f>IF(ISNA(VLOOKUP(B195,AssociatedElements!B$2:B852,1,FALSE)),"Not used","")</f>
        <v/>
      </c>
      <c r="B195" s="2" t="inlineStr">
        <is>
          <t>percent_medium_sand</t>
        </is>
      </c>
      <c r="C195" s="2" t="inlineStr">
        <is>
          <t>percent medium sand</t>
        </is>
      </c>
      <c r="D195" s="2" t="inlineStr">
        <is>
          <t>The percentage of particles thatpass the #10 sieve and are retained on the #40 sieve (&lt;2 mm and &gt;0.425 mm).</t>
        </is>
      </c>
      <c r="E195" s="2" t="inlineStr">
        <is>
          <t>double</t>
        </is>
      </c>
      <c r="F195" s="2" t="inlineStr">
        <is>
          <t>force per force</t>
        </is>
      </c>
    </row>
    <row r="196" ht="34" customHeight="1">
      <c r="A196" s="2">
        <f>IF(ISNA(VLOOKUP(B196,AssociatedElements!B$2:B853,1,FALSE)),"Not used","")</f>
        <v/>
      </c>
      <c r="B196" s="2" t="inlineStr">
        <is>
          <t>percent_fine_sand</t>
        </is>
      </c>
      <c r="C196" s="2" t="inlineStr">
        <is>
          <t>percent fine sand</t>
        </is>
      </c>
      <c r="D196" s="2" t="inlineStr">
        <is>
          <t>The percentage of particles thatpass the #40 sieve and are retained on the #200 sieve (&lt;0.425 mm and &gt;0.075 mm).</t>
        </is>
      </c>
      <c r="E196" s="2" t="inlineStr">
        <is>
          <t>double</t>
        </is>
      </c>
      <c r="F196" s="2" t="inlineStr">
        <is>
          <t>force per force</t>
        </is>
      </c>
    </row>
    <row r="197" ht="34" customHeight="1">
      <c r="A197" s="2">
        <f>IF(ISNA(VLOOKUP(B197,AssociatedElements!B$2:B854,1,FALSE)),"Not used","")</f>
        <v/>
      </c>
      <c r="B197" s="2" t="inlineStr">
        <is>
          <t>aashto_percent_gravel</t>
        </is>
      </c>
      <c r="C197" s="2" t="inlineStr">
        <is>
          <t>percent gravel aashto</t>
        </is>
      </c>
      <c r="D197" s="2" t="inlineStr">
        <is>
          <t>The percentage of particles that pass the 75mm sieve and are retained on the #10 sieve (&lt;75 mm and &gt;0.075 mm).</t>
        </is>
      </c>
      <c r="E197" s="2" t="inlineStr">
        <is>
          <t>double</t>
        </is>
      </c>
      <c r="F197" s="2" t="inlineStr">
        <is>
          <t>force per force</t>
        </is>
      </c>
    </row>
    <row r="198" ht="34" customHeight="1">
      <c r="A198" s="2">
        <f>IF(ISNA(VLOOKUP(B198,AssociatedElements!B$2:B855,1,FALSE)),"Not used","")</f>
        <v/>
      </c>
      <c r="B198" s="2" t="inlineStr">
        <is>
          <t>aashto_percent_coarse_sand</t>
        </is>
      </c>
      <c r="C198" s="2" t="inlineStr">
        <is>
          <t>percent coarse sand aashto</t>
        </is>
      </c>
      <c r="D198" s="2" t="inlineStr">
        <is>
          <t>The percentage of particles that pass the #10 sieve and are retained on the #40 sieve (&lt;2 mm and &gt;0.425 mm).</t>
        </is>
      </c>
      <c r="E198" s="2" t="inlineStr">
        <is>
          <t>double</t>
        </is>
      </c>
      <c r="F198" s="2" t="inlineStr">
        <is>
          <t>force per force</t>
        </is>
      </c>
    </row>
    <row r="199" ht="34" customHeight="1">
      <c r="A199" s="2">
        <f>IF(ISNA(VLOOKUP(B199,AssociatedElements!B$2:B856,1,FALSE)),"Not used","")</f>
        <v/>
      </c>
      <c r="B199" s="2" t="inlineStr">
        <is>
          <t>aashto_percent_fine_sand</t>
        </is>
      </c>
      <c r="C199" s="2" t="inlineStr">
        <is>
          <t>percent fine sand aashto</t>
        </is>
      </c>
      <c r="D199" s="2" t="inlineStr">
        <is>
          <t>The percentage of particles that pass the #40 sieve and are retained on the #200 sieve (&lt;0.425 mm and &gt;0.075 mm).</t>
        </is>
      </c>
      <c r="E199" s="2" t="inlineStr">
        <is>
          <t>double</t>
        </is>
      </c>
      <c r="F199" s="2" t="inlineStr">
        <is>
          <t>force per force</t>
        </is>
      </c>
    </row>
    <row r="200">
      <c r="B200" s="14" t="inlineStr">
        <is>
          <t>settlement</t>
        </is>
      </c>
      <c r="C200" s="14" t="inlineStr">
        <is>
          <t>Settlement</t>
        </is>
      </c>
      <c r="D200"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0" s="14" t="inlineStr">
        <is>
          <t>double</t>
        </is>
      </c>
      <c r="F200" s="14" t="inlineStr">
        <is>
          <t>length</t>
        </is>
      </c>
    </row>
    <row r="201">
      <c r="B201" s="14" t="inlineStr">
        <is>
          <t>differential_settlement</t>
        </is>
      </c>
      <c r="C201" s="14" t="inlineStr">
        <is>
          <t>Differential settlement</t>
        </is>
      </c>
      <c r="D201"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1" s="14" t="inlineStr">
        <is>
          <t>double</t>
        </is>
      </c>
      <c r="F201" s="14" t="inlineStr">
        <is>
          <t>length</t>
        </is>
      </c>
    </row>
    <row r="202">
      <c r="B202" s="14" t="inlineStr">
        <is>
          <t>settlement_reduction_ratio</t>
        </is>
      </c>
      <c r="C202" s="14" t="inlineStr">
        <is>
          <t>Settlement reduction ratio (measured)</t>
        </is>
      </c>
      <c r="D202"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2" s="14" t="inlineStr">
        <is>
          <t>double</t>
        </is>
      </c>
      <c r="F202" s="14" t="inlineStr">
        <is>
          <t>dimensionless</t>
        </is>
      </c>
    </row>
    <row r="203">
      <c r="B203" s="14" t="inlineStr">
        <is>
          <t>pore_pressure</t>
        </is>
      </c>
      <c r="C203" s="14" t="inlineStr">
        <is>
          <t>Pore water pressure (monitored)</t>
        </is>
      </c>
      <c r="D203"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3" s="14" t="inlineStr">
        <is>
          <t>double</t>
        </is>
      </c>
      <c r="F203" s="14" t="inlineStr">
        <is>
          <t>pressure</t>
        </is>
      </c>
    </row>
    <row r="204">
      <c r="B204" s="14" t="inlineStr">
        <is>
          <t>reinforcement_load_fraction</t>
        </is>
      </c>
      <c r="C204" s="14" t="inlineStr">
        <is>
          <t>Reinforcement load fraction</t>
        </is>
      </c>
      <c r="D204" s="14" t="inlineStr">
        <is>
          <t>The fraction of total applied load carried by the reinforcement rather than by the surrounding soil. Dimensionless, 0 to 1. Named by a diggs:PerformanceCriterion stating a minimum, which is how a design requirement on load sharing is expressed.</t>
        </is>
      </c>
      <c r="E204" s="14" t="inlineStr">
        <is>
          <t>double</t>
        </is>
      </c>
      <c r="F204" s="14"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22"/>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s="26" t="inlineStr">
        <is>
          <t>cohesion_residual</t>
        </is>
      </c>
      <c r="C61" s="21" t="inlineStr">
        <is>
          <t>//diggs:propertyClass</t>
        </is>
      </c>
      <c r="D61" s="21" t="inlineStr">
        <is>
          <t>ancestor::diggs:measurement//diggs:procedure/diggs:DirectShearTest</t>
        </is>
      </c>
    </row>
    <row r="62" ht="17" customHeight="1">
      <c r="A62">
        <f>IF(ISNA(VLOOKUP(B62,Definitions!B$2:B$1623,1,FALSE)),"Not listed","")</f>
        <v/>
      </c>
      <c r="B62" s="26" t="inlineStr">
        <is>
          <t>colloid_percent</t>
        </is>
      </c>
      <c r="C62" s="21" t="inlineStr">
        <is>
          <t>//diggs:propertyClass</t>
        </is>
      </c>
      <c r="D62" s="21" t="inlineStr">
        <is>
          <t>ancestor::diggs:measurement//diggs:procedure/diggs:ParticleSizeTest</t>
        </is>
      </c>
    </row>
    <row r="63" ht="17" customHeight="1">
      <c r="A63">
        <f>IF(ISNA(VLOOKUP(B63,Definitions!B$2:B$1623,1,FALSE)),"Not listed","")</f>
        <v/>
      </c>
      <c r="B63" s="26" t="inlineStr">
        <is>
          <t>compression_index</t>
        </is>
      </c>
      <c r="C63" s="21" t="inlineStr">
        <is>
          <t>//diggs:propertyClass</t>
        </is>
      </c>
      <c r="D63" s="21" t="inlineStr">
        <is>
          <t>ancestor::diggs:measurement//diggs:procedure/diggs:ConsolidationTest</t>
        </is>
      </c>
    </row>
    <row r="64" ht="17" customHeight="1">
      <c r="A64">
        <f>IF(ISNA(VLOOKUP(B64,Definitions!B$2:B$1623,1,FALSE)),"Not listed","")</f>
        <v/>
      </c>
      <c r="B64" s="2" t="inlineStr">
        <is>
          <t>compressive_strength_unconfined</t>
        </is>
      </c>
      <c r="C64" s="4" t="inlineStr">
        <is>
          <t>//diggs:propertyClass</t>
        </is>
      </c>
      <c r="D64" s="21" t="inlineStr">
        <is>
          <t>ancestor::diggs:measurement//diggs:procedure/diggs:InSituPenetrometerTest</t>
        </is>
      </c>
    </row>
    <row r="65">
      <c r="A65">
        <f>IF(ISNA(VLOOKUP(B65,Definitions!B$2:B$1623,1,FALSE)),"Not listed","")</f>
        <v/>
      </c>
      <c r="B65" t="inlineStr">
        <is>
          <t>compressive_strength_unconfined</t>
        </is>
      </c>
      <c r="C65" s="4" t="inlineStr">
        <is>
          <t>//diggs:propertyClass</t>
        </is>
      </c>
      <c r="D65" s="21" t="inlineStr">
        <is>
          <t>ancestor::diggs:measurement//diggs:procedure/diggs:LabPenetrometerTest</t>
        </is>
      </c>
    </row>
    <row r="66" ht="17" customHeight="1">
      <c r="A66">
        <f>IF(ISNA(VLOOKUP(B66,Definitions!B$2:B$1623,1,FALSE)),"Not listed","")</f>
        <v/>
      </c>
      <c r="B66" s="26" t="inlineStr">
        <is>
          <t>compressive_strength_unconfined</t>
        </is>
      </c>
      <c r="C66" s="21" t="inlineStr">
        <is>
          <t>//diggs:propertyClass</t>
        </is>
      </c>
      <c r="D66" s="30" t="inlineStr">
        <is>
          <t>ancestor::diggs:measurement//diggs:procedure/diggs:PocketPenetrometerTest</t>
        </is>
      </c>
    </row>
    <row r="67" ht="17" customHeight="1">
      <c r="A67">
        <f>IF(ISNA(VLOOKUP(B67,Definitions!B$2:B$1623,1,FALSE)),"Not listed","")</f>
        <v/>
      </c>
      <c r="B67" s="26" t="inlineStr">
        <is>
          <t>compressive_strength_unconfined</t>
        </is>
      </c>
      <c r="C67" s="21" t="inlineStr">
        <is>
          <t>//diggs:propertyClass</t>
        </is>
      </c>
      <c r="D67" s="21" t="inlineStr">
        <is>
          <t>ancestor::diggs:measurement//diggs:procedure/diggs:UnconfinedCompressiveStrengthTest</t>
        </is>
      </c>
    </row>
    <row r="68" ht="17" customHeight="1">
      <c r="A68">
        <f>IF(ISNA(VLOOKUP(B68,Definitions!B$2:B$1623,1,FALSE)),"Not listed","")</f>
        <v/>
      </c>
      <c r="B68" s="26" t="inlineStr">
        <is>
          <t>conductivity</t>
        </is>
      </c>
      <c r="C68" s="21" t="inlineStr">
        <is>
          <t>//diggs:propertyClass</t>
        </is>
      </c>
      <c r="D68" s="21" t="inlineStr">
        <is>
          <t>ancestor::diggs:measurement//diggs:procedure/diggs:StaticConePenetrationTest</t>
        </is>
      </c>
    </row>
    <row r="69" ht="17" customHeight="1">
      <c r="A69">
        <f>IF(ISNA(VLOOKUP(B69,Definitions!B$2:B$1623,1,FALSE)),"Not listed","")</f>
        <v/>
      </c>
      <c r="B69" s="26" t="inlineStr">
        <is>
          <t>consistency_index</t>
        </is>
      </c>
      <c r="C69" s="21" t="inlineStr">
        <is>
          <t>//diggs:propertyClass</t>
        </is>
      </c>
      <c r="D69" s="21" t="inlineStr">
        <is>
          <t>ancestor::diggs:measurement//diggs:procedure/diggs:AtterbergLimitsTest</t>
        </is>
      </c>
    </row>
    <row r="70" ht="17" customHeight="1">
      <c r="A70">
        <f>IF(ISNA(VLOOKUP(B70,Definitions!B$2:B$1623,1,FALSE)),"Not listed","")</f>
        <v/>
      </c>
      <c r="B70" s="26" t="inlineStr">
        <is>
          <t>consistency_index</t>
        </is>
      </c>
      <c r="C70" s="21" t="inlineStr">
        <is>
          <t>//diggs:propertyClass</t>
        </is>
      </c>
      <c r="D70" s="21" t="inlineStr">
        <is>
          <t>ancestor::diggs:measurement//diggs:procedure/diggs:WaterContentTest</t>
        </is>
      </c>
    </row>
    <row r="71" ht="17" customHeight="1">
      <c r="A71">
        <f>IF(ISNA(VLOOKUP(B71,Definitions!B$2:B$1623,1,FALSE)),"Not listed","")</f>
        <v/>
      </c>
      <c r="B71" s="26" t="inlineStr">
        <is>
          <t>constrained_vert_modulus</t>
        </is>
      </c>
      <c r="C71" s="21" t="inlineStr">
        <is>
          <t>//diggs:propertyClass</t>
        </is>
      </c>
      <c r="D71" s="21" t="inlineStr">
        <is>
          <t>ancestor::diggs:measurement//diggs:procedure/diggs:ConsolidationTest</t>
        </is>
      </c>
    </row>
    <row r="72" ht="17" customHeight="1">
      <c r="A72">
        <f>IF(ISNA(VLOOKUP(B72,Definitions!B$2:B$1623,1,FALSE)),"Not listed","")</f>
        <v/>
      </c>
      <c r="B72" s="26" t="inlineStr">
        <is>
          <t>constrained_vert_modulus</t>
        </is>
      </c>
      <c r="C72" s="21" t="inlineStr">
        <is>
          <t>//diggs:propertyClass</t>
        </is>
      </c>
      <c r="D72" s="21" t="inlineStr">
        <is>
          <t>ancestor::diggs:measurement//diggs:procedure/diggs:FlatPlateDilatometerTest</t>
        </is>
      </c>
    </row>
    <row r="73" ht="17" customHeight="1">
      <c r="A73">
        <f>IF(ISNA(VLOOKUP([1]AssociatedElements!B288,Definitions!B$2:B$1623,1,FALSE)),"Not listed","")</f>
        <v/>
      </c>
      <c r="B73" s="2" t="inlineStr">
        <is>
          <t>d_value</t>
        </is>
      </c>
      <c r="C73" s="4" t="inlineStr">
        <is>
          <t>//diggs:propertyClass</t>
        </is>
      </c>
      <c r="D73" s="21" t="inlineStr">
        <is>
          <t>ancestor::diggs:measurement//diggs:procedure/diggs:LabCompactionTest</t>
        </is>
      </c>
    </row>
    <row r="74" ht="17" customHeight="1">
      <c r="A74">
        <f>IF(ISNA(VLOOKUP(B74,Definitions!B$2:B$1623,1,FALSE)),"Not listed","")</f>
        <v/>
      </c>
      <c r="B74" s="26" t="inlineStr">
        <is>
          <t>d10</t>
        </is>
      </c>
      <c r="C74" s="21" t="inlineStr">
        <is>
          <t>//diggs:propertyClass</t>
        </is>
      </c>
      <c r="D74" s="21" t="inlineStr">
        <is>
          <t>ancestor::diggs:measurement//diggs:procedure/diggs:MaterialGradationTest</t>
        </is>
      </c>
    </row>
    <row r="75" ht="17" customHeight="1">
      <c r="A75">
        <f>IF(ISNA(VLOOKUP(B75,Definitions!B$2:B$1623,1,FALSE)),"Not listed","")</f>
        <v/>
      </c>
      <c r="B75" s="26" t="inlineStr">
        <is>
          <t>d10</t>
        </is>
      </c>
      <c r="C75" s="21" t="inlineStr">
        <is>
          <t>//diggs:propertyClass</t>
        </is>
      </c>
      <c r="D75" s="21" t="inlineStr">
        <is>
          <t>ancestor::diggs:measurement//diggs:procedure/diggs:ParticleSizeTest</t>
        </is>
      </c>
    </row>
    <row r="76" ht="17" customHeight="1">
      <c r="A76">
        <f>IF(ISNA(VLOOKUP(B76,Definitions!B$2:B$1623,1,FALSE)),"Not listed","")</f>
        <v/>
      </c>
      <c r="B76" s="26" t="inlineStr">
        <is>
          <t>d15</t>
        </is>
      </c>
      <c r="C76" s="21" t="inlineStr">
        <is>
          <t>//diggs:propertyClass</t>
        </is>
      </c>
      <c r="D76" s="21" t="inlineStr">
        <is>
          <t>ancestor::diggs:measurement//diggs:procedure/diggs:MaterialGradationTest</t>
        </is>
      </c>
    </row>
    <row r="77" ht="17" customHeight="1">
      <c r="A77">
        <f>IF(ISNA(VLOOKUP(B77,Definitions!B$2:B$1623,1,FALSE)),"Not listed","")</f>
        <v/>
      </c>
      <c r="B77" s="26" t="inlineStr">
        <is>
          <t>d15</t>
        </is>
      </c>
      <c r="C77" s="21" t="inlineStr">
        <is>
          <t>//diggs:propertyClass</t>
        </is>
      </c>
      <c r="D77" s="21" t="inlineStr">
        <is>
          <t>ancestor::diggs:measurement//diggs:procedure/diggs:ParticleSizeTest</t>
        </is>
      </c>
    </row>
    <row r="78" ht="17" customHeight="1">
      <c r="A78">
        <f>IF(ISNA(VLOOKUP(B78,Definitions!B$2:B$1623,1,FALSE)),"Not listed","")</f>
        <v/>
      </c>
      <c r="B78" s="26" t="inlineStr">
        <is>
          <t>d30</t>
        </is>
      </c>
      <c r="C78" s="21" t="inlineStr">
        <is>
          <t>//diggs:propertyClass</t>
        </is>
      </c>
      <c r="D78" s="21" t="inlineStr">
        <is>
          <t>ancestor::diggs:measurement//diggs:procedure/diggs:MaterialGradationTest</t>
        </is>
      </c>
    </row>
    <row r="79" ht="17" customHeight="1">
      <c r="A79">
        <f>IF(ISNA(VLOOKUP(B79,Definitions!B$2:B$1623,1,FALSE)),"Not listed","")</f>
        <v/>
      </c>
      <c r="B79" s="26" t="inlineStr">
        <is>
          <t>d30</t>
        </is>
      </c>
      <c r="C79" s="21" t="inlineStr">
        <is>
          <t>//diggs:propertyClass</t>
        </is>
      </c>
      <c r="D79" s="21" t="inlineStr">
        <is>
          <t>ancestor::diggs:measurement//diggs:procedure/diggs:ParticleSizeTest</t>
        </is>
      </c>
    </row>
    <row r="80" ht="17" customHeight="1">
      <c r="A80">
        <f>IF(ISNA(VLOOKUP(B80,Definitions!B$2:B$1623,1,FALSE)),"Not listed","")</f>
        <v/>
      </c>
      <c r="B80" s="26" t="inlineStr">
        <is>
          <t>d50</t>
        </is>
      </c>
      <c r="C80" s="21" t="inlineStr">
        <is>
          <t>//diggs:propertyClass</t>
        </is>
      </c>
      <c r="D80" s="21" t="inlineStr">
        <is>
          <t>ancestor::diggs:measurement//diggs:procedure/diggs:MaterialGradationTest</t>
        </is>
      </c>
    </row>
    <row r="81" ht="17" customHeight="1">
      <c r="A81">
        <f>IF(ISNA(VLOOKUP(B81,Definitions!B$2:B$1623,1,FALSE)),"Not listed","")</f>
        <v/>
      </c>
      <c r="B81" s="26" t="inlineStr">
        <is>
          <t>d50</t>
        </is>
      </c>
      <c r="C81" s="21" t="inlineStr">
        <is>
          <t>//diggs:propertyClass</t>
        </is>
      </c>
      <c r="D81" s="21" t="inlineStr">
        <is>
          <t>ancestor::diggs:measurement//diggs:procedure/diggs:ParticleSizeTest</t>
        </is>
      </c>
    </row>
    <row r="82" ht="17" customHeight="1">
      <c r="A82">
        <f>IF(ISNA(VLOOKUP(B82,Definitions!B$2:B$1623,1,FALSE)),"Not listed","")</f>
        <v/>
      </c>
      <c r="B82" s="26" t="inlineStr">
        <is>
          <t>d60</t>
        </is>
      </c>
      <c r="C82" s="21" t="inlineStr">
        <is>
          <t>//diggs:propertyClass</t>
        </is>
      </c>
      <c r="D82" s="21" t="inlineStr">
        <is>
          <t>ancestor::diggs:measurement//diggs:procedure/diggs:MaterialGradationTest</t>
        </is>
      </c>
    </row>
    <row r="83" ht="17" customHeight="1">
      <c r="A83">
        <f>IF(ISNA(VLOOKUP(B83,Definitions!B$2:B$1623,1,FALSE)),"Not listed","")</f>
        <v/>
      </c>
      <c r="B83" s="26" t="inlineStr">
        <is>
          <t>d60</t>
        </is>
      </c>
      <c r="C83" s="21" t="inlineStr">
        <is>
          <t>//diggs:propertyClass</t>
        </is>
      </c>
      <c r="D83" s="21" t="inlineStr">
        <is>
          <t>ancestor::diggs:measurement//diggs:procedure/diggs:ParticleSizeTest</t>
        </is>
      </c>
    </row>
    <row r="84" ht="17" customHeight="1">
      <c r="A84">
        <f>IF(ISNA(VLOOKUP(B84,Definitions!B$2:B$1623,1,FALSE)),"Not listed","")</f>
        <v/>
      </c>
      <c r="B84" s="26" t="inlineStr">
        <is>
          <t>d85</t>
        </is>
      </c>
      <c r="C84" s="21" t="inlineStr">
        <is>
          <t>//diggs:propertyClass</t>
        </is>
      </c>
      <c r="D84" s="21" t="inlineStr">
        <is>
          <t>ancestor::diggs:measurement//diggs:procedure/diggs:MaterialGradationTest</t>
        </is>
      </c>
    </row>
    <row r="85" ht="17" customHeight="1">
      <c r="A85">
        <f>IF(ISNA(VLOOKUP(B85,Definitions!B$2:B$1623,1,FALSE)),"Not listed","")</f>
        <v/>
      </c>
      <c r="B85" s="26" t="inlineStr">
        <is>
          <t>d85</t>
        </is>
      </c>
      <c r="C85" s="21" t="inlineStr">
        <is>
          <t>//diggs:propertyClass</t>
        </is>
      </c>
      <c r="D85" s="21" t="inlineStr">
        <is>
          <t>ancestor::diggs:measurement//diggs:procedure/diggs:ParticleSizeTest</t>
        </is>
      </c>
    </row>
    <row r="86" ht="17" customHeight="1">
      <c r="A86">
        <f>IF(ISNA(VLOOKUP(B86,Definitions!B$2:B$1623,1,FALSE)),"Not listed","")</f>
        <v/>
      </c>
      <c r="B86" s="26" t="inlineStr">
        <is>
          <t>degree_of_saturation</t>
        </is>
      </c>
      <c r="C86" s="21" t="inlineStr">
        <is>
          <t>//diggs:propertyClass</t>
        </is>
      </c>
      <c r="D86" s="21" t="inlineStr">
        <is>
          <t>ancestor::diggs:measurement//diggs:procedure/diggs:WaterContentTest</t>
        </is>
      </c>
    </row>
    <row r="87" ht="17" customHeight="1">
      <c r="A87">
        <f>IF(ISNA(VLOOKUP(B87,Definitions!B$2:B$1623,1,FALSE)),"Not listed","")</f>
        <v/>
      </c>
      <c r="B87" s="26" t="inlineStr">
        <is>
          <t>delay</t>
        </is>
      </c>
      <c r="C87" s="21" t="inlineStr">
        <is>
          <t>//diggs:propertyClass</t>
        </is>
      </c>
      <c r="D87" s="21" t="inlineStr">
        <is>
          <t>ancestor::diggs:measurement//diggs:procedure/diggs:DynamicProbeTest</t>
        </is>
      </c>
    </row>
    <row r="88" ht="17" customHeight="1">
      <c r="A88">
        <f>IF(ISNA(VLOOKUP(B88,Definitions!B$2:B$1623,1,FALSE)),"Not listed","")</f>
        <v/>
      </c>
      <c r="B88" s="2" t="inlineStr">
        <is>
          <t>depth</t>
        </is>
      </c>
      <c r="C88" s="4" t="inlineStr">
        <is>
          <t>//diggs:propertyClass</t>
        </is>
      </c>
      <c r="D88" s="21" t="inlineStr">
        <is>
          <t>ancestor::diggs:TemporalResult</t>
        </is>
      </c>
    </row>
    <row r="89" ht="17" customHeight="1">
      <c r="A89">
        <f>IF(ISNA(VLOOKUP(B89,Definitions!B$2:B$1623,1,FALSE)),"Not listed","")</f>
        <v/>
      </c>
      <c r="B89" s="2" t="inlineStr">
        <is>
          <t>depth</t>
        </is>
      </c>
      <c r="C89" s="4" t="inlineStr">
        <is>
          <t>//diggs:propertyClass</t>
        </is>
      </c>
      <c r="D89" s="21" t="inlineStr">
        <is>
          <t>ancestor::diggs:TemporalResult</t>
        </is>
      </c>
    </row>
    <row r="90">
      <c r="A90">
        <f>IF(ISNA(VLOOKUP(B90,Definitions!B$2:B$1623,1,FALSE)),"Not listed","")</f>
        <v/>
      </c>
      <c r="B90" t="inlineStr">
        <is>
          <t>dilation_angle</t>
        </is>
      </c>
      <c r="C90" s="4" t="inlineStr">
        <is>
          <t>//diggs:propertyClass</t>
        </is>
      </c>
      <c r="D90" s="21" t="inlineStr">
        <is>
          <t>ancestor::diggs:measurement//diggs:procedure/diggs:PressuremeterTest</t>
        </is>
      </c>
    </row>
    <row r="91" ht="17" customHeight="1">
      <c r="A91">
        <f>IF(ISNA(VLOOKUP(B91,Definitions!B$2:B$1623,1,FALSE)),"Not listed","")</f>
        <v/>
      </c>
      <c r="B91" s="26" t="inlineStr">
        <is>
          <t>dilatometer_modulus</t>
        </is>
      </c>
      <c r="C91" s="21" t="inlineStr">
        <is>
          <t>//diggs:propertyClass</t>
        </is>
      </c>
      <c r="D91" s="21" t="inlineStr">
        <is>
          <t>ancestor::diggs:measurement//diggs:procedure/diggs:FlatPlateDilatometerTest</t>
        </is>
      </c>
    </row>
    <row r="92" ht="17" customHeight="1">
      <c r="A92">
        <f>IF(ISNA(VLOOKUP(B92,Definitions!B$2:B$1623,1,FALSE)),"Not listed","")</f>
        <v/>
      </c>
      <c r="B92" s="26" t="inlineStr">
        <is>
          <t>dmt_tip_bearing</t>
        </is>
      </c>
      <c r="C92" s="21" t="inlineStr">
        <is>
          <t>//diggs:propertyClass</t>
        </is>
      </c>
      <c r="D92" s="21" t="inlineStr">
        <is>
          <t>ancestor::diggs:measurement//diggs:procedure/diggs:FlatPlateDilatometerTest</t>
        </is>
      </c>
    </row>
    <row r="93" ht="17" customHeight="1">
      <c r="A93">
        <f>IF(ISNA(VLOOKUP(B93,Definitions!B$2:B$1623,1,FALSE)),"Not listed","")</f>
        <v/>
      </c>
      <c r="B93" s="26" t="inlineStr">
        <is>
          <t>dry_density</t>
        </is>
      </c>
      <c r="C93" s="21" t="inlineStr">
        <is>
          <t>//diggs:propertyClass</t>
        </is>
      </c>
      <c r="D93" s="21" t="inlineStr">
        <is>
          <t>ancestor::diggs:measurement//diggs:procedure/diggs:LabDensityTest</t>
        </is>
      </c>
    </row>
    <row r="94" ht="17" customHeight="1">
      <c r="A94">
        <f>IF(ISNA(VLOOKUP(B94,Definitions!B$2:B$1623,1,FALSE)),"Not listed","")</f>
        <v/>
      </c>
      <c r="B94" s="26" t="inlineStr">
        <is>
          <t>dry_density_max</t>
        </is>
      </c>
      <c r="C94" s="21" t="inlineStr">
        <is>
          <t>//diggs:propertyClass</t>
        </is>
      </c>
      <c r="D94" s="21" t="inlineStr">
        <is>
          <t>ancestor::diggs:measurement//diggs:procedure/diggs:LabCompactionTest</t>
        </is>
      </c>
    </row>
    <row r="95" ht="17" customHeight="1">
      <c r="A95">
        <f>IF(ISNA(VLOOKUP([1]AssociatedElements!B284,Definitions!B$2:B$1623,1,FALSE)),"Not listed","")</f>
        <v/>
      </c>
      <c r="B95" s="2" t="inlineStr">
        <is>
          <t>dry_density_max_true</t>
        </is>
      </c>
      <c r="C95" s="21" t="inlineStr">
        <is>
          <t>//diggs:propertyClass</t>
        </is>
      </c>
      <c r="D95" s="21" t="inlineStr">
        <is>
          <t>ancestor::diggs:measurement//diggs:procedure/diggs:LabCompactionTest</t>
        </is>
      </c>
    </row>
    <row r="96" ht="17" customHeight="1">
      <c r="A96">
        <f>IF(ISNA(VLOOKUP([1]AssociatedElements!B283,Definitions!B$2:B$1623,1,FALSE)),"Not listed","")</f>
        <v/>
      </c>
      <c r="B96" s="11" t="inlineStr">
        <is>
          <t>dry_density_true</t>
        </is>
      </c>
      <c r="C96" s="21" t="inlineStr">
        <is>
          <t>//diggs:propertyClass</t>
        </is>
      </c>
      <c r="D96" s="21" t="inlineStr">
        <is>
          <t>ancestor::diggs:measurement//diggs:procedure/diggs:LabDensityTest</t>
        </is>
      </c>
    </row>
    <row r="97" ht="17" customHeight="1">
      <c r="B97" s="2" t="inlineStr">
        <is>
          <t>easily_oxidized_carbon</t>
        </is>
      </c>
      <c r="C97" s="4" t="inlineStr">
        <is>
          <t>//diggs:propertyClass</t>
        </is>
      </c>
      <c r="D97" s="21" t="inlineStr">
        <is>
          <t>ancestor::diggs:measurement//diggs:procedure/diggs:OrganicMatterByWetCombustionTest</t>
        </is>
      </c>
    </row>
    <row r="98" ht="17" customHeight="1">
      <c r="A98">
        <f>IF(ISNA(VLOOKUP([1]AssociatedElements!B284,Definitions!B$2:B$1623,1,FALSE)),"Not listed","")</f>
        <v/>
      </c>
      <c r="B98" s="2" t="inlineStr">
        <is>
          <t>easily_oxidized_matter</t>
        </is>
      </c>
      <c r="C98" s="4" t="inlineStr">
        <is>
          <t>//diggs:propertyClass</t>
        </is>
      </c>
      <c r="D98" s="21" t="inlineStr">
        <is>
          <t>ancestor::diggs:measurement//diggs:procedure/diggs:OrganicMatterByWetCombustionTest</t>
        </is>
      </c>
    </row>
    <row r="99" ht="17" customHeight="1">
      <c r="A99">
        <f>IF(ISNA(VLOOKUP(B99,Definitions!B$2:B$1623,1,FALSE)),"Not listed","")</f>
        <v/>
      </c>
      <c r="B99" s="26" t="inlineStr">
        <is>
          <t>effective_stress_vertical</t>
        </is>
      </c>
      <c r="C99" s="21" t="inlineStr">
        <is>
          <t>//diggs:propertyClass</t>
        </is>
      </c>
      <c r="D99" s="21" t="inlineStr">
        <is>
          <t>ancestor::diggs:measurement//diggs:procedure/diggs:FlatPlateDilatometerTest</t>
        </is>
      </c>
    </row>
    <row r="100" ht="17" customHeight="1">
      <c r="A100">
        <f>IF(ISNA(VLOOKUP(B100,Definitions!B$2:B$1623,1,FALSE)),"Not listed","")</f>
        <v/>
      </c>
      <c r="B100" s="2" t="inlineStr">
        <is>
          <t>elapsed_time</t>
        </is>
      </c>
      <c r="C100" s="4" t="inlineStr">
        <is>
          <t>//diggs:propertyClass</t>
        </is>
      </c>
      <c r="D100" s="29" t="inlineStr">
        <is>
          <t>ancestor::diggs:dissipationTimeSeries</t>
        </is>
      </c>
    </row>
    <row r="101" ht="17" customHeight="1">
      <c r="A101">
        <f>IF(ISNA(VLOOKUP(B101,Definitions!B$2:B$1623,1,FALSE)),"Not listed","")</f>
        <v/>
      </c>
      <c r="B101" s="2" t="inlineStr">
        <is>
          <t>elapsed_time</t>
        </is>
      </c>
      <c r="C101" s="4" t="inlineStr">
        <is>
          <t>//diggs:propertyClass</t>
        </is>
      </c>
      <c r="D101" s="21" t="inlineStr">
        <is>
          <t>ancestor::diggs:lugeonStepTimeSeries</t>
        </is>
      </c>
    </row>
    <row r="102" ht="17" customHeight="1">
      <c r="A102">
        <f>IF(ISNA(VLOOKUP(B102,Definitions!B$2:B$1623,1,FALSE)),"Not listed","")</f>
        <v/>
      </c>
      <c r="B102" s="2" t="inlineStr">
        <is>
          <t>elapsed_time</t>
        </is>
      </c>
      <c r="C102" s="4" t="inlineStr">
        <is>
          <t>//diggs:propertyClass</t>
        </is>
      </c>
      <c r="D102" s="21" t="inlineStr">
        <is>
          <t>ancestor::diggs:measurement//diggs:procedure/diggs:StaticConePenetrationTest</t>
        </is>
      </c>
    </row>
    <row r="103" ht="17" customHeight="1">
      <c r="A103">
        <f>IF(ISNA(VLOOKUP(B103,Definitions!B$2:B$1623,1,FALSE)),"Not listed","")</f>
        <v/>
      </c>
      <c r="B103" s="2" t="inlineStr">
        <is>
          <t>elapsed_time</t>
        </is>
      </c>
      <c r="C103" s="4" t="inlineStr">
        <is>
          <t>//diggs:propertyClass</t>
        </is>
      </c>
      <c r="D103" s="21" t="inlineStr">
        <is>
          <t>ancestor::diggs:syneresisTimeSeries</t>
        </is>
      </c>
    </row>
    <row r="104">
      <c r="A104">
        <f>IF(ISNA(VLOOKUP(B104,Definitions!B$2:B$1623,1,FALSE)),"Not listed","")</f>
        <v/>
      </c>
      <c r="B104" t="inlineStr">
        <is>
          <t>filtrate_volume</t>
        </is>
      </c>
      <c r="C104" s="4" t="inlineStr">
        <is>
          <t>//diggs:propertyClass</t>
        </is>
      </c>
      <c r="D104" s="21" t="inlineStr">
        <is>
          <t>ancestor::diggs:measurement//diggs:procedure/diggs:PressureFiltrationTest</t>
        </is>
      </c>
    </row>
    <row r="105" ht="17" customHeight="1">
      <c r="A105">
        <f>IF(ISNA(VLOOKUP(B105,Definitions!B$2:B$1623,1,FALSE)),"Not listed","")</f>
        <v/>
      </c>
      <c r="B105" s="26" t="inlineStr">
        <is>
          <t>flame_ionization_measurement</t>
        </is>
      </c>
      <c r="C105" s="21" t="inlineStr">
        <is>
          <t>//diggs:propertyClass</t>
        </is>
      </c>
      <c r="D105" s="21" t="inlineStr">
        <is>
          <t>ancestor::diggs:measurement//diggs:procedure/diggs:EnvironmentalScreeningTest</t>
        </is>
      </c>
    </row>
    <row r="106" ht="17" customHeight="1">
      <c r="A106">
        <f>IF(ISNA(VLOOKUP(B106,Definitions!B$2:B$1623,1,FALSE)),"Not listed","")</f>
        <v/>
      </c>
      <c r="B106" s="26" t="inlineStr">
        <is>
          <t>flame_ionization_measurement</t>
        </is>
      </c>
      <c r="C106" s="21" t="inlineStr">
        <is>
          <t>//diggs:propertyClass</t>
        </is>
      </c>
      <c r="D106" s="21" t="inlineStr">
        <is>
          <t>ancestor::diggs:measurement//diggs:procedure/diggs:FlameIonizationDetectorTest</t>
        </is>
      </c>
    </row>
    <row r="107">
      <c r="A107">
        <f>IF(ISNA(VLOOKUP(B107,Definitions!B$2:B$1623,1,FALSE)),"Not listed","")</f>
        <v/>
      </c>
      <c r="B107" t="inlineStr">
        <is>
          <t>flow_cone_time</t>
        </is>
      </c>
      <c r="C107" s="4" t="inlineStr">
        <is>
          <t>//diggs:propertyClass</t>
        </is>
      </c>
      <c r="D107" s="21" t="inlineStr">
        <is>
          <t>ancestor::diggs:measurement//diggs:procedure/diggs:FlowConeTest</t>
        </is>
      </c>
    </row>
    <row r="108" ht="17" customHeight="1">
      <c r="A108">
        <f>IF(ISNA(VLOOKUP(B108,Definitions!B$2:B$1623,1,FALSE)),"Not listed","")</f>
        <v/>
      </c>
      <c r="B108" s="2" t="inlineStr">
        <is>
          <t>flow_mass_rate</t>
        </is>
      </c>
      <c r="C108" s="4" t="inlineStr">
        <is>
          <t>//diggs:propertyClass</t>
        </is>
      </c>
      <c r="D108" s="21" t="inlineStr">
        <is>
          <t>ancestor::diggs:lugeonStepTimeSeries</t>
        </is>
      </c>
    </row>
    <row r="109" ht="17" customHeight="1">
      <c r="A109">
        <f>IF(ISNA(VLOOKUP(B109,Definitions!B$2:B$1623,1,FALSE)),"Not listed","")</f>
        <v/>
      </c>
      <c r="B109" s="2" t="inlineStr">
        <is>
          <t>flow_volume_rate</t>
        </is>
      </c>
      <c r="C109" s="4" t="inlineStr">
        <is>
          <t>//diggs:propertyClass</t>
        </is>
      </c>
      <c r="D109" s="21" t="inlineStr">
        <is>
          <t>ancestor::diggs:lugeonStepTimeSeries</t>
        </is>
      </c>
    </row>
    <row r="110" ht="17" customHeight="1">
      <c r="A110">
        <f>IF(ISNA(VLOOKUP([1]AssociatedElements!B286,Definitions!B$2:B$1623,1,FALSE)),"Not listed","")</f>
        <v/>
      </c>
      <c r="B110" s="2" t="inlineStr">
        <is>
          <t>free_swell_value</t>
        </is>
      </c>
      <c r="C110" s="4" t="inlineStr">
        <is>
          <t>//diggs:propertyClass</t>
        </is>
      </c>
      <c r="D110" s="21" t="inlineStr">
        <is>
          <t>ancestor::diggs:measurement//diggs:procedure/diggs:SwellOrCollapseTest</t>
        </is>
      </c>
    </row>
    <row r="111" ht="17" customHeight="1">
      <c r="A111">
        <f>IF(ISNA(VLOOKUP(B111,Definitions!B$2:B$1623,1,FALSE)),"Not listed","")</f>
        <v/>
      </c>
      <c r="B111" s="26" t="inlineStr">
        <is>
          <t>friction_angle_cv</t>
        </is>
      </c>
      <c r="C111" s="21" t="inlineStr">
        <is>
          <t>//diggs:propertyClass</t>
        </is>
      </c>
      <c r="D111" s="21" t="inlineStr">
        <is>
          <t>ancestor::diggs:measurement//diggs:procedure/diggs:DirectShearTest</t>
        </is>
      </c>
    </row>
    <row r="112">
      <c r="A112">
        <f>IF(ISNA(VLOOKUP(B112,Definitions!B$2:B$1623,1,FALSE)),"Not listed","")</f>
        <v/>
      </c>
      <c r="B112" t="inlineStr">
        <is>
          <t>friction_angle_cv</t>
        </is>
      </c>
      <c r="C112" s="4" t="inlineStr">
        <is>
          <t>//diggs:propertyClass</t>
        </is>
      </c>
      <c r="D112" s="21" t="inlineStr">
        <is>
          <t>ancestor::diggs:measurement//diggs:procedure/diggs:PressuremeterTest</t>
        </is>
      </c>
    </row>
    <row r="113" ht="17" customHeight="1">
      <c r="A113">
        <f>IF(ISNA(VLOOKUP(B113,Definitions!B$2:B$1623,1,FALSE)),"Not listed","")</f>
        <v/>
      </c>
      <c r="B113" s="26" t="inlineStr">
        <is>
          <t>friction_angle_peak</t>
        </is>
      </c>
      <c r="C113" s="21" t="inlineStr">
        <is>
          <t>//diggs:propertyClass</t>
        </is>
      </c>
      <c r="D113" s="21" t="inlineStr">
        <is>
          <t>ancestor::diggs:measurement//diggs:procedure/diggs:DirectShearTest</t>
        </is>
      </c>
    </row>
    <row r="114" ht="17" customHeight="1">
      <c r="A114">
        <f>IF(ISNA(VLOOKUP(B114,Definitions!B$2:B$1623,1,FALSE)),"Not listed","")</f>
        <v/>
      </c>
      <c r="B114" s="26" t="inlineStr">
        <is>
          <t>friction_angle_peak</t>
        </is>
      </c>
      <c r="C114" s="21" t="inlineStr">
        <is>
          <t>//diggs:propertyClass</t>
        </is>
      </c>
      <c r="D114" s="21" t="inlineStr">
        <is>
          <t>ancestor::diggs:measurement//diggs:procedure/diggs:FlatPlateDilatometerTest</t>
        </is>
      </c>
    </row>
    <row r="115">
      <c r="A115">
        <f>IF(ISNA(VLOOKUP(B115,Definitions!B$2:B$1623,1,FALSE)),"Not listed","")</f>
        <v/>
      </c>
      <c r="B115" t="inlineStr">
        <is>
          <t>friction_angle_peak</t>
        </is>
      </c>
      <c r="C115" s="4" t="inlineStr">
        <is>
          <t>//diggs:propertyClass</t>
        </is>
      </c>
      <c r="D115" s="21" t="inlineStr">
        <is>
          <t>ancestor::diggs:measurement//diggs:procedure/diggs:TriaxialTest</t>
        </is>
      </c>
    </row>
    <row r="116" ht="17" customHeight="1">
      <c r="A116">
        <f>IF(ISNA(VLOOKUP(B116,Definitions!B$2:B$1623,1,FALSE)),"Not listed","")</f>
        <v/>
      </c>
      <c r="B116" s="26" t="inlineStr">
        <is>
          <t>friction_angle_peak</t>
        </is>
      </c>
      <c r="C116" s="21" t="inlineStr">
        <is>
          <t>//diggs:propertyClass</t>
        </is>
      </c>
      <c r="D116" s="21" t="inlineStr">
        <is>
          <t>ancestor::diggs:measurement//diggs:procedure/diggs:TriaxialTest</t>
        </is>
      </c>
    </row>
    <row r="117" ht="17" customHeight="1">
      <c r="A117">
        <f>IF(ISNA(VLOOKUP(B117,Definitions!B$2:B$1623,1,FALSE)),"Not listed","")</f>
        <v/>
      </c>
      <c r="B117" s="26" t="inlineStr">
        <is>
          <t>friction_angle_residual</t>
        </is>
      </c>
      <c r="C117" s="21" t="inlineStr">
        <is>
          <t>//diggs:propertyClass</t>
        </is>
      </c>
      <c r="D117" s="21" t="inlineStr">
        <is>
          <t>ancestor::diggs:measurement//diggs:procedure/diggs:DirectShearTest</t>
        </is>
      </c>
    </row>
    <row r="118" ht="17" customHeight="1">
      <c r="A118">
        <f>IF(ISNA(VLOOKUP(B118,Definitions!B$2:B$1623,1,FALSE)),"Not listed","")</f>
        <v/>
      </c>
      <c r="B118" s="26" t="inlineStr">
        <is>
          <t>friction_angle_residual</t>
        </is>
      </c>
      <c r="C118" s="21" t="inlineStr">
        <is>
          <t>//diggs:propertyClass</t>
        </is>
      </c>
      <c r="D118" s="21" t="inlineStr">
        <is>
          <t>ancestor::diggs:measurement//diggs:procedure/diggs:FlatPlateDilatometerTest</t>
        </is>
      </c>
    </row>
    <row r="119">
      <c r="A119">
        <f>IF(ISNA(VLOOKUP(B119,Definitions!B$2:B$1623,1,FALSE)),"Not listed","")</f>
        <v/>
      </c>
      <c r="B119" t="inlineStr">
        <is>
          <t>friction_angle_residual</t>
        </is>
      </c>
      <c r="C119" s="4" t="inlineStr">
        <is>
          <t>//diggs:propertyClass</t>
        </is>
      </c>
      <c r="D119" s="21" t="inlineStr">
        <is>
          <t>ancestor::diggs:measurement//diggs:procedure/diggs:PressuremeterTest</t>
        </is>
      </c>
    </row>
    <row r="120">
      <c r="A120">
        <f>IF(ISNA(VLOOKUP(B120,Definitions!B$2:B$1623,1,FALSE)),"Not listed","")</f>
        <v/>
      </c>
      <c r="B120" t="inlineStr">
        <is>
          <t>friction_angle_residual</t>
        </is>
      </c>
      <c r="C120" s="4" t="inlineStr">
        <is>
          <t>//diggs:propertyClass</t>
        </is>
      </c>
      <c r="D120" s="21" t="inlineStr">
        <is>
          <t>ancestor::diggs:measurement//diggs:procedure/diggs:TriaxialTest</t>
        </is>
      </c>
    </row>
    <row r="121" ht="17" customHeight="1">
      <c r="A121">
        <f>IF(ISNA(VLOOKUP(B121,Definitions!B$2:B$1623,1,FALSE)),"Not listed","")</f>
        <v/>
      </c>
      <c r="B121" s="26" t="inlineStr">
        <is>
          <t>friction_angle_residual</t>
        </is>
      </c>
      <c r="C121" s="21" t="inlineStr">
        <is>
          <t>//diggs:propertyClass</t>
        </is>
      </c>
      <c r="D121" s="21" t="inlineStr">
        <is>
          <t>ancestor::diggs:measurement//diggs:procedure/diggs:TriaxialTest</t>
        </is>
      </c>
    </row>
    <row r="122" ht="17" customHeight="1">
      <c r="A122">
        <f>IF(ISNA(VLOOKUP(B122,Definitions!B$2:B$1623,1,FALSE)),"Not listed","")</f>
        <v/>
      </c>
      <c r="B122" s="26" t="inlineStr">
        <is>
          <t>friction_ratio</t>
        </is>
      </c>
      <c r="C122" s="21" t="inlineStr">
        <is>
          <t>//diggs:propertyClass</t>
        </is>
      </c>
      <c r="D122" s="21" t="inlineStr">
        <is>
          <t>ancestor::diggs:measurement//diggs:procedure/diggs:StaticConePenetrationTest</t>
        </is>
      </c>
    </row>
    <row r="123">
      <c r="A123">
        <f>IF(ISNA(VLOOKUP(B123,Definitions!B$2:B$1623,1,FALSE)),"Not listed","")</f>
        <v/>
      </c>
      <c r="B123" t="inlineStr">
        <is>
          <t>frost_heave</t>
        </is>
      </c>
      <c r="C123" s="4" t="inlineStr">
        <is>
          <t>//diggs:propertyClass</t>
        </is>
      </c>
      <c r="D123" s="21" t="inlineStr">
        <is>
          <t>ancestor::diggs:measurement//diggs:procedure/diggs:FrostSusceptibilityTest</t>
        </is>
      </c>
    </row>
    <row r="124" ht="17" customHeight="1">
      <c r="A124">
        <f>IF(ISNA(VLOOKUP(B124,Definitions!B$2:B$1623,1,FALSE)),"Not listed","")</f>
        <v/>
      </c>
      <c r="B124" s="2" t="inlineStr">
        <is>
          <t>gauge_pressure</t>
        </is>
      </c>
      <c r="C124" s="4" t="inlineStr">
        <is>
          <t>//diggs:propertyClass</t>
        </is>
      </c>
      <c r="D124" s="21" t="inlineStr">
        <is>
          <t>ancestor::diggs:lugeonStepTimeSeries</t>
        </is>
      </c>
    </row>
    <row r="125">
      <c r="A125">
        <f>IF(ISNA(VLOOKUP(B125,Definitions!B$2:B$1623,1,FALSE)),"Not listed","")</f>
        <v/>
      </c>
      <c r="B125" t="inlineStr">
        <is>
          <t>gel_time</t>
        </is>
      </c>
      <c r="C125" s="4" t="inlineStr">
        <is>
          <t>//diggs:propertyClass</t>
        </is>
      </c>
      <c r="D125" s="21" t="inlineStr">
        <is>
          <t>ancestor::diggs:measurement//diggs:procedure/diggs:TiltCupTest</t>
        </is>
      </c>
    </row>
    <row r="126">
      <c r="A126">
        <f>IF(ISNA(VLOOKUP(B126,Definitions!B$2:B$1623,1,FALSE)),"Not listed","")</f>
        <v/>
      </c>
      <c r="B126" t="inlineStr">
        <is>
          <t>gel_time</t>
        </is>
      </c>
      <c r="C126" s="4" t="inlineStr">
        <is>
          <t>//diggs:propertyClass</t>
        </is>
      </c>
      <c r="D126" s="21" t="inlineStr">
        <is>
          <t>ancestor::diggs:measurement//diggs:procedure/diggs:ViscometerTest</t>
        </is>
      </c>
    </row>
    <row r="127" ht="17" customHeight="1">
      <c r="A127">
        <f>IF(ISNA(VLOOKUP(B127,Definitions!B$2:B$1623,1,FALSE)),"Not listed","")</f>
        <v/>
      </c>
      <c r="B127" s="26" t="inlineStr">
        <is>
          <t>HFFD</t>
        </is>
      </c>
      <c r="C127" s="21" t="inlineStr">
        <is>
          <t>//diggs:propertyClass</t>
        </is>
      </c>
      <c r="D127" s="21" t="inlineStr">
        <is>
          <t>ancestor::diggs:measurement//diggs:procedure/diggs:StaticConePenetrationTest</t>
        </is>
      </c>
    </row>
    <row r="128" ht="17" customHeight="1">
      <c r="A128">
        <f>IF(ISNA(VLOOKUP(B128,Definitions!B$2:B$1623,1,FALSE)),"Not listed","")</f>
        <v/>
      </c>
      <c r="B128" s="26" t="inlineStr">
        <is>
          <t>horiz_stress_index</t>
        </is>
      </c>
      <c r="C128" s="21" t="inlineStr">
        <is>
          <t>//diggs:propertyClass</t>
        </is>
      </c>
      <c r="D128" s="21" t="inlineStr">
        <is>
          <t>ancestor::diggs:measurement//diggs:procedure/diggs:FlatPlateDilatometerTest</t>
        </is>
      </c>
    </row>
    <row r="129" ht="17" customHeight="1">
      <c r="A129">
        <f>IF(ISNA(VLOOKUP(B129,Definitions!B$2:B$1623,1,FALSE)),"Not listed","")</f>
        <v/>
      </c>
      <c r="B129" s="26" t="inlineStr">
        <is>
          <t>inclination</t>
        </is>
      </c>
      <c r="C129" s="21" t="inlineStr">
        <is>
          <t>//diggs:propertyClass</t>
        </is>
      </c>
      <c r="D129" s="21" t="inlineStr">
        <is>
          <t>ancestor::diggs:measurement//diggs:procedure/diggs:StaticConePenetrationTest</t>
        </is>
      </c>
    </row>
    <row r="130" ht="17" customHeight="1">
      <c r="A130">
        <f>IF(ISNA(VLOOKUP(B130,Definitions!B$2:B$1623,1,FALSE)),"Not listed","")</f>
        <v/>
      </c>
      <c r="B130" s="26" t="inlineStr">
        <is>
          <t>inclination_x</t>
        </is>
      </c>
      <c r="C130" s="21" t="inlineStr">
        <is>
          <t>//diggs:propertyClass</t>
        </is>
      </c>
      <c r="D130" s="21" t="inlineStr">
        <is>
          <t>ancestor::diggs:measurement//diggs:procedure/diggs:StaticConePenetrationTest</t>
        </is>
      </c>
    </row>
    <row r="131" ht="17" customHeight="1">
      <c r="A131">
        <f>IF(ISNA(VLOOKUP(B131,Definitions!B$2:B$1623,1,FALSE)),"Not listed","")</f>
        <v/>
      </c>
      <c r="B131" s="26" t="inlineStr">
        <is>
          <t>inclination_y</t>
        </is>
      </c>
      <c r="C131" s="21" t="inlineStr">
        <is>
          <t>//diggs:propertyClass</t>
        </is>
      </c>
      <c r="D131" s="21" t="inlineStr">
        <is>
          <t>ancestor::diggs:measurement//diggs:procedure/diggs:StaticConePenetrationTest</t>
        </is>
      </c>
    </row>
    <row r="132">
      <c r="A132">
        <f>IF(ISNA(VLOOKUP(B132,Definitions!B$2:B$1623,1,FALSE)),"Not listed","")</f>
        <v/>
      </c>
      <c r="B132" t="inlineStr">
        <is>
          <t>insitu_horizontal_stress</t>
        </is>
      </c>
      <c r="C132" s="4" t="inlineStr">
        <is>
          <t>//diggs:propertyClass</t>
        </is>
      </c>
      <c r="D132" s="21" t="inlineStr">
        <is>
          <t>ancestor::diggs:measurement//diggs:procedure/diggs:PressuremeterTest</t>
        </is>
      </c>
    </row>
    <row r="133" ht="17" customHeight="1">
      <c r="A133">
        <f>IF(ISNA(VLOOKUP(B133,Definitions!B$2:B$1623,1,FALSE)),"Not listed","")</f>
        <v/>
      </c>
      <c r="B133" s="26" t="inlineStr">
        <is>
          <t>Is</t>
        </is>
      </c>
      <c r="C133" s="21" t="inlineStr">
        <is>
          <t>//diggs:propertyClass</t>
        </is>
      </c>
      <c r="D133" s="21" t="inlineStr">
        <is>
          <t>ancestor::diggs:measurement//diggs:procedure/diggs:PointLoadTest</t>
        </is>
      </c>
    </row>
    <row r="134" ht="17" customHeight="1">
      <c r="A134">
        <f>IF(ISNA(VLOOKUP(B134,Definitions!B$2:B$1623,1,FALSE)),"Not listed","")</f>
        <v/>
      </c>
      <c r="B134" s="26" t="inlineStr">
        <is>
          <t>Is50</t>
        </is>
      </c>
      <c r="C134" s="21" t="inlineStr">
        <is>
          <t>//diggs:propertyClass</t>
        </is>
      </c>
      <c r="D134" s="21" t="inlineStr">
        <is>
          <t>ancestor::diggs:measurement//diggs:procedure/diggs:PointLoadTest</t>
        </is>
      </c>
    </row>
    <row r="135" ht="17" customHeight="1">
      <c r="A135">
        <f>IF(ISNA(VLOOKUP(B135,Definitions!B$2:B$1623,1,FALSE)),"Not listed","")</f>
        <v/>
      </c>
      <c r="B135" s="26" t="inlineStr">
        <is>
          <t>LFFD</t>
        </is>
      </c>
      <c r="C135" s="21" t="inlineStr">
        <is>
          <t>//diggs:propertyClass</t>
        </is>
      </c>
      <c r="D135" s="21" t="inlineStr">
        <is>
          <t>ancestor::diggs:measurement//diggs:procedure/diggs:StaticConePenetrationTest</t>
        </is>
      </c>
    </row>
    <row r="136">
      <c r="A136">
        <f>IF(ISNA(VLOOKUP(B136,Definitions!B$2:B$1623,1,FALSE)),"Not listed","")</f>
        <v/>
      </c>
      <c r="B136" t="inlineStr">
        <is>
          <t>limit_pressure</t>
        </is>
      </c>
      <c r="C136" s="4" t="inlineStr">
        <is>
          <t>//diggs:propertyClass</t>
        </is>
      </c>
      <c r="D136" s="21" t="inlineStr">
        <is>
          <t>ancestor::diggs:measurement//diggs:procedure/diggs:PressuremeterTest</t>
        </is>
      </c>
    </row>
    <row r="137">
      <c r="A137">
        <f>IF(ISNA(VLOOKUP(B137,Definitions!B$2:B$1623,1,FALSE)),"Not listed","")</f>
        <v/>
      </c>
      <c r="B137" t="inlineStr">
        <is>
          <t>line_loss_coeff_A</t>
        </is>
      </c>
      <c r="C137" s="4" t="inlineStr">
        <is>
          <t>//diggs:propertyClass</t>
        </is>
      </c>
      <c r="D137" s="21" t="inlineStr">
        <is>
          <t>ancestor::diggs:measurement//diggs:procedure/diggs:LineLossTest</t>
        </is>
      </c>
    </row>
    <row r="138">
      <c r="A138">
        <f>IF(ISNA(VLOOKUP(B138,Definitions!B$2:B$1623,1,FALSE)),"Not listed","")</f>
        <v/>
      </c>
      <c r="B138" t="inlineStr">
        <is>
          <t>line_loss_coeff_B</t>
        </is>
      </c>
      <c r="C138" s="4" t="inlineStr">
        <is>
          <t>//diggs:propertyClass</t>
        </is>
      </c>
      <c r="D138" s="21" t="inlineStr">
        <is>
          <t>ancestor::diggs:measurement//diggs:procedure/diggs:LineLossTest</t>
        </is>
      </c>
    </row>
    <row r="139">
      <c r="A139">
        <f>IF(ISNA(VLOOKUP(B139,Definitions!B$2:B$1623,1,FALSE)),"Not listed","")</f>
        <v/>
      </c>
      <c r="B139" t="inlineStr">
        <is>
          <t>line_loss_coeff_C</t>
        </is>
      </c>
      <c r="C139" s="4" t="inlineStr">
        <is>
          <t>//diggs:propertyClass</t>
        </is>
      </c>
      <c r="D139" s="21" t="inlineStr">
        <is>
          <t>ancestor::diggs:measurement//diggs:procedure/diggs:LineLossTest</t>
        </is>
      </c>
    </row>
    <row r="140">
      <c r="A140">
        <f>IF(ISNA(VLOOKUP(B140,Definitions!B$2:B$1623,1,FALSE)),"Not listed","")</f>
        <v/>
      </c>
      <c r="B140" t="inlineStr">
        <is>
          <t>line_loss_r2</t>
        </is>
      </c>
      <c r="C140" s="4" t="inlineStr">
        <is>
          <t>//diggs:propertyClass</t>
        </is>
      </c>
      <c r="D140" s="21" t="inlineStr">
        <is>
          <t>ancestor::diggs:measurement//diggs:procedure/diggs:LineLossTest</t>
        </is>
      </c>
    </row>
    <row r="141" ht="17" customHeight="1">
      <c r="A141">
        <f>IF(ISNA(VLOOKUP(B141,Definitions!B$2:B$1623,1,FALSE)),"Not listed","")</f>
        <v/>
      </c>
      <c r="B141" s="26" t="inlineStr">
        <is>
          <t>liquid_limit</t>
        </is>
      </c>
      <c r="C141" s="21" t="inlineStr">
        <is>
          <t>//diggs:propertyClass</t>
        </is>
      </c>
      <c r="D141" s="21" t="inlineStr">
        <is>
          <t>ancestor::diggs:measurement//diggs:procedure/diggs:AtterbergLimitsTest</t>
        </is>
      </c>
    </row>
    <row r="142" ht="17" customHeight="1">
      <c r="A142">
        <f>IF(ISNA(VLOOKUP(B142,Definitions!B$2:B$1623,1,FALSE)),"Not listed","")</f>
        <v/>
      </c>
      <c r="B142" s="26" t="inlineStr">
        <is>
          <t>liquid_limit_oven_dried</t>
        </is>
      </c>
      <c r="C142" s="21" t="inlineStr">
        <is>
          <t>//diggs:propertyClass</t>
        </is>
      </c>
      <c r="D142" s="21" t="inlineStr">
        <is>
          <t>ancestor::diggs:measurement//diggs:procedure/diggs:AtterbergLimitsTest</t>
        </is>
      </c>
    </row>
    <row r="143" ht="17" customHeight="1">
      <c r="A143">
        <f>IF(ISNA(VLOOKUP(B143,Definitions!B$2:B$1623,1,FALSE)),"Not listed","")</f>
        <v/>
      </c>
      <c r="B143" s="26" t="inlineStr">
        <is>
          <t>liquidity_index</t>
        </is>
      </c>
      <c r="C143" s="21" t="inlineStr">
        <is>
          <t>//diggs:propertyClass</t>
        </is>
      </c>
      <c r="D143" s="21" t="inlineStr">
        <is>
          <t>ancestor::diggs:measurement//diggs:procedure/diggs:AtterbergLimitsTest</t>
        </is>
      </c>
    </row>
    <row r="144" ht="17" customHeight="1">
      <c r="A144">
        <f>IF(ISNA(VLOOKUP(B144,Definitions!B$2:B$1623,1,FALSE)),"Not listed","")</f>
        <v/>
      </c>
      <c r="B144" s="26" t="inlineStr">
        <is>
          <t>liquidity_index</t>
        </is>
      </c>
      <c r="C144" s="21" t="inlineStr">
        <is>
          <t>//diggs:propertyClass</t>
        </is>
      </c>
      <c r="D144" s="21" t="inlineStr">
        <is>
          <t>ancestor::diggs:measurement//diggs:procedure/diggs:WaterContentTest</t>
        </is>
      </c>
    </row>
    <row r="145" ht="17" customHeight="1">
      <c r="A145">
        <f>IF(ISNA(VLOOKUP(B145,Definitions!B$2:B$1623,1,FALSE)),"Not listed","")</f>
        <v/>
      </c>
      <c r="B145" s="26" t="inlineStr">
        <is>
          <t>LOI</t>
        </is>
      </c>
      <c r="C145" s="21" t="inlineStr">
        <is>
          <t>//diggs:propertyClass</t>
        </is>
      </c>
      <c r="D145" s="21" t="inlineStr">
        <is>
          <t>ancestor::diggs:measurement//diggs:procedure/diggs:LossOnIgnitionTest</t>
        </is>
      </c>
    </row>
    <row r="146">
      <c r="A146">
        <f>IF(ISNA(VLOOKUP(B146,Definitions!B$2:B$1623,1,FALSE)),"Not listed","")</f>
        <v/>
      </c>
      <c r="B146" t="inlineStr">
        <is>
          <t>lugeon_value</t>
        </is>
      </c>
      <c r="C146" s="4" t="inlineStr">
        <is>
          <t>//diggs:propertyClass</t>
        </is>
      </c>
      <c r="D146" s="21" t="inlineStr">
        <is>
          <t>ancestor::diggs:measurement//diggs:procedure/diggs:LugeonTest</t>
        </is>
      </c>
    </row>
    <row r="147">
      <c r="A147">
        <f>IF(ISNA(VLOOKUP(B147,Definitions!B$2:B$1623,1,FALSE)),"Not listed","")</f>
        <v/>
      </c>
      <c r="B147" t="inlineStr">
        <is>
          <t>marsh_funnel_time</t>
        </is>
      </c>
      <c r="C147" s="4" t="inlineStr">
        <is>
          <t>//diggs:propertyClass</t>
        </is>
      </c>
      <c r="D147" s="21" t="inlineStr">
        <is>
          <t>ancestor::diggs:measurement//diggs:procedure/diggs:MarshFunnelTest</t>
        </is>
      </c>
    </row>
    <row r="148" ht="17" customHeight="1">
      <c r="A148">
        <f>IF(ISNA(VLOOKUP(B148,Definitions!B$2:B$1623,1,FALSE)),"Not listed","")</f>
        <v/>
      </c>
      <c r="B148" s="2" t="inlineStr">
        <is>
          <t>mass</t>
        </is>
      </c>
      <c r="C148" s="4" t="inlineStr">
        <is>
          <t>//diggs:propertyClass</t>
        </is>
      </c>
      <c r="D148" s="21" t="inlineStr">
        <is>
          <t>ancestor::diggs:syneresisTimeSeries</t>
        </is>
      </c>
    </row>
    <row r="149" ht="17" customHeight="1">
      <c r="A149">
        <f>IF(ISNA(VLOOKUP(B149,Definitions!B$2:B$1623,1,FALSE)),"Not listed","")</f>
        <v/>
      </c>
      <c r="B149" s="2" t="inlineStr">
        <is>
          <t>mass_loss</t>
        </is>
      </c>
      <c r="C149" s="4" t="inlineStr">
        <is>
          <t>//diggs:propertyClass</t>
        </is>
      </c>
      <c r="D149" s="21" t="inlineStr">
        <is>
          <t>ancestor::diggs:syneresisTimeSeries</t>
        </is>
      </c>
    </row>
    <row r="150" ht="17" customHeight="1">
      <c r="A150">
        <f>IF(ISNA(VLOOKUP(B150,Definitions!B$2:B$1623,1,FALSE)),"Not listed","")</f>
        <v/>
      </c>
      <c r="B150" s="26" t="inlineStr">
        <is>
          <t>material_index</t>
        </is>
      </c>
      <c r="C150" s="21" t="inlineStr">
        <is>
          <t>//diggs:propertyClass</t>
        </is>
      </c>
      <c r="D150" s="21" t="inlineStr">
        <is>
          <t>ancestor::diggs:measurement//diggs:procedure/diggs:FlatPlateDilatometerTest</t>
        </is>
      </c>
    </row>
    <row r="151">
      <c r="A151">
        <f>IF(ISNA(VLOOKUP(B151,Definitions!B$2:B$1623,1,FALSE)),"Not listed","")</f>
        <v/>
      </c>
      <c r="B151" t="inlineStr">
        <is>
          <t>mcv</t>
        </is>
      </c>
      <c r="C151" s="4" t="inlineStr">
        <is>
          <t>//diggs:propertyClass</t>
        </is>
      </c>
      <c r="D151" s="21" t="inlineStr">
        <is>
          <t>ancestor::diggs:measurement//diggs:procedure/diggs:MCVTest</t>
        </is>
      </c>
    </row>
    <row r="152" ht="17" customHeight="1">
      <c r="A152">
        <f>IF(ISNA(VLOOKUP(B152,Definitions!B$2:B$1623,1,FALSE)),"Not listed","")</f>
        <v/>
      </c>
      <c r="B152" s="2" t="inlineStr">
        <is>
          <t>mean_micro_deval_dry</t>
        </is>
      </c>
      <c r="C152" s="4" t="inlineStr">
        <is>
          <t>//diggs:propertyClass</t>
        </is>
      </c>
      <c r="D152" s="21" t="inlineStr">
        <is>
          <t>ancestor::diggs:measurement//diggs:procedure/diggs:MicroDevalTest</t>
        </is>
      </c>
    </row>
    <row r="153" ht="17" customHeight="1">
      <c r="A153">
        <f>IF(ISNA(VLOOKUP(B153,Definitions!B$2:B$1623,1,FALSE)),"Not listed","")</f>
        <v/>
      </c>
      <c r="B153" s="2" t="inlineStr">
        <is>
          <t>mean_micro_deval_wet</t>
        </is>
      </c>
      <c r="C153" s="4" t="inlineStr">
        <is>
          <t>//diggs:propertyClass</t>
        </is>
      </c>
      <c r="D153" s="21" t="inlineStr">
        <is>
          <t>ancestor::diggs:measurement//diggs:procedure/diggs:MicroDevalTest</t>
        </is>
      </c>
    </row>
    <row r="154">
      <c r="A154">
        <f>IF(ISNA(VLOOKUP(B154,Definitions!B$2:B$1623,1,FALSE)),"Not listed","")</f>
        <v/>
      </c>
      <c r="B154" t="inlineStr">
        <is>
          <t>modulus_shear</t>
        </is>
      </c>
      <c r="C154" s="4" t="inlineStr">
        <is>
          <t>//diggs:propertyClass</t>
        </is>
      </c>
      <c r="D154" s="21" t="inlineStr">
        <is>
          <t>ancestor::diggs:measurement//diggs:procedure/diggs:PressuremeterTest</t>
        </is>
      </c>
    </row>
    <row r="155" ht="17" customHeight="1">
      <c r="A155">
        <f>IF(ISNA(VLOOKUP(B155,Definitions!B$2:B$1623,1,FALSE)),"Not listed","")</f>
        <v/>
      </c>
      <c r="B155" s="26" t="inlineStr">
        <is>
          <t>modulus_shear</t>
        </is>
      </c>
      <c r="C155" s="21" t="inlineStr">
        <is>
          <t>//diggs:propertyClass</t>
        </is>
      </c>
      <c r="D155" s="21" t="inlineStr">
        <is>
          <t>ancestor::diggs:measurement//diggs:procedure/diggs:UnconfinedCompressiveStrengthTest</t>
        </is>
      </c>
    </row>
    <row r="156" ht="17" customHeight="1">
      <c r="A156">
        <f>IF(ISNA(VLOOKUP(B156,Definitions!B$2:B$1623,1,FALSE)),"Not listed","")</f>
        <v/>
      </c>
      <c r="B156" s="26" t="inlineStr">
        <is>
          <t>modulus_youngs</t>
        </is>
      </c>
      <c r="C156" s="21" t="inlineStr">
        <is>
          <t>//diggs:propertyClass</t>
        </is>
      </c>
      <c r="D156" s="21" t="inlineStr">
        <is>
          <t>ancestor::diggs:measurement//diggs:procedure/diggs:UnconfinedCompressiveStrengthTest</t>
        </is>
      </c>
    </row>
    <row r="157">
      <c r="A157">
        <f>IF(ISNA(VLOOKUP(B157,Definitions!B$2:B$1623,1,FALSE)),"Not listed","")</f>
        <v/>
      </c>
      <c r="B157" t="inlineStr">
        <is>
          <t>mud_balance_density</t>
        </is>
      </c>
      <c r="C157" s="4" t="inlineStr">
        <is>
          <t>//diggs:propertyClass</t>
        </is>
      </c>
      <c r="D157" s="21" t="inlineStr">
        <is>
          <t>ancestor::diggs:measurement//diggs:procedure/diggs:MudBalanceTest</t>
        </is>
      </c>
    </row>
    <row r="158" ht="17" customHeight="1">
      <c r="A158">
        <f>IF(ISNA(VLOOKUP(B158,Definitions!B$2:B$1623,1,FALSE)),"Not listed","")</f>
        <v/>
      </c>
      <c r="B158" s="26" t="inlineStr">
        <is>
          <t>n_value</t>
        </is>
      </c>
      <c r="C158" s="21" t="inlineStr">
        <is>
          <t>//diggs:propertyClass</t>
        </is>
      </c>
      <c r="D158" s="21" t="inlineStr">
        <is>
          <t>ancestor::diggs:measurement//diggs:procedure/diggs:DrivenPenetrationTest</t>
        </is>
      </c>
    </row>
    <row r="159" ht="17" customHeight="1">
      <c r="A159">
        <f>IF(ISNA(VLOOKUP(B159,Definitions!B$2:B$1623,1,FALSE)),"Not listed","")</f>
        <v/>
      </c>
      <c r="B159" s="26" t="inlineStr">
        <is>
          <t>n1_60</t>
        </is>
      </c>
      <c r="C159" s="21" t="inlineStr">
        <is>
          <t>//diggs:propertyClass</t>
        </is>
      </c>
      <c r="D159" s="21" t="inlineStr">
        <is>
          <t>ancestor::diggs:measurement//diggs:procedure/diggs:DrivenPenetrationTest</t>
        </is>
      </c>
    </row>
    <row r="160" ht="17" customHeight="1">
      <c r="A160">
        <f>IF(ISNA(VLOOKUP(B160,Definitions!B$2:B$1623,1,FALSE)),"Not listed","")</f>
        <v/>
      </c>
      <c r="B160" s="26" t="inlineStr">
        <is>
          <t>n60</t>
        </is>
      </c>
      <c r="C160" s="21" t="inlineStr">
        <is>
          <t>//diggs:propertyClass</t>
        </is>
      </c>
      <c r="D160" s="21" t="inlineStr">
        <is>
          <t>ancestor::diggs:measurement//diggs:procedure/diggs:DrivenPenetrationTest</t>
        </is>
      </c>
    </row>
    <row r="161" ht="17" customHeight="1">
      <c r="A161">
        <f>IF(ISNA(VLOOKUP(B161,Definitions!B$2:B$1623,1,FALSE)),"Not listed","")</f>
        <v/>
      </c>
      <c r="B161" s="26" t="inlineStr">
        <is>
          <t>non_plastic</t>
        </is>
      </c>
      <c r="C161" s="21" t="inlineStr">
        <is>
          <t>//diggs:propertyClass</t>
        </is>
      </c>
      <c r="D161" s="21" t="inlineStr">
        <is>
          <t>ancestor::diggs:measurement//diggs:procedure/diggs:AtterbergLimitsTest</t>
        </is>
      </c>
    </row>
    <row r="162" ht="17" customHeight="1">
      <c r="A162">
        <f>IF(ISNA(VLOOKUP(B162,Definitions!B$2:B$1623,1,FALSE)),"Not listed","")</f>
        <v/>
      </c>
      <c r="B162" s="26" t="inlineStr">
        <is>
          <t>ocr</t>
        </is>
      </c>
      <c r="C162" s="21" t="inlineStr">
        <is>
          <t>//diggs:propertyClass</t>
        </is>
      </c>
      <c r="D162" s="21" t="inlineStr">
        <is>
          <t>ancestor::diggs:measurement//diggs:procedure/diggs:ConsolidationTest</t>
        </is>
      </c>
    </row>
    <row r="163" ht="17" customHeight="1">
      <c r="A163">
        <f>IF(ISNA(VLOOKUP(B163,Definitions!B$2:B$1623,1,FALSE)),"Not listed","")</f>
        <v/>
      </c>
      <c r="B163" s="26" t="inlineStr">
        <is>
          <t>ocr</t>
        </is>
      </c>
      <c r="C163" s="21" t="inlineStr">
        <is>
          <t>//diggs:propertyClass</t>
        </is>
      </c>
      <c r="D163" s="21" t="inlineStr">
        <is>
          <t>ancestor::diggs:measurement//diggs:procedure/diggs:FlatPlateDilatometerTest</t>
        </is>
      </c>
    </row>
    <row r="164" ht="17" customHeight="1">
      <c r="A164">
        <f>IF(ISNA(VLOOKUP(B164,Definitions!B$2:B$1623,1,FALSE)),"Not listed","")</f>
        <v/>
      </c>
      <c r="B164" s="2" t="inlineStr">
        <is>
          <t>p_wave_velocity</t>
        </is>
      </c>
      <c r="C164" s="4" t="inlineStr">
        <is>
          <t>//diggs:propertyClass</t>
        </is>
      </c>
      <c r="D164" s="21" t="inlineStr">
        <is>
          <t>ancestor::diggs:measurement//diggs:procedure/diggs:LabVelocityTest</t>
        </is>
      </c>
    </row>
    <row r="165" ht="17" customHeight="1">
      <c r="A165">
        <f>IF(ISNA(VLOOKUP(B165,Definitions!B$2:B$1623,1,FALSE)),"Not listed","")</f>
        <v/>
      </c>
      <c r="B165" s="26" t="inlineStr">
        <is>
          <t>p0_reading</t>
        </is>
      </c>
      <c r="C165" s="21" t="inlineStr">
        <is>
          <t>//diggs:propertyClass</t>
        </is>
      </c>
      <c r="D165" s="21" t="inlineStr">
        <is>
          <t>ancestor::diggs:measurement//diggs:procedure/diggs:FlatPlateDilatometerTest</t>
        </is>
      </c>
    </row>
    <row r="166" ht="17" customHeight="1">
      <c r="A166">
        <f>IF(ISNA(VLOOKUP(B166,Definitions!B$2:B$1623,1,FALSE)),"Not listed","")</f>
        <v/>
      </c>
      <c r="B166" s="26" t="inlineStr">
        <is>
          <t>p1_reading</t>
        </is>
      </c>
      <c r="C166" s="21" t="inlineStr">
        <is>
          <t>//diggs:propertyClass</t>
        </is>
      </c>
      <c r="D166" s="21" t="inlineStr">
        <is>
          <t>ancestor::diggs:measurement//diggs:procedure/diggs:FlatPlateDilatometerTest</t>
        </is>
      </c>
    </row>
    <row r="167" ht="17" customHeight="1">
      <c r="A167">
        <f>IF(ISNA(VLOOKUP(B167,Definitions!B$2:B$1623,1,FALSE)),"Not listed","")</f>
        <v/>
      </c>
      <c r="B167" s="26" t="inlineStr">
        <is>
          <t>p2_reading</t>
        </is>
      </c>
      <c r="C167" s="21" t="inlineStr">
        <is>
          <t>//diggs:propertyClass</t>
        </is>
      </c>
      <c r="D167" s="21" t="inlineStr">
        <is>
          <t>ancestor::diggs:measurement//diggs:procedure/diggs:FlatPlateDilatometerTest</t>
        </is>
      </c>
    </row>
    <row r="168" ht="17" customHeight="1">
      <c r="A168">
        <f>IF(ISNA(VLOOKUP(B168,Definitions!B$2:B$1623,1,FALSE)),"Not listed","")</f>
        <v/>
      </c>
      <c r="B168" s="26" t="inlineStr">
        <is>
          <t>pen_increment</t>
        </is>
      </c>
      <c r="C168" s="21" t="inlineStr">
        <is>
          <t>//diggs:propertyClass</t>
        </is>
      </c>
      <c r="D168" s="21" t="inlineStr">
        <is>
          <t>ancestor::diggs:measurement//diggs:procedure/diggs:DynamicProbeTest</t>
        </is>
      </c>
    </row>
    <row r="169" ht="17" customHeight="1">
      <c r="A169">
        <f>IF(ISNA(VLOOKUP(B169,Definitions!B$2:B$1623,1,FALSE)),"Not listed","")</f>
        <v/>
      </c>
      <c r="B169" s="2" t="inlineStr">
        <is>
          <t>percent_cobbles</t>
        </is>
      </c>
      <c r="C169" s="4" t="inlineStr">
        <is>
          <t>//diggs:propertyClass</t>
        </is>
      </c>
      <c r="D169" s="21" t="inlineStr">
        <is>
          <t>ancestor::diggs:measurement//diggs:procedure/diggs:MaterialGradationTest</t>
        </is>
      </c>
    </row>
    <row r="170" ht="17" customHeight="1">
      <c r="A170">
        <f>IF(ISNA(VLOOKUP(B170,Definitions!B$2:B$1623,1,FALSE)),"Not listed","")</f>
        <v/>
      </c>
      <c r="B170" s="2" t="inlineStr">
        <is>
          <t>percent_cobbles</t>
        </is>
      </c>
      <c r="C170" s="4" t="inlineStr">
        <is>
          <t>//diggs:propertyClass</t>
        </is>
      </c>
      <c r="D170" s="21" t="inlineStr">
        <is>
          <t>ancestor::diggs:measurement//diggs:procedure/diggs:ParticleSizeTest</t>
        </is>
      </c>
    </row>
    <row r="171" ht="17" customHeight="1">
      <c r="A171">
        <f>IF(ISNA(VLOOKUP(B171,Definitions!B$2:B$1623,1,FALSE)),"Not listed","")</f>
        <v/>
      </c>
      <c r="B171" s="26" t="inlineStr">
        <is>
          <t>percent_fines</t>
        </is>
      </c>
      <c r="C171" s="21" t="inlineStr">
        <is>
          <t>//diggs:propertyClass</t>
        </is>
      </c>
      <c r="D171" s="21" t="inlineStr">
        <is>
          <t>ancestor::diggs:measurement//diggs:procedure/diggs:MaterialGradationTest</t>
        </is>
      </c>
    </row>
    <row r="172" ht="17" customHeight="1">
      <c r="A172">
        <f>IF(ISNA(VLOOKUP(B172,Definitions!B$2:B$1623,1,FALSE)),"Not listed","")</f>
        <v/>
      </c>
      <c r="B172" s="26" t="inlineStr">
        <is>
          <t>percent_fines</t>
        </is>
      </c>
      <c r="C172" s="21" t="inlineStr">
        <is>
          <t>//diggs:propertyClass</t>
        </is>
      </c>
      <c r="D172" s="21" t="inlineStr">
        <is>
          <t>ancestor::diggs:measurement//diggs:procedure/diggs:ParticleSizeTest</t>
        </is>
      </c>
    </row>
    <row r="173" ht="17" customHeight="1">
      <c r="A173">
        <f>IF(ISNA(VLOOKUP(B173,Definitions!B$2:B$1623,1,FALSE)),"Not listed","")</f>
        <v/>
      </c>
      <c r="B173" s="26" t="inlineStr">
        <is>
          <t>percent_gravel</t>
        </is>
      </c>
      <c r="C173" s="21" t="inlineStr">
        <is>
          <t>//diggs:propertyClass</t>
        </is>
      </c>
      <c r="D173" s="21" t="inlineStr">
        <is>
          <t>ancestor::diggs:measurement//diggs:procedure/diggs:MaterialGradationTest</t>
        </is>
      </c>
    </row>
    <row r="174" ht="17" customHeight="1">
      <c r="A174">
        <f>IF(ISNA(VLOOKUP(B174,Definitions!B$2:B$1623,1,FALSE)),"Not listed","")</f>
        <v/>
      </c>
      <c r="B174" s="26" t="inlineStr">
        <is>
          <t>percent_gravel</t>
        </is>
      </c>
      <c r="C174" s="21" t="inlineStr">
        <is>
          <t>//diggs:propertyClass</t>
        </is>
      </c>
      <c r="D174" s="21" t="inlineStr">
        <is>
          <t>ancestor::diggs:measurement//diggs:procedure/diggs:ParticleSizeTest</t>
        </is>
      </c>
    </row>
    <row r="175" ht="17" customHeight="1">
      <c r="A175">
        <f>IF(ISNA(VLOOKUP(B175,Definitions!B$2:B$1623,1,FALSE)),"Not listed","")</f>
        <v/>
      </c>
      <c r="B175" s="26" t="inlineStr">
        <is>
          <t>percent_sand</t>
        </is>
      </c>
      <c r="C175" s="21" t="inlineStr">
        <is>
          <t>//diggs:propertyClass</t>
        </is>
      </c>
      <c r="D175" s="21" t="inlineStr">
        <is>
          <t>ancestor::diggs:measurement//diggs:procedure/diggs:MaterialGradationTest</t>
        </is>
      </c>
    </row>
    <row r="176" ht="17" customHeight="1">
      <c r="A176">
        <f>IF(ISNA(VLOOKUP(B176,Definitions!B$2:B$1623,1,FALSE)),"Not listed","")</f>
        <v/>
      </c>
      <c r="B176" s="26" t="inlineStr">
        <is>
          <t>percent_sand</t>
        </is>
      </c>
      <c r="C176" s="21" t="inlineStr">
        <is>
          <t>//diggs:propertyClass</t>
        </is>
      </c>
      <c r="D176" s="21" t="inlineStr">
        <is>
          <t>ancestor::diggs:measurement//diggs:procedure/diggs:ParticleSizeTest</t>
        </is>
      </c>
    </row>
    <row r="177" ht="17" customHeight="1">
      <c r="A177">
        <f>IF(ISNA(VLOOKUP(B177,Definitions!B$2:B$1623,1,FALSE)),"Not listed","")</f>
        <v/>
      </c>
      <c r="B177" s="2" t="inlineStr">
        <is>
          <t>percent_silt</t>
        </is>
      </c>
      <c r="C177" s="4" t="inlineStr">
        <is>
          <t>//diggs:propertyClass</t>
        </is>
      </c>
      <c r="D177" s="21" t="inlineStr">
        <is>
          <t>ancestor::diggs:measurement//diggs:procedure/diggs:MaterialGradationTest</t>
        </is>
      </c>
    </row>
    <row r="178" ht="17" customHeight="1">
      <c r="A178">
        <f>IF(ISNA(VLOOKUP(B178,Definitions!B$2:B$1623,1,FALSE)),"Not listed","")</f>
        <v/>
      </c>
      <c r="B178" s="2" t="inlineStr">
        <is>
          <t>percent_silt</t>
        </is>
      </c>
      <c r="C178" s="4" t="inlineStr">
        <is>
          <t>//diggs:propertyClass</t>
        </is>
      </c>
      <c r="D178" s="21" t="inlineStr">
        <is>
          <t>ancestor::diggs:measurement//diggs:procedure/diggs:ParticleSizeTest</t>
        </is>
      </c>
    </row>
    <row r="179" ht="17" customHeight="1">
      <c r="A179">
        <f>IF(ISNA(VLOOKUP(B179,Definitions!B$2:B$1623,1,FALSE)),"Not listed","")</f>
        <v/>
      </c>
      <c r="B179" s="26" t="inlineStr">
        <is>
          <t>pH</t>
        </is>
      </c>
      <c r="C179" s="21" t="inlineStr">
        <is>
          <t>//diggs:propertyClass</t>
        </is>
      </c>
      <c r="D179" s="21" t="inlineStr">
        <is>
          <t>ancestor::diggs:measurement//diggs:procedure/diggs:LabChemicalTest</t>
        </is>
      </c>
    </row>
    <row r="180" ht="17" customHeight="1">
      <c r="A180">
        <f>IF(ISNA(VLOOKUP(B180,Definitions!B$2:B$1623,1,FALSE)),"Not listed","")</f>
        <v/>
      </c>
      <c r="B180" s="26" t="inlineStr">
        <is>
          <t>pH</t>
        </is>
      </c>
      <c r="C180" s="21" t="inlineStr">
        <is>
          <t>//diggs:propertyClass</t>
        </is>
      </c>
      <c r="D180" s="21" t="inlineStr">
        <is>
          <t>ancestor::diggs:measurement//diggs:procedure/diggs:RedoxTest</t>
        </is>
      </c>
    </row>
    <row r="181" ht="17" customHeight="1">
      <c r="A181">
        <f>IF(ISNA(VLOOKUP(B181,Definitions!B$2:B$1623,1,FALSE)),"Not listed","")</f>
        <v/>
      </c>
      <c r="B181" s="26" t="inlineStr">
        <is>
          <t>pid_result</t>
        </is>
      </c>
      <c r="C181" s="21" t="inlineStr">
        <is>
          <t>//diggs:propertyClass</t>
        </is>
      </c>
      <c r="D181" s="21" t="inlineStr">
        <is>
          <t>ancestor::diggs:measurement//diggs:procedure/diggs:EnvironmentalScreeningTest</t>
        </is>
      </c>
    </row>
    <row r="182" ht="17" customHeight="1">
      <c r="A182">
        <f>IF(ISNA(VLOOKUP(B182,Definitions!B$2:B$1623,1,FALSE)),"Not listed","")</f>
        <v/>
      </c>
      <c r="B182" s="26" t="inlineStr">
        <is>
          <t>pid_result</t>
        </is>
      </c>
      <c r="C182" s="21" t="inlineStr">
        <is>
          <t>//diggs:propertyClass</t>
        </is>
      </c>
      <c r="D182" s="21" t="inlineStr">
        <is>
          <t>ancestor::diggs:measurement//diggs:procedure/diggs:PhotoIonizationDetectorTest</t>
        </is>
      </c>
    </row>
    <row r="183" ht="17" customHeight="1">
      <c r="A183">
        <f>IF(ISNA(VLOOKUP(B183,Definitions!B$2:B$1623,1,FALSE)),"Not listed","")</f>
        <v/>
      </c>
      <c r="B183" s="26" t="inlineStr">
        <is>
          <t>plastic_limit</t>
        </is>
      </c>
      <c r="C183" s="21" t="inlineStr">
        <is>
          <t>//diggs:propertyClass</t>
        </is>
      </c>
      <c r="D183" s="21" t="inlineStr">
        <is>
          <t>ancestor::diggs:measurement//diggs:procedure/diggs:AtterbergLimitsTest</t>
        </is>
      </c>
    </row>
    <row r="184" ht="17" customHeight="1">
      <c r="A184">
        <f>IF(ISNA(VLOOKUP(B184,Definitions!B$2:B$1623,1,FALSE)),"Not listed","")</f>
        <v/>
      </c>
      <c r="B184" s="26" t="inlineStr">
        <is>
          <t>plasticity_index</t>
        </is>
      </c>
      <c r="C184" s="21" t="inlineStr">
        <is>
          <t>//diggs:propertyClass</t>
        </is>
      </c>
      <c r="D184" s="21" t="inlineStr">
        <is>
          <t>ancestor::diggs:measurement//diggs:procedure/diggs:AtterbergLimitsTest</t>
        </is>
      </c>
    </row>
    <row r="185" ht="17" customHeight="1">
      <c r="A185">
        <f>IF(ISNA(VLOOKUP(B185,Definitions!B$2:B$1623,1,FALSE)),"Not listed","")</f>
        <v/>
      </c>
      <c r="B185" s="26" t="inlineStr">
        <is>
          <t>point_load_test_index</t>
        </is>
      </c>
      <c r="C185" s="21" t="inlineStr">
        <is>
          <t>//diggs:propertyClass</t>
        </is>
      </c>
      <c r="D185" s="21" t="inlineStr">
        <is>
          <t>ancestor::diggs:measurement//diggs:procedure/diggs:PointLoadTest</t>
        </is>
      </c>
    </row>
    <row r="186" ht="17" customHeight="1">
      <c r="A186">
        <f>IF(ISNA(VLOOKUP(B186,Definitions!B$2:B$1623,1,FALSE)),"Not listed","")</f>
        <v/>
      </c>
      <c r="B186" s="26" t="inlineStr">
        <is>
          <t>poisson_ratio</t>
        </is>
      </c>
      <c r="C186" s="21" t="inlineStr">
        <is>
          <t>//diggs:propertyClass</t>
        </is>
      </c>
      <c r="D186" s="21" t="inlineStr">
        <is>
          <t>ancestor::diggs:measurement//diggs:procedure/diggs:UnconfinedCompressiveStrengthTest</t>
        </is>
      </c>
    </row>
    <row r="187" ht="17" customHeight="1">
      <c r="A187">
        <f>IF(ISNA(VLOOKUP(B187,Definitions!B$2:B$1623,1,FALSE)),"Not listed","")</f>
        <v/>
      </c>
      <c r="B187" s="26" t="inlineStr">
        <is>
          <t>pore_pressure_equil</t>
        </is>
      </c>
      <c r="C187" s="21" t="inlineStr">
        <is>
          <t>//diggs:propertyClass</t>
        </is>
      </c>
      <c r="D187" s="21" t="inlineStr">
        <is>
          <t>ancestor::diggs:measurement//diggs:procedure/diggs:FlatPlateDilatometerTest</t>
        </is>
      </c>
    </row>
    <row r="188" ht="17" customHeight="1">
      <c r="A188">
        <f>IF(ISNA(VLOOKUP(B188,Definitions!B$2:B$1623,1,FALSE)),"Not listed","")</f>
        <v/>
      </c>
      <c r="B188" s="26" t="inlineStr">
        <is>
          <t>pore_pressure_equil</t>
        </is>
      </c>
      <c r="C188" s="21" t="inlineStr">
        <is>
          <t>//diggs:propertyClass</t>
        </is>
      </c>
      <c r="D188" s="21" t="inlineStr">
        <is>
          <t>ancestor::diggs:measurement//diggs:procedure/diggs:PorePressureDissipationTest</t>
        </is>
      </c>
    </row>
    <row r="189" ht="17" customHeight="1">
      <c r="A189">
        <f>IF(ISNA(VLOOKUP(B189,Definitions!B$2:B$1623,1,FALSE)),"Not listed","")</f>
        <v/>
      </c>
      <c r="B189" s="26" t="inlineStr">
        <is>
          <t>pore_pressure_est</t>
        </is>
      </c>
      <c r="C189" s="21" t="inlineStr">
        <is>
          <t>//diggs:propertyClass</t>
        </is>
      </c>
      <c r="D189" s="21" t="inlineStr">
        <is>
          <t>ancestor::diggs:measurement//diggs:procedure/diggs:FlatPlateDilatometerTest</t>
        </is>
      </c>
    </row>
    <row r="190" ht="17" customHeight="1">
      <c r="A190">
        <f>IF(ISNA(VLOOKUP(B190,Definitions!B$2:B$1623,1,FALSE)),"Not listed","")</f>
        <v/>
      </c>
      <c r="B190" s="2" t="inlineStr">
        <is>
          <t>pore_pressure_u1</t>
        </is>
      </c>
      <c r="C190" s="4" t="inlineStr">
        <is>
          <t>//diggs:propertyClass</t>
        </is>
      </c>
      <c r="D190" s="21" t="inlineStr">
        <is>
          <t>ancestor::diggs:dissipationTimeSeries</t>
        </is>
      </c>
    </row>
    <row r="191" ht="17" customHeight="1">
      <c r="A191">
        <f>IF(ISNA(VLOOKUP(B191,Definitions!B$2:B$1623,1,FALSE)),"Not listed","")</f>
        <v/>
      </c>
      <c r="B191" s="26" t="inlineStr">
        <is>
          <t>pore_pressure_u1</t>
        </is>
      </c>
      <c r="C191" s="21" t="inlineStr">
        <is>
          <t>//diggs:propertyClass</t>
        </is>
      </c>
      <c r="D191" s="21" t="inlineStr">
        <is>
          <t>ancestor::diggs:measurement//diggs:procedure/diggs:StaticConePenetrationTest</t>
        </is>
      </c>
    </row>
    <row r="192" ht="17" customHeight="1">
      <c r="A192">
        <f>IF(ISNA(VLOOKUP(B192,Definitions!B$2:B$1623,1,FALSE)),"Not listed","")</f>
        <v/>
      </c>
      <c r="B192" s="2" t="inlineStr">
        <is>
          <t>pore_pressure_u2</t>
        </is>
      </c>
      <c r="C192" s="4" t="inlineStr">
        <is>
          <t>//diggs:propertyClass</t>
        </is>
      </c>
      <c r="D192" s="21" t="inlineStr">
        <is>
          <t>ancestor::diggs:dissipationTimeSeries</t>
        </is>
      </c>
    </row>
    <row r="193" ht="17" customHeight="1">
      <c r="A193">
        <f>IF(ISNA(VLOOKUP(B193,Definitions!B$2:B$1623,1,FALSE)),"Not listed","")</f>
        <v/>
      </c>
      <c r="B193" s="26" t="inlineStr">
        <is>
          <t>pore_pressure_u2</t>
        </is>
      </c>
      <c r="C193" s="21" t="inlineStr">
        <is>
          <t>//diggs:propertyClass</t>
        </is>
      </c>
      <c r="D193" s="21" t="inlineStr">
        <is>
          <t>ancestor::diggs:measurement//diggs:procedure/diggs:StaticConePenetrationTest</t>
        </is>
      </c>
    </row>
    <row r="194" ht="17" customHeight="1">
      <c r="A194">
        <f>IF(ISNA(VLOOKUP(B194,Definitions!B$2:B$1623,1,FALSE)),"Not listed","")</f>
        <v/>
      </c>
      <c r="B194" s="2" t="inlineStr">
        <is>
          <t>pore_pressure_u3</t>
        </is>
      </c>
      <c r="C194" s="4" t="inlineStr">
        <is>
          <t>//diggs:propertyClass</t>
        </is>
      </c>
      <c r="D194" s="21" t="inlineStr">
        <is>
          <t>ancestor::diggs:dissipationTimeSeries</t>
        </is>
      </c>
    </row>
    <row r="195" ht="17" customHeight="1">
      <c r="A195">
        <f>IF(ISNA(VLOOKUP(B195,Definitions!B$2:B$1623,1,FALSE)),"Not listed","")</f>
        <v/>
      </c>
      <c r="B195" s="26" t="inlineStr">
        <is>
          <t>pore_pressure_u3</t>
        </is>
      </c>
      <c r="C195" s="21" t="inlineStr">
        <is>
          <t>//diggs:propertyClass</t>
        </is>
      </c>
      <c r="D195" s="21" t="inlineStr">
        <is>
          <t>ancestor::diggs:measurement//diggs:procedure/diggs:StaticConePenetrationTest</t>
        </is>
      </c>
    </row>
    <row r="196" ht="17" customHeight="1">
      <c r="A196">
        <f>IF(ISNA(VLOOKUP(B196,Definitions!B$2:B$1623,1,FALSE)),"Not listed","")</f>
        <v/>
      </c>
      <c r="B196" s="26" t="inlineStr">
        <is>
          <t>preconsolidation_pressure</t>
        </is>
      </c>
      <c r="C196" s="21" t="inlineStr">
        <is>
          <t>//diggs:propertyClass</t>
        </is>
      </c>
      <c r="D196" s="21" t="inlineStr">
        <is>
          <t>ancestor::diggs:measurement//diggs:procedure/diggs:ConsolidationTest</t>
        </is>
      </c>
    </row>
    <row r="197">
      <c r="A197">
        <f>IF(ISNA(VLOOKUP(B197,Definitions!B$2:B$1623,1,FALSE)),"Not listed","")</f>
        <v/>
      </c>
      <c r="B197" t="inlineStr">
        <is>
          <t>pressure_filtration_coeff</t>
        </is>
      </c>
      <c r="C197" s="4" t="inlineStr">
        <is>
          <t>//diggs:propertyClass</t>
        </is>
      </c>
      <c r="D197" s="21" t="inlineStr">
        <is>
          <t>ancestor::diggs:measurement//diggs:procedure/diggs:PressureFiltrationTest</t>
        </is>
      </c>
    </row>
    <row r="198" ht="17" customHeight="1">
      <c r="A198">
        <f>IF(ISNA(VLOOKUP([1]AssociatedElements!B293,Definitions!B$2:B$1623,1,FALSE)),"Not listed","")</f>
        <v/>
      </c>
      <c r="B198" s="2" t="inlineStr">
        <is>
          <t>pumping_rate</t>
        </is>
      </c>
      <c r="C198" s="4" t="inlineStr">
        <is>
          <t>//diggs:propertyClass</t>
        </is>
      </c>
      <c r="D198" s="21" t="inlineStr">
        <is>
          <t>ancestor::diggs:measurement//diggs:procedure/diggs:PumpingTest</t>
        </is>
      </c>
    </row>
    <row r="199" ht="17" customHeight="1">
      <c r="A199">
        <f>IF(ISNA(VLOOKUP(B199,Definitions!B$2:B$1623,1,FALSE)),"Not listed","")</f>
        <v/>
      </c>
      <c r="B199" s="26" t="inlineStr">
        <is>
          <t>recompression_index</t>
        </is>
      </c>
      <c r="C199" s="21" t="inlineStr">
        <is>
          <t>//diggs:propertyClass</t>
        </is>
      </c>
      <c r="D199" s="21" t="inlineStr">
        <is>
          <t>ancestor::diggs:measurement//diggs:procedure/diggs:ConsolidationTest</t>
        </is>
      </c>
    </row>
    <row r="200" ht="17" customHeight="1">
      <c r="A200">
        <f>IF(ISNA(VLOOKUP(B200,Definitions!B$2:B$1623,1,FALSE)),"Not listed","")</f>
        <v/>
      </c>
      <c r="B200" s="26" t="inlineStr">
        <is>
          <t>redox_potential</t>
        </is>
      </c>
      <c r="C200" s="21" t="inlineStr">
        <is>
          <t>//diggs:propertyClass</t>
        </is>
      </c>
      <c r="D200" s="21" t="inlineStr">
        <is>
          <t>ancestor::diggs:measurement//diggs:procedure/diggs:RedoxTest</t>
        </is>
      </c>
    </row>
    <row r="201" ht="17" customHeight="1">
      <c r="A201">
        <f>IF(ISNA(VLOOKUP(B201,Definitions!B$2:B$1623,1,FALSE)),"Not listed","")</f>
        <v/>
      </c>
      <c r="B201" s="26" t="inlineStr">
        <is>
          <t>relative_density</t>
        </is>
      </c>
      <c r="C201" s="21" t="inlineStr">
        <is>
          <t>//diggs:propertyClass</t>
        </is>
      </c>
      <c r="D201" s="21" t="inlineStr">
        <is>
          <t>ancestor::diggs:measurement//diggs:procedure/diggs:DrivenPenetrationTest</t>
        </is>
      </c>
    </row>
    <row r="202">
      <c r="A202">
        <f>IF(ISNA(VLOOKUP(B202,Definitions!B$2:B$1623,1,FALSE)),"Not listed","")</f>
        <v/>
      </c>
      <c r="B202" t="inlineStr">
        <is>
          <t>relative_density</t>
        </is>
      </c>
      <c r="C202" s="4" t="inlineStr">
        <is>
          <t>//diggs:propertyClass</t>
        </is>
      </c>
      <c r="D202" s="21" t="inlineStr">
        <is>
          <t>ancestor::diggs:measurement//diggs:procedure/diggs:RelativeDensityTest</t>
        </is>
      </c>
    </row>
    <row r="203" ht="17" customHeight="1">
      <c r="A203">
        <f>IF(ISNA(VLOOKUP(B203,Definitions!B$2:B$1623,1,FALSE)),"Not listed","")</f>
        <v/>
      </c>
      <c r="B203" s="2" t="inlineStr">
        <is>
          <t>resistivity</t>
        </is>
      </c>
      <c r="C203" s="4" t="inlineStr">
        <is>
          <t>//diggs:propertyClass</t>
        </is>
      </c>
      <c r="D203" s="21" t="inlineStr">
        <is>
          <t>ancestor::diggs:measurement//diggs:procedure/diggs:InSituResistivityTest</t>
        </is>
      </c>
    </row>
    <row r="204" ht="17" customHeight="1">
      <c r="A204">
        <f>IF(ISNA(VLOOKUP(B204,Definitions!B$2:B$1623,1,FALSE)),"Not listed","")</f>
        <v/>
      </c>
      <c r="B204" s="26" t="inlineStr">
        <is>
          <t>resistivity</t>
        </is>
      </c>
      <c r="C204" s="21" t="inlineStr">
        <is>
          <t>//diggs:propertyClass</t>
        </is>
      </c>
      <c r="D204" s="21" t="inlineStr">
        <is>
          <t>ancestor::diggs:measurement//diggs:procedure/diggs:LabResistivityTest</t>
        </is>
      </c>
    </row>
    <row r="205">
      <c r="A205">
        <f>IF(ISNA(VLOOKUP(B205,Definitions!B$2:B$1623,1,FALSE)),"Not listed","")</f>
        <v/>
      </c>
      <c r="B205" t="inlineStr">
        <is>
          <t>rock_porosity</t>
        </is>
      </c>
      <c r="C205" s="4" t="inlineStr">
        <is>
          <t>//diggs:propertyClass</t>
        </is>
      </c>
      <c r="D205" s="21" t="inlineStr">
        <is>
          <t>ancestor::diggs:measurement//diggs:procedure/diggs:RockPorosityDensityTest</t>
        </is>
      </c>
    </row>
    <row r="206">
      <c r="A206">
        <f>IF(ISNA(VLOOKUP(B206,Definitions!B$2:B$1623,1,FALSE)),"Not listed","")</f>
        <v/>
      </c>
      <c r="B206" t="inlineStr">
        <is>
          <t>schmidt_hardness_value</t>
        </is>
      </c>
      <c r="C206" s="4" t="inlineStr">
        <is>
          <t>//diggs:propertyClass</t>
        </is>
      </c>
      <c r="D206" s="21" t="inlineStr">
        <is>
          <t>ancestor::diggs:measurement//diggs:procedure/diggs:SchmidtReboundHardnessTest</t>
        </is>
      </c>
    </row>
    <row r="207" ht="17" customHeight="1">
      <c r="A207">
        <f>IF(ISNA(VLOOKUP(B207,Definitions!B$2:B$1623,1,FALSE)),"Not listed","")</f>
        <v/>
      </c>
      <c r="B207" s="26" t="inlineStr">
        <is>
          <t>sensitivity</t>
        </is>
      </c>
      <c r="C207" s="21" t="inlineStr">
        <is>
          <t>//diggs:propertyClass</t>
        </is>
      </c>
      <c r="D207" s="21" t="inlineStr">
        <is>
          <t>ancestor::diggs:measurement//diggs:procedure/diggs:InsituVaneTest</t>
        </is>
      </c>
    </row>
    <row r="208" ht="17" customHeight="1">
      <c r="A208">
        <f>IF(ISNA(VLOOKUP(B208,Definitions!B$2:B$1623,1,FALSE)),"Not listed","")</f>
        <v/>
      </c>
      <c r="B208" s="26" t="inlineStr">
        <is>
          <t>sensitivity</t>
        </is>
      </c>
      <c r="C208" s="21" t="inlineStr">
        <is>
          <t>//diggs:propertyClass</t>
        </is>
      </c>
      <c r="D208" s="21" t="inlineStr">
        <is>
          <t>ancestor::diggs:measurement//diggs:procedure/diggs:LabVaneTest</t>
        </is>
      </c>
    </row>
    <row r="209" ht="17" customHeight="1">
      <c r="A209">
        <f>IF(ISNA(VLOOKUP(B209,Definitions!B$2:B$1623,1,FALSE)),"Not listed","")</f>
        <v/>
      </c>
      <c r="B209" s="26" t="inlineStr">
        <is>
          <t>sensitivity</t>
        </is>
      </c>
      <c r="C209" s="21" t="inlineStr">
        <is>
          <t>//diggs:propertyClass</t>
        </is>
      </c>
      <c r="D209" s="21" t="inlineStr">
        <is>
          <t>ancestor::diggs:measurement//diggs:procedure/diggs:UnconfinedCompressiveStrengthTest</t>
        </is>
      </c>
    </row>
    <row r="210">
      <c r="A210">
        <f>IF(ISNA(VLOOKUP(B210,Definitions!B$2:B$1623,1,FALSE)),"Not listed","")</f>
        <v/>
      </c>
      <c r="B210" t="inlineStr">
        <is>
          <t>set_time</t>
        </is>
      </c>
      <c r="C210" s="4" t="inlineStr">
        <is>
          <t>//diggs:propertyClass</t>
        </is>
      </c>
      <c r="D210" s="21" t="inlineStr">
        <is>
          <t>ancestor::diggs:measurement//diggs:procedure/diggs:SetTimeTest</t>
        </is>
      </c>
    </row>
    <row r="211">
      <c r="A211">
        <f>IF(ISNA(VLOOKUP(B211,Definitions!B$2:B$1623,1,FALSE)),"Not listed","")</f>
        <v/>
      </c>
      <c r="B211" t="inlineStr">
        <is>
          <t>shear_strength_drained</t>
        </is>
      </c>
      <c r="C211" s="4" t="inlineStr">
        <is>
          <t>//diggs:propertyClass</t>
        </is>
      </c>
      <c r="D211" s="21" t="inlineStr">
        <is>
          <t>ancestor::diggs:measurement//diggs:procedure/diggs:LabPenetrometerTest</t>
        </is>
      </c>
    </row>
    <row r="212" ht="17" customHeight="1">
      <c r="A212">
        <f>IF(ISNA(VLOOKUP(B212,Definitions!B$2:B$1623,1,FALSE)),"Not listed","")</f>
        <v/>
      </c>
      <c r="B212" s="26" t="inlineStr">
        <is>
          <t>shear_strength_drained</t>
        </is>
      </c>
      <c r="C212" s="21" t="inlineStr">
        <is>
          <t>//diggs:propertyClass</t>
        </is>
      </c>
      <c r="D212" s="21" t="inlineStr">
        <is>
          <t>ancestor::diggs:measurement//diggs:procedure/diggs:PocketPenetrometerTest</t>
        </is>
      </c>
    </row>
    <row r="213">
      <c r="A213">
        <f>IF(ISNA(VLOOKUP(B213,Definitions!B$2:B$1623,1,FALSE)),"Not listed","")</f>
        <v/>
      </c>
      <c r="B213" t="inlineStr">
        <is>
          <t>shear_strength_drained</t>
        </is>
      </c>
      <c r="C213" s="4" t="inlineStr">
        <is>
          <t>//diggs:propertyClass</t>
        </is>
      </c>
      <c r="D213" s="21" t="inlineStr">
        <is>
          <t>ancestor::diggs:measurement//diggs:procedure/diggs:PressuremeterTest</t>
        </is>
      </c>
    </row>
    <row r="214">
      <c r="A214">
        <f>IF(ISNA(VLOOKUP(B214,Definitions!B$2:B$1623,1,FALSE)),"Not listed","")</f>
        <v/>
      </c>
      <c r="B214" t="inlineStr">
        <is>
          <t>shear_strength_drained</t>
        </is>
      </c>
      <c r="C214" s="4" t="inlineStr">
        <is>
          <t>//diggs:propertyClass</t>
        </is>
      </c>
      <c r="D214" s="21" t="inlineStr">
        <is>
          <t>ancestor::diggs:measurement//diggs:procedure/diggs:TriaxialTest</t>
        </is>
      </c>
    </row>
    <row r="215" ht="17" customHeight="1">
      <c r="A215">
        <f>IF(ISNA(VLOOKUP(B215,Definitions!B$2:B$1623,1,FALSE)),"Not listed","")</f>
        <v/>
      </c>
      <c r="B215" s="26" t="inlineStr">
        <is>
          <t>shear_strength_drained</t>
        </is>
      </c>
      <c r="C215" s="21" t="inlineStr">
        <is>
          <t>//diggs:propertyClass</t>
        </is>
      </c>
      <c r="D215" s="21" t="inlineStr">
        <is>
          <t>ancestor::diggs:measurement//diggs:procedure/diggs:TriaxialTest</t>
        </is>
      </c>
    </row>
    <row r="216" ht="17" customHeight="1">
      <c r="A216">
        <f>IF(ISNA(VLOOKUP(B216,Definitions!B$2:B$1623,1,FALSE)),"Not listed","")</f>
        <v/>
      </c>
      <c r="B216" s="26" t="inlineStr">
        <is>
          <t>shear_strength_undrained</t>
        </is>
      </c>
      <c r="C216" s="21" t="inlineStr">
        <is>
          <t>//diggs:propertyClass</t>
        </is>
      </c>
      <c r="D216" s="21" t="inlineStr">
        <is>
          <t>ancestor::diggs:measurement//diggs:procedure/diggs:FlatPlateDilatometerTest</t>
        </is>
      </c>
    </row>
    <row r="217" ht="17" customHeight="1">
      <c r="A217">
        <f>IF(ISNA(VLOOKUP(B217,Definitions!B$2:B$1623,1,FALSE)),"Not listed","")</f>
        <v/>
      </c>
      <c r="B217" s="26" t="inlineStr">
        <is>
          <t>shear_strength_undrained</t>
        </is>
      </c>
      <c r="C217" s="21" t="inlineStr">
        <is>
          <t>//diggs:propertyClass</t>
        </is>
      </c>
      <c r="D217" s="21" t="inlineStr">
        <is>
          <t>ancestor::diggs:measurement//diggs:procedure/diggs:InsituVaneTest</t>
        </is>
      </c>
    </row>
    <row r="218">
      <c r="A218">
        <f>IF(ISNA(VLOOKUP(B218,Definitions!B$2:B$1623,1,FALSE)),"Not listed","")</f>
        <v/>
      </c>
      <c r="B218" t="inlineStr">
        <is>
          <t>shear_strength_undrained</t>
        </is>
      </c>
      <c r="C218" s="4" t="inlineStr">
        <is>
          <t>//diggs:propertyClass</t>
        </is>
      </c>
      <c r="D218" s="21" t="inlineStr">
        <is>
          <t>ancestor::diggs:measurement//diggs:procedure/diggs:LabPenetrometerTest</t>
        </is>
      </c>
    </row>
    <row r="219" ht="17" customHeight="1">
      <c r="A219">
        <f>IF(ISNA(VLOOKUP(B219,Definitions!B$2:B$1623,1,FALSE)),"Not listed","")</f>
        <v/>
      </c>
      <c r="B219" s="26" t="inlineStr">
        <is>
          <t>shear_strength_undrained</t>
        </is>
      </c>
      <c r="C219" s="21" t="inlineStr">
        <is>
          <t>//diggs:propertyClass</t>
        </is>
      </c>
      <c r="D219" s="21" t="inlineStr">
        <is>
          <t>ancestor::diggs:measurement//diggs:procedure/diggs:LabVaneTest</t>
        </is>
      </c>
    </row>
    <row r="220" ht="17" customHeight="1">
      <c r="A220">
        <f>IF(ISNA(VLOOKUP(B220,Definitions!B$2:B$1623,1,FALSE)),"Not listed","")</f>
        <v/>
      </c>
      <c r="B220" s="26" t="inlineStr">
        <is>
          <t>shear_strength_undrained</t>
        </is>
      </c>
      <c r="C220" s="21" t="inlineStr">
        <is>
          <t>//diggs:propertyClass</t>
        </is>
      </c>
      <c r="D220" s="21" t="inlineStr">
        <is>
          <t>ancestor::diggs:measurement//diggs:procedure/diggs:PocketPenetrometerTest</t>
        </is>
      </c>
    </row>
    <row r="221">
      <c r="A221">
        <f>IF(ISNA(VLOOKUP(B221,Definitions!B$2:B$1623,1,FALSE)),"Not listed","")</f>
        <v/>
      </c>
      <c r="B221" t="inlineStr">
        <is>
          <t>shear_strength_undrained</t>
        </is>
      </c>
      <c r="C221" s="4" t="inlineStr">
        <is>
          <t>//diggs:propertyClass</t>
        </is>
      </c>
      <c r="D221" s="21" t="inlineStr">
        <is>
          <t>ancestor::diggs:measurement//diggs:procedure/diggs:PressuremeterTest</t>
        </is>
      </c>
    </row>
    <row r="222">
      <c r="A222">
        <f>IF(ISNA(VLOOKUP(B222,Definitions!B$2:B$1623,1,FALSE)),"Not listed","")</f>
        <v/>
      </c>
      <c r="B222" t="inlineStr">
        <is>
          <t>shear_strength_undrained</t>
        </is>
      </c>
      <c r="C222" s="4" t="inlineStr">
        <is>
          <t>//diggs:propertyClass</t>
        </is>
      </c>
      <c r="D222" s="21" t="inlineStr">
        <is>
          <t>ancestor::diggs:measurement//diggs:procedure/diggs:TriaxialTest</t>
        </is>
      </c>
    </row>
    <row r="223" ht="17" customHeight="1">
      <c r="A223">
        <f>IF(ISNA(VLOOKUP(B223,Definitions!B$2:B$1623,1,FALSE)),"Not listed","")</f>
        <v/>
      </c>
      <c r="B223" s="26" t="inlineStr">
        <is>
          <t>shear_strength_undrained</t>
        </is>
      </c>
      <c r="C223" s="21" t="inlineStr">
        <is>
          <t>//diggs:propertyClass</t>
        </is>
      </c>
      <c r="D223" s="21" t="inlineStr">
        <is>
          <t>ancestor::diggs:measurement//diggs:procedure/diggs:TriaxialTest</t>
        </is>
      </c>
    </row>
    <row r="224" ht="17" customHeight="1">
      <c r="A224">
        <f>IF(ISNA(VLOOKUP(B224,Definitions!B$2:B$1623,1,FALSE)),"Not listed","")</f>
        <v/>
      </c>
      <c r="B224" s="26" t="inlineStr">
        <is>
          <t>shear_strength_undrained_residual</t>
        </is>
      </c>
      <c r="C224" s="21" t="inlineStr">
        <is>
          <t>//diggs:propertyClass</t>
        </is>
      </c>
      <c r="D224" s="21" t="inlineStr">
        <is>
          <t>ancestor::diggs:measurement//diggs:procedure/diggs:FlatPlateDilatometerTest</t>
        </is>
      </c>
    </row>
    <row r="225" ht="17" customHeight="1">
      <c r="A225">
        <f>IF(ISNA(VLOOKUP(B225,Definitions!B$2:B$1623,1,FALSE)),"Not listed","")</f>
        <v/>
      </c>
      <c r="B225" s="26" t="inlineStr">
        <is>
          <t>shear_strength_undrained_residual</t>
        </is>
      </c>
      <c r="C225" s="21" t="inlineStr">
        <is>
          <t>//diggs:propertyClass</t>
        </is>
      </c>
      <c r="D225" s="21" t="inlineStr">
        <is>
          <t>ancestor::diggs:measurement//diggs:procedure/diggs:InsituVaneTest</t>
        </is>
      </c>
    </row>
    <row r="226">
      <c r="A226">
        <f>IF(ISNA(VLOOKUP(B226,Definitions!B$2:B$1623,1,FALSE)),"Not listed","")</f>
        <v/>
      </c>
      <c r="B226" t="inlineStr">
        <is>
          <t>shear_strength_undrained_residual</t>
        </is>
      </c>
      <c r="C226" s="4" t="inlineStr">
        <is>
          <t>//diggs:propertyClass</t>
        </is>
      </c>
      <c r="D226" s="21" t="inlineStr">
        <is>
          <t>ancestor::diggs:measurement//diggs:procedure/diggs:LabPenetrometerTest</t>
        </is>
      </c>
    </row>
    <row r="227" ht="17" customHeight="1">
      <c r="A227">
        <f>IF(ISNA(VLOOKUP(B227,Definitions!B$2:B$1623,1,FALSE)),"Not listed","")</f>
        <v/>
      </c>
      <c r="B227" s="26" t="inlineStr">
        <is>
          <t>shear_strength_undrained_residual</t>
        </is>
      </c>
      <c r="C227" s="21" t="inlineStr">
        <is>
          <t>//diggs:propertyClass</t>
        </is>
      </c>
      <c r="D227" s="21" t="inlineStr">
        <is>
          <t>ancestor::diggs:measurement//diggs:procedure/diggs:LabVaneTest</t>
        </is>
      </c>
    </row>
    <row r="228" ht="17" customHeight="1">
      <c r="A228">
        <f>IF(ISNA(VLOOKUP(B228,Definitions!B$2:B$1623,1,FALSE)),"Not listed","")</f>
        <v/>
      </c>
      <c r="B228" s="26" t="inlineStr">
        <is>
          <t>shear_strength_undrained_residual</t>
        </is>
      </c>
      <c r="C228" s="21" t="inlineStr">
        <is>
          <t>//diggs:propertyClass</t>
        </is>
      </c>
      <c r="D228" s="21" t="inlineStr">
        <is>
          <t>ancestor::diggs:measurement//diggs:procedure/diggs:PocketPenetrometerTest</t>
        </is>
      </c>
    </row>
    <row r="229">
      <c r="A229">
        <f>IF(ISNA(VLOOKUP(B229,Definitions!B$2:B$1623,1,FALSE)),"Not listed","")</f>
        <v/>
      </c>
      <c r="B229" t="inlineStr">
        <is>
          <t>shear_strength_undrained_residual</t>
        </is>
      </c>
      <c r="C229" s="4" t="inlineStr">
        <is>
          <t>//diggs:propertyClass</t>
        </is>
      </c>
      <c r="D229" s="21" t="inlineStr">
        <is>
          <t>ancestor::diggs:measurement//diggs:procedure/diggs:PressuremeterTest</t>
        </is>
      </c>
    </row>
    <row r="230">
      <c r="A230">
        <f>IF(ISNA(VLOOKUP(B230,Definitions!B$2:B$1623,1,FALSE)),"Not listed","")</f>
        <v/>
      </c>
      <c r="B230" t="inlineStr">
        <is>
          <t>shear_strength_undrained_residual</t>
        </is>
      </c>
      <c r="C230" s="4" t="inlineStr">
        <is>
          <t>//diggs:propertyClass</t>
        </is>
      </c>
      <c r="D230" s="21" t="inlineStr">
        <is>
          <t>ancestor::diggs:measurement//diggs:procedure/diggs:TriaxialTest</t>
        </is>
      </c>
    </row>
    <row r="231" ht="17" customHeight="1">
      <c r="A231">
        <f>IF(ISNA(VLOOKUP(B231,Definitions!B$2:B$1623,1,FALSE)),"Not listed","")</f>
        <v/>
      </c>
      <c r="B231" s="26" t="inlineStr">
        <is>
          <t>shear_strength_undrained_residual</t>
        </is>
      </c>
      <c r="C231" s="21" t="inlineStr">
        <is>
          <t>//diggs:propertyClass</t>
        </is>
      </c>
      <c r="D231" s="21" t="inlineStr">
        <is>
          <t>ancestor::diggs:measurement//diggs:procedure/diggs:TriaxialTest</t>
        </is>
      </c>
    </row>
    <row r="232" ht="17" customHeight="1">
      <c r="A232">
        <f>IF(ISNA(VLOOKUP(B232,Definitions!B$2:B$1623,1,FALSE)),"Not listed","")</f>
        <v/>
      </c>
      <c r="B232" s="2" t="inlineStr">
        <is>
          <t>shear_velocity</t>
        </is>
      </c>
      <c r="C232" s="4" t="inlineStr">
        <is>
          <t>//diggs:propertyClass</t>
        </is>
      </c>
      <c r="D232" s="21" t="inlineStr">
        <is>
          <t>ancestor::diggs:measurement//diggs:procedure/diggs:LabVelocityTest</t>
        </is>
      </c>
    </row>
    <row r="233">
      <c r="A233">
        <f>IF(ISNA(VLOOKUP(B233,Definitions!B$2:B$1623,1,FALSE)),"Not listed","")</f>
        <v/>
      </c>
      <c r="B233" t="inlineStr">
        <is>
          <t>shore_hardness_value</t>
        </is>
      </c>
      <c r="C233" s="4" t="inlineStr">
        <is>
          <t>//diggs:propertyClass</t>
        </is>
      </c>
      <c r="D233" s="21" t="inlineStr">
        <is>
          <t>ancestor::diggs:measurement//diggs:procedure/diggs:ShoreScleroscopeHardnessTest</t>
        </is>
      </c>
    </row>
    <row r="234" ht="17" customHeight="1">
      <c r="A234">
        <f>IF(ISNA(VLOOKUP(B234,Definitions!B$2:B$1623,1,FALSE)),"Not listed","")</f>
        <v/>
      </c>
      <c r="B234" s="2" t="inlineStr">
        <is>
          <t>shrinkage</t>
        </is>
      </c>
      <c r="C234" s="4" t="inlineStr">
        <is>
          <t>//diggs:propertyClass</t>
        </is>
      </c>
      <c r="D234" s="21" t="inlineStr">
        <is>
          <t>ancestor::diggs:measurement//diggs:procedure/diggs:LinearShrinkageTest</t>
        </is>
      </c>
    </row>
    <row r="235">
      <c r="A235">
        <f>IF(ISNA(VLOOKUP(B235,Definitions!B$2:B$1623,1,FALSE)),"Not listed","")</f>
        <v/>
      </c>
      <c r="B235" t="inlineStr">
        <is>
          <t>shrinkage</t>
        </is>
      </c>
      <c r="C235" s="4" t="inlineStr">
        <is>
          <t>//diggs:propertyClass</t>
        </is>
      </c>
      <c r="D235" s="21" t="inlineStr">
        <is>
          <t>ancestor::diggs:measurement//diggs:procedure/diggs:ShrinkageTest</t>
        </is>
      </c>
    </row>
    <row r="236" ht="17" customHeight="1">
      <c r="A236">
        <f>IF(ISNA(VLOOKUP(B236,Definitions!B$2:B$1623,1,FALSE)),"Not listed","")</f>
        <v/>
      </c>
      <c r="B236" s="26" t="inlineStr">
        <is>
          <t>shrinkage_limit</t>
        </is>
      </c>
      <c r="C236" s="21" t="inlineStr">
        <is>
          <t>//diggs:propertyClass</t>
        </is>
      </c>
      <c r="D236" s="21" t="inlineStr">
        <is>
          <t>ancestor::diggs:measurement//diggs:procedure/diggs:AtterbergLimitsTest</t>
        </is>
      </c>
    </row>
    <row r="237" ht="17" customHeight="1">
      <c r="A237">
        <f>IF(ISNA(VLOOKUP(B237,Definitions!B$2:B$1623,1,FALSE)),"Not listed","")</f>
        <v/>
      </c>
      <c r="B237" s="26" t="inlineStr">
        <is>
          <t>shrinkage_ratio</t>
        </is>
      </c>
      <c r="C237" s="21" t="inlineStr">
        <is>
          <t>//diggs:propertyClass</t>
        </is>
      </c>
      <c r="D237" s="21" t="inlineStr">
        <is>
          <t>ancestor::diggs:measurement//diggs:procedure/diggs:AtterbergLimitsTest</t>
        </is>
      </c>
    </row>
    <row r="238">
      <c r="A238">
        <f>IF(ISNA(VLOOKUP(B238,Definitions!B$2:B$1623,1,FALSE)),"Not listed","")</f>
        <v/>
      </c>
      <c r="B238" t="inlineStr">
        <is>
          <t>slake_durability_index</t>
        </is>
      </c>
      <c r="C238" s="4" t="inlineStr">
        <is>
          <t>//diggs:propertyClass</t>
        </is>
      </c>
      <c r="D238" s="21" t="inlineStr">
        <is>
          <t>ancestor::diggs:measurement//diggs:procedure/diggs:AggregateSlakeDurabilityTest</t>
        </is>
      </c>
    </row>
    <row r="239" ht="17" customHeight="1">
      <c r="A239">
        <f>IF(ISNA(VLOOKUP(B239,Definitions!B$2:B$1623,1,FALSE)),"Not listed","")</f>
        <v/>
      </c>
      <c r="B239" s="26" t="inlineStr">
        <is>
          <t>sleeve_friction</t>
        </is>
      </c>
      <c r="C239" s="21" t="inlineStr">
        <is>
          <t>//diggs:propertyClass</t>
        </is>
      </c>
      <c r="D239" s="21" t="inlineStr">
        <is>
          <t>ancestor::diggs:measurement//diggs:procedure/diggs:StaticConePenetrationTest</t>
        </is>
      </c>
    </row>
    <row r="240">
      <c r="A240">
        <f>IF(ISNA(VLOOKUP(B240,Definitions!B$2:B$1623,1,FALSE)),"Not listed","")</f>
        <v/>
      </c>
      <c r="B240" t="inlineStr">
        <is>
          <t>slump</t>
        </is>
      </c>
      <c r="C240" s="4" t="inlineStr">
        <is>
          <t>//diggs:propertyClass</t>
        </is>
      </c>
      <c r="D240" s="21" t="inlineStr">
        <is>
          <t>ancestor::diggs:measurement//diggs:procedure/diggs:SlumpTest</t>
        </is>
      </c>
    </row>
    <row r="241" ht="17" customHeight="1">
      <c r="A241">
        <f>IF(ISNA(VLOOKUP(B241,Definitions!B$2:B$1623,1,FALSE)),"Not listed","")</f>
        <v/>
      </c>
      <c r="B241" s="26" t="inlineStr">
        <is>
          <t>soil_moisture_content</t>
        </is>
      </c>
      <c r="C241" s="21" t="inlineStr">
        <is>
          <t>//diggs:propertyClass</t>
        </is>
      </c>
      <c r="D241" s="21" t="inlineStr">
        <is>
          <t>ancestor::diggs:measurement//diggs:procedure/diggs:StaticConePenetrationTest</t>
        </is>
      </c>
    </row>
    <row r="242">
      <c r="A242">
        <f>IF(ISNA(VLOOKUP(B242,Definitions!B$2:B$1623,1,FALSE)),"Not listed","")</f>
        <v/>
      </c>
      <c r="B242" t="inlineStr">
        <is>
          <t>soil_suction</t>
        </is>
      </c>
      <c r="C242" s="4" t="inlineStr">
        <is>
          <t>//diggs:propertyClass</t>
        </is>
      </c>
      <c r="D242" s="21" t="inlineStr">
        <is>
          <t>ancestor::diggs:measurement//diggs:procedure/diggs:SuctionTest</t>
        </is>
      </c>
    </row>
    <row r="243" ht="17" customHeight="1">
      <c r="A243">
        <f>IF(ISNA(VLOOKUP(B243,Definitions!B$2:B$1623,1,FALSE)),"Not listed","")</f>
        <v/>
      </c>
      <c r="B243" s="26" t="inlineStr">
        <is>
          <t>soil_type</t>
        </is>
      </c>
      <c r="C243" s="21" t="inlineStr">
        <is>
          <t>//diggs:propertyClass</t>
        </is>
      </c>
      <c r="D243" s="21" t="inlineStr">
        <is>
          <t>ancestor::diggs:measurement//diggs:procedure/diggs:FlatPlateDilatometerTest</t>
        </is>
      </c>
    </row>
    <row r="244" ht="17" customHeight="1">
      <c r="A244">
        <f>IF(ISNA(VLOOKUP(B244,Definitions!B$2:B$1623,1,FALSE)),"Not listed","")</f>
        <v/>
      </c>
      <c r="B244" s="26" t="inlineStr">
        <is>
          <t>specific_gravity_apparent</t>
        </is>
      </c>
      <c r="C244" s="21" t="inlineStr">
        <is>
          <t>//diggs:propertyClass</t>
        </is>
      </c>
      <c r="D244" s="21" t="inlineStr">
        <is>
          <t>ancestor::diggs:measurement//diggs:procedure/diggs:SpecificGravityTest</t>
        </is>
      </c>
    </row>
    <row r="245" ht="17" customHeight="1">
      <c r="A245">
        <f>IF(ISNA(VLOOKUP(B245,Definitions!B$2:B$1623,1,FALSE)),"Not listed","")</f>
        <v/>
      </c>
      <c r="B245" s="26" t="inlineStr">
        <is>
          <t>specific_gravity_bulk</t>
        </is>
      </c>
      <c r="C245" s="21" t="inlineStr">
        <is>
          <t>//diggs:propertyClass</t>
        </is>
      </c>
      <c r="D245" s="21" t="inlineStr">
        <is>
          <t>ancestor::diggs:measurement//diggs:procedure/diggs:SpecificGravityTest</t>
        </is>
      </c>
    </row>
    <row r="246" ht="17" customHeight="1">
      <c r="A246">
        <f>IF(ISNA(VLOOKUP(B246,Definitions!B$2:B$1623,1,FALSE)),"Not listed","")</f>
        <v/>
      </c>
      <c r="B246" s="26" t="inlineStr">
        <is>
          <t>specific_gravity_solids</t>
        </is>
      </c>
      <c r="C246" s="21" t="inlineStr">
        <is>
          <t>//diggs:propertyClass</t>
        </is>
      </c>
      <c r="D246" s="21" t="inlineStr">
        <is>
          <t>ancestor::diggs:measurement//diggs:procedure/diggs:LabCompactionTest</t>
        </is>
      </c>
    </row>
    <row r="247" ht="17" customHeight="1">
      <c r="A247">
        <f>IF(ISNA(VLOOKUP([1]AssociatedElements!B231,Definitions!B$2:B$1623,1,FALSE)),"Not listed","")</f>
        <v/>
      </c>
      <c r="B247" s="26" t="inlineStr">
        <is>
          <t>specific_gravity_solids</t>
        </is>
      </c>
      <c r="C247" s="21" t="inlineStr">
        <is>
          <t>//diggs:propertyClass</t>
        </is>
      </c>
      <c r="D247" s="21" t="inlineStr">
        <is>
          <t>ancestor::diggs:measurement//diggs:procedure/diggs:SpecificGravityTest</t>
        </is>
      </c>
    </row>
    <row r="248" ht="17" customHeight="1">
      <c r="A248">
        <f>IF(ISNA(VLOOKUP(B248,Definitions!B$2:B$1623,1,FALSE)),"Not listed","")</f>
        <v/>
      </c>
      <c r="B248" s="26" t="inlineStr">
        <is>
          <t>sulfate_content</t>
        </is>
      </c>
      <c r="C248" s="21" t="inlineStr">
        <is>
          <t>//diggs:propertyClass</t>
        </is>
      </c>
      <c r="D248" s="21" t="inlineStr">
        <is>
          <t>ancestor::diggs:measurement//diggs:procedure/diggs:LabChemicalTest</t>
        </is>
      </c>
    </row>
    <row r="249" ht="17" customHeight="1">
      <c r="A249">
        <f>IF(ISNA(VLOOKUP([1]AssociatedElements!B287,Definitions!B$2:B$1623,1,FALSE)),"Not listed","")</f>
        <v/>
      </c>
      <c r="B249" s="2" t="inlineStr">
        <is>
          <t>swell_pressure</t>
        </is>
      </c>
      <c r="C249" s="4" t="inlineStr">
        <is>
          <t>//diggs:propertyClass</t>
        </is>
      </c>
      <c r="D249" s="21" t="inlineStr">
        <is>
          <t>ancestor::diggs:measurement//diggs:procedure/diggs:SwellOrCollapseTest</t>
        </is>
      </c>
    </row>
    <row r="250">
      <c r="A250">
        <f>IF(ISNA(VLOOKUP(B250,Definitions!B$2:B$1623,1,FALSE)),"Not listed","")</f>
        <v/>
      </c>
      <c r="B250" t="inlineStr">
        <is>
          <t>syneresis</t>
        </is>
      </c>
      <c r="C250" s="4" t="inlineStr">
        <is>
          <t>//diggs:propertyClass</t>
        </is>
      </c>
      <c r="D250" s="21" t="inlineStr">
        <is>
          <t>ancestor::diggs:measurement//diggs:procedure/diggs:SyneresisTest</t>
        </is>
      </c>
    </row>
    <row r="251" ht="17" customHeight="1">
      <c r="A251">
        <f>IF(ISNA(VLOOKUP(B251,Definitions!B$2:B$1623,1,FALSE)),"Not listed","")</f>
        <v/>
      </c>
      <c r="B251" s="2" t="inlineStr">
        <is>
          <t>syneresis</t>
        </is>
      </c>
      <c r="C251" s="4" t="inlineStr">
        <is>
          <t>//diggs:propertyClass</t>
        </is>
      </c>
      <c r="D251" s="21" t="inlineStr">
        <is>
          <t>ancestor::diggs:syneresisTimeSeries</t>
        </is>
      </c>
    </row>
    <row r="252">
      <c r="A252">
        <f>IF(ISNA(VLOOKUP(B252,Definitions!B$2:B$1623,1,FALSE)),"Not listed","")</f>
        <v/>
      </c>
      <c r="B252" t="inlineStr">
        <is>
          <t>syneresis_surface_area_normalized</t>
        </is>
      </c>
      <c r="C252" s="4" t="inlineStr">
        <is>
          <t>//diggs:propertyClass</t>
        </is>
      </c>
      <c r="D252" s="21" t="inlineStr">
        <is>
          <t>ancestor::diggs:measurement//diggs:procedure/diggs:SyneresisTest</t>
        </is>
      </c>
    </row>
    <row r="253" ht="17" customHeight="1">
      <c r="A253">
        <f>IF(ISNA(VLOOKUP(B253,Definitions!B$2:B$1623,1,FALSE)),"Not listed","")</f>
        <v/>
      </c>
      <c r="B253" s="2" t="inlineStr">
        <is>
          <t>syneresis_surface_area_normalized</t>
        </is>
      </c>
      <c r="C253" s="4" t="inlineStr">
        <is>
          <t>//diggs:propertyClass</t>
        </is>
      </c>
      <c r="D253" s="21" t="inlineStr">
        <is>
          <t>ancestor::diggs:syneresisTimeSeries</t>
        </is>
      </c>
    </row>
    <row r="254" ht="17" customHeight="1">
      <c r="A254">
        <f>IF(ISNA(VLOOKUP(B254,Definitions!B$2:B$1623,1,FALSE)),"Not listed","")</f>
        <v/>
      </c>
      <c r="B254" s="26" t="inlineStr">
        <is>
          <t>t50</t>
        </is>
      </c>
      <c r="C254" s="21" t="inlineStr">
        <is>
          <t>//diggs:propertyClass</t>
        </is>
      </c>
      <c r="D254" s="21" t="inlineStr">
        <is>
          <t>ancestor::diggs:measurement//diggs:procedure/diggs:PorePressureDissipationTest</t>
        </is>
      </c>
    </row>
    <row r="255" ht="17" customHeight="1">
      <c r="A255">
        <f>IF(ISNA(VLOOKUP([1]AssociatedElements!B276,Definitions!B$2:B$1623,1,FALSE)),"Not listed","")</f>
        <v/>
      </c>
      <c r="B255" s="26" t="inlineStr">
        <is>
          <t>temperature</t>
        </is>
      </c>
      <c r="C255" s="4" t="inlineStr">
        <is>
          <t>//diggs:propertyClass</t>
        </is>
      </c>
      <c r="D255" s="21" t="inlineStr">
        <is>
          <t>ancestor::diggs:measurement//diggs:procedure/diggs:WaterLevelMonitoring</t>
        </is>
      </c>
    </row>
    <row r="256" ht="17" customHeight="1">
      <c r="A256">
        <f>IF(ISNA(VLOOKUP(B256,Definitions!B$2:B$1623,1,FALSE)),"Not listed","")</f>
        <v/>
      </c>
      <c r="B256" s="26" t="inlineStr">
        <is>
          <t>temperature</t>
        </is>
      </c>
      <c r="C256" s="21" t="inlineStr">
        <is>
          <t>//diggs:propertyClass</t>
        </is>
      </c>
      <c r="D256" s="21" t="inlineStr">
        <is>
          <t>ancestor::diggs:measurement//diggs:procedure/diggs:StaticConePenetrationTest</t>
        </is>
      </c>
    </row>
    <row r="257">
      <c r="A257">
        <f>IF(ISNA(VLOOKUP(B257,Definitions!B$2:B$1623,1,FALSE)),"Not listed","")</f>
        <v/>
      </c>
      <c r="B257" t="inlineStr">
        <is>
          <t>ten_percent_fines_value</t>
        </is>
      </c>
      <c r="C257" s="4" t="inlineStr">
        <is>
          <t>//diggs:propertyClass</t>
        </is>
      </c>
      <c r="D257" s="21" t="inlineStr">
        <is>
          <t>ancestor::diggs:measurement//diggs:procedure/diggs:AggregateTenPercentFinesTest</t>
        </is>
      </c>
    </row>
    <row r="258" ht="17" customHeight="1">
      <c r="A258">
        <f>IF(ISNA(VLOOKUP([1]AssociatedElements!B294,Definitions!B$2:B$1623,1,FALSE)),"Not listed","")</f>
        <v/>
      </c>
      <c r="B258" s="2" t="inlineStr">
        <is>
          <t>tensile_strength</t>
        </is>
      </c>
      <c r="C258" s="4" t="inlineStr">
        <is>
          <t>//diggs:propertyClass</t>
        </is>
      </c>
      <c r="D258" s="21" t="inlineStr">
        <is>
          <t>ancestor::diggs:measurement//diggs:procedure/diggs:TensileStrengthTest</t>
        </is>
      </c>
    </row>
    <row r="259" ht="17" customHeight="1">
      <c r="A259">
        <f>IF(ISNA(VLOOKUP(B259,Definitions!B$2:B$1623,1,FALSE)),"Not listed","")</f>
        <v/>
      </c>
      <c r="B259" s="26" t="inlineStr">
        <is>
          <t>thrust</t>
        </is>
      </c>
      <c r="C259" s="21" t="inlineStr">
        <is>
          <t>//diggs:propertyClass</t>
        </is>
      </c>
      <c r="D259" s="21" t="inlineStr">
        <is>
          <t>ancestor::diggs:measurement//diggs:procedure/diggs:FlatPlateDilatometerTest</t>
        </is>
      </c>
    </row>
    <row r="260" ht="17" customHeight="1">
      <c r="A260">
        <f>IF(ISNA(VLOOKUP(B260,Definitions!B$2:B$1623,1,FALSE)),"Not listed","")</f>
        <v/>
      </c>
      <c r="B260" s="26" t="inlineStr">
        <is>
          <t>time</t>
        </is>
      </c>
      <c r="C260" s="4" t="inlineStr">
        <is>
          <t>//diggs:propertyClass</t>
        </is>
      </c>
      <c r="D260" s="21" t="inlineStr">
        <is>
          <t>ancestor::diggs:dissipationTimeSeries</t>
        </is>
      </c>
    </row>
    <row r="261" ht="17" customHeight="1">
      <c r="A261">
        <f>IF(ISNA(VLOOKUP(B261,Definitions!B$2:B$1623,1,FALSE)),"Not listed","")</f>
        <v/>
      </c>
      <c r="B261" s="2" t="inlineStr">
        <is>
          <t>time</t>
        </is>
      </c>
      <c r="C261" s="4" t="inlineStr">
        <is>
          <t>//diggs:propertyClass</t>
        </is>
      </c>
      <c r="D261" s="21" t="inlineStr">
        <is>
          <t>ancestor::diggs:lugeonStepTimeSeries</t>
        </is>
      </c>
    </row>
    <row r="262" ht="15" customHeight="1">
      <c r="A262">
        <f>IF(ISNA(VLOOKUP(B262,Definitions!B$2:B$1623,1,FALSE)),"Not listed","")</f>
        <v/>
      </c>
      <c r="B262" s="26" t="inlineStr">
        <is>
          <t>time</t>
        </is>
      </c>
      <c r="C262" s="21" t="inlineStr">
        <is>
          <t>//diggs:propertyClass</t>
        </is>
      </c>
      <c r="D262" s="21" t="inlineStr">
        <is>
          <t>ancestor::diggs:measurement//diggs:procedure/diggs:StaticConePenetrationTest</t>
        </is>
      </c>
    </row>
    <row r="263" ht="17" customHeight="1">
      <c r="A263">
        <f>IF(ISNA(VLOOKUP(B263,Definitions!B$2:B$1623,1,FALSE)),"Not listed","")</f>
        <v/>
      </c>
      <c r="B263" s="26" t="inlineStr">
        <is>
          <t>time</t>
        </is>
      </c>
      <c r="C263" s="4" t="inlineStr">
        <is>
          <t>//diggs:propertyClass</t>
        </is>
      </c>
      <c r="D263" s="21" t="inlineStr">
        <is>
          <t>ancestor::diggs:syneresisTimeSeries</t>
        </is>
      </c>
    </row>
    <row r="264" ht="17" customHeight="1">
      <c r="A264">
        <f>IF(ISNA(VLOOKUP(B264,Definitions!B$2:B$1623,1,FALSE)),"Not listed","")</f>
        <v/>
      </c>
      <c r="B264" s="26" t="inlineStr">
        <is>
          <t>time</t>
        </is>
      </c>
      <c r="C264" s="21" t="inlineStr">
        <is>
          <t>//diggs:propertyClass</t>
        </is>
      </c>
      <c r="D264" s="21" t="inlineStr">
        <is>
          <t>ancestor::SpatialResult</t>
        </is>
      </c>
    </row>
    <row r="265" ht="17" customHeight="1">
      <c r="A265">
        <f>IF(ISNA(VLOOKUP(B265,Definitions!B$2:B$1623,1,FALSE)),"Not listed","")</f>
        <v/>
      </c>
      <c r="B265" s="26" t="inlineStr">
        <is>
          <t>time</t>
        </is>
      </c>
      <c r="C265" s="21" t="inlineStr">
        <is>
          <t>//diggs:propertyClass</t>
        </is>
      </c>
      <c r="D265" s="21" t="inlineStr">
        <is>
          <t>ancestor::TestResult</t>
        </is>
      </c>
    </row>
    <row r="266" ht="17" customHeight="1">
      <c r="A266">
        <f>IF(ISNA(VLOOKUP(B266,Definitions!B$2:B$1623,1,FALSE)),"Not listed","")</f>
        <v/>
      </c>
      <c r="B266" s="26" t="inlineStr">
        <is>
          <t>tip_resistance</t>
        </is>
      </c>
      <c r="C266" s="21" t="inlineStr">
        <is>
          <t>//diggs:propertyClass</t>
        </is>
      </c>
      <c r="D266" s="21" t="inlineStr">
        <is>
          <t>ancestor::diggs:measurement//diggs:procedure/diggs:StaticConePenetrationTest</t>
        </is>
      </c>
    </row>
    <row r="267" ht="17" customHeight="1">
      <c r="A267">
        <f>IF(ISNA(VLOOKUP(B267,Definitions!B$2:B$1623,1,FALSE)),"Not listed","")</f>
        <v/>
      </c>
      <c r="B267" s="26" t="inlineStr">
        <is>
          <t>tip_resistance_corrected</t>
        </is>
      </c>
      <c r="C267" s="21" t="inlineStr">
        <is>
          <t>//diggs:propertyClass</t>
        </is>
      </c>
      <c r="D267" s="21" t="inlineStr">
        <is>
          <t>ancestor::diggs:measurement//diggs:procedure/diggs:StaticConePenetrationTest</t>
        </is>
      </c>
    </row>
    <row r="268" ht="17" customHeight="1">
      <c r="A268">
        <f>IF(ISNA(VLOOKUP(B268,Definitions!B$2:B$1623,1,FALSE)),"Not listed","")</f>
        <v/>
      </c>
      <c r="B268" s="26" t="inlineStr">
        <is>
          <t>torque</t>
        </is>
      </c>
      <c r="C268" s="21" t="inlineStr">
        <is>
          <t>//diggs:propertyClass</t>
        </is>
      </c>
      <c r="D268" s="21" t="inlineStr">
        <is>
          <t>ancestor::diggs:measurement//diggs:procedure/diggs:DynamicProbeTest</t>
        </is>
      </c>
    </row>
    <row r="269" ht="17" customHeight="1">
      <c r="A269">
        <f>IF(ISNA(VLOOKUP([1]AssociatedElements!B283,Definitions!B$2:B$1623,1,FALSE)),"Not listed","")</f>
        <v/>
      </c>
      <c r="B269" s="2" t="inlineStr">
        <is>
          <t>total_carbon</t>
        </is>
      </c>
      <c r="C269" s="4" t="inlineStr">
        <is>
          <t>//diggs:propertyClass</t>
        </is>
      </c>
      <c r="D269" s="21" t="inlineStr">
        <is>
          <t>ancestor::diggs:measurement//diggs:procedure/diggs:OrganicMatterByWetCombustionTest</t>
        </is>
      </c>
    </row>
    <row r="270" ht="17" customHeight="1">
      <c r="A270">
        <f>IF(ISNA(VLOOKUP([1]AssociatedElements!B285,Definitions!B$2:B$1623,1,FALSE)),"Not listed","")</f>
        <v/>
      </c>
      <c r="B270" s="2" t="inlineStr">
        <is>
          <t>total_organic_matter</t>
        </is>
      </c>
      <c r="C270" s="4" t="inlineStr">
        <is>
          <t>//diggs:propertyClass</t>
        </is>
      </c>
      <c r="D270" s="21" t="inlineStr">
        <is>
          <t>ancestor::diggs:measurement//diggs:procedure/diggs:OrganicMatterByWetCombustionTest</t>
        </is>
      </c>
    </row>
    <row r="271" ht="17" customHeight="1">
      <c r="A271">
        <f>IF(ISNA(VLOOKUP(B271,Definitions!B$2:B$1623,1,FALSE)),"Not listed","")</f>
        <v/>
      </c>
      <c r="B271" s="2" t="inlineStr">
        <is>
          <t>transducer_pressure</t>
        </is>
      </c>
      <c r="C271" s="4" t="inlineStr">
        <is>
          <t>//diggs:propertyClass</t>
        </is>
      </c>
      <c r="D271" s="21" t="inlineStr">
        <is>
          <t>ancestor::diggs:lugeonStepTimeSeries</t>
        </is>
      </c>
    </row>
    <row r="272" ht="17" customHeight="1">
      <c r="A272">
        <f>IF(ISNA(VLOOKUP(B272,Definitions!B$2:B$1623,1,FALSE)),"Not listed","")</f>
        <v/>
      </c>
      <c r="B272" s="26" t="inlineStr">
        <is>
          <t>u50</t>
        </is>
      </c>
      <c r="C272" s="21" t="inlineStr">
        <is>
          <t>//diggs:propertyClass</t>
        </is>
      </c>
      <c r="D272" s="21" t="inlineStr">
        <is>
          <t>ancestor::diggs:measurement//diggs:procedure/diggs:PorePressureDissipationTest</t>
        </is>
      </c>
    </row>
    <row r="273" ht="17" customHeight="1">
      <c r="A273">
        <f>IF(ISNA(VLOOKUP(B273,Definitions!B$2:B$1623,1,FALSE)),"Not listed","")</f>
        <v/>
      </c>
      <c r="B273" s="2" t="inlineStr">
        <is>
          <t>uscs_group_name</t>
        </is>
      </c>
      <c r="C273" s="4" t="inlineStr">
        <is>
          <t>//diggs:propertyClass</t>
        </is>
      </c>
      <c r="D273" s="21" t="inlineStr">
        <is>
          <t>ancestor::diggs:measurement//diggs:procedure/diggs:ParticleSizeTest</t>
        </is>
      </c>
    </row>
    <row r="274" ht="17" customHeight="1">
      <c r="A274">
        <f>IF(ISNA(VLOOKUP(B274,Definitions!B$2:B$1623,1,FALSE)),"Not listed","")</f>
        <v/>
      </c>
      <c r="B274" s="26" t="inlineStr">
        <is>
          <t>uscs_symbol</t>
        </is>
      </c>
      <c r="C274" s="21" t="inlineStr">
        <is>
          <t>//diggs:propertyClass</t>
        </is>
      </c>
      <c r="D274" s="21" t="inlineStr">
        <is>
          <t>ancestor::diggs:measurement//diggs:procedure/diggs:ParticleSizeTest</t>
        </is>
      </c>
    </row>
    <row r="275" ht="17" customHeight="1">
      <c r="A275">
        <f>IF(ISNA(VLOOKUP(B275,Definitions!B$2:B$1623,1,FALSE)),"Not listed","")</f>
        <v/>
      </c>
      <c r="B275" s="26" t="inlineStr">
        <is>
          <t>uscs_symbol_425</t>
        </is>
      </c>
      <c r="C275" s="21" t="inlineStr">
        <is>
          <t>//diggs:propertyClass</t>
        </is>
      </c>
      <c r="D275" s="21" t="inlineStr">
        <is>
          <t>ancestor::diggs:measurement//diggs:procedure/diggs:AtterbergLimitsTest</t>
        </is>
      </c>
    </row>
    <row r="276" ht="17" customHeight="1">
      <c r="A276">
        <f>IF(ISNA(VLOOKUP(B276,Definitions!B$2:B$1623,1,FALSE)),"Not listed","")</f>
        <v/>
      </c>
      <c r="B276" s="26" t="inlineStr">
        <is>
          <t>vertical_stress_total</t>
        </is>
      </c>
      <c r="C276" s="21" t="inlineStr">
        <is>
          <t>//diggs:propertyClass</t>
        </is>
      </c>
      <c r="D276" s="21" t="inlineStr">
        <is>
          <t>ancestor::diggs:measurement//diggs:procedure/diggs:FlatPlateDilatometerTest</t>
        </is>
      </c>
    </row>
    <row r="277" ht="17" customHeight="1">
      <c r="A277">
        <f>IF(ISNA(VLOOKUP(B277,Definitions!B$2:B$1623,1,FALSE)),"Not listed","")</f>
        <v/>
      </c>
      <c r="B277" s="2" t="inlineStr">
        <is>
          <t>volume</t>
        </is>
      </c>
      <c r="C277" s="4" t="inlineStr">
        <is>
          <t>//diggs:propertyClass</t>
        </is>
      </c>
      <c r="D277" s="21" t="inlineStr">
        <is>
          <t>ancestor::diggs:syneresisTimeSeries</t>
        </is>
      </c>
    </row>
    <row r="278" ht="17" customHeight="1">
      <c r="A278">
        <f>IF(ISNA(VLOOKUP(B278,Definitions!B$2:B$1623,1,FALSE)),"Not listed","")</f>
        <v/>
      </c>
      <c r="B278" s="2" t="inlineStr">
        <is>
          <t>volume_loss</t>
        </is>
      </c>
      <c r="C278" s="4" t="inlineStr">
        <is>
          <t>//diggs:propertyClass</t>
        </is>
      </c>
      <c r="D278" s="21" t="inlineStr">
        <is>
          <t>ancestor::diggs:syneresisTimeSeries</t>
        </is>
      </c>
    </row>
    <row r="279" ht="17" customHeight="1">
      <c r="A279">
        <f>IF(ISNA(VLOOKUP(B279,Definitions!B$2:B$1623,1,FALSE)),"Not listed","")</f>
        <v/>
      </c>
      <c r="B279" s="26" t="inlineStr">
        <is>
          <t>volumetric_shrinkage</t>
        </is>
      </c>
      <c r="C279" s="21" t="inlineStr">
        <is>
          <t>//diggs:propertyClass</t>
        </is>
      </c>
      <c r="D279" s="21" t="inlineStr">
        <is>
          <t>ancestor::diggs:measurement//diggs:procedure/diggs:AtterbergLimitsTest</t>
        </is>
      </c>
    </row>
    <row r="280">
      <c r="A280">
        <f>IF(ISNA(VLOOKUP(B280,Definitions!B$2:B$1623,1,FALSE)),"Not listed","")</f>
        <v/>
      </c>
      <c r="B280" t="inlineStr">
        <is>
          <t>washout_result</t>
        </is>
      </c>
      <c r="C280" s="4" t="inlineStr">
        <is>
          <t>//diggs:propertyClass</t>
        </is>
      </c>
      <c r="D280" s="21" t="inlineStr">
        <is>
          <t>ancestor::diggs:measurement//diggs:procedure/diggs:WashoutTest</t>
        </is>
      </c>
    </row>
    <row r="281" ht="17" customHeight="1">
      <c r="A281">
        <f>IF(ISNA(VLOOKUP([1]AssociatedElements!B290,Definitions!B$2:B$1623,1,FALSE)),"Not listed","")</f>
        <v/>
      </c>
      <c r="B281" s="2" t="inlineStr">
        <is>
          <t>water_content_difference</t>
        </is>
      </c>
      <c r="C281" s="4" t="inlineStr">
        <is>
          <t>//diggs:propertyClass</t>
        </is>
      </c>
      <c r="D281" s="21" t="inlineStr">
        <is>
          <t>ancestor::diggs:measurement//diggs:procedure/diggs:LabCompactionTest</t>
        </is>
      </c>
    </row>
    <row r="282" ht="17" customHeight="1">
      <c r="A282">
        <f>IF(ISNA(VLOOKUP(B282,Definitions!B$2:B$1623,1,FALSE)),"Not listed","")</f>
        <v/>
      </c>
      <c r="B282" s="26" t="inlineStr">
        <is>
          <t>water_content_natural</t>
        </is>
      </c>
      <c r="C282" s="21" t="inlineStr">
        <is>
          <t>//diggs:propertyClass</t>
        </is>
      </c>
      <c r="D282" s="21" t="inlineStr">
        <is>
          <t>ancestor::diggs:measurement//diggs:procedure/diggs:InsituCBRTest</t>
        </is>
      </c>
    </row>
    <row r="283" ht="17" customHeight="1">
      <c r="A283">
        <f>IF(ISNA(VLOOKUP(B283,Definitions!B$2:B$1623,1,FALSE)),"Not listed","")</f>
        <v/>
      </c>
      <c r="B283" s="26" t="inlineStr">
        <is>
          <t>water_content_natural</t>
        </is>
      </c>
      <c r="C283" s="21" t="inlineStr">
        <is>
          <t>//diggs:propertyClass</t>
        </is>
      </c>
      <c r="D283" s="21" t="inlineStr">
        <is>
          <t>ancestor::diggs:measurement//diggs:procedure/diggs:LabCBRTest</t>
        </is>
      </c>
    </row>
    <row r="284" ht="17" customHeight="1">
      <c r="A284">
        <f>IF(ISNA(VLOOKUP(B284,Definitions!B$2:B$1623,1,FALSE)),"Not listed","")</f>
        <v/>
      </c>
      <c r="B284" s="26" t="inlineStr">
        <is>
          <t>water_content_natural</t>
        </is>
      </c>
      <c r="C284" s="21" t="inlineStr">
        <is>
          <t>//diggs:propertyClass</t>
        </is>
      </c>
      <c r="D284" s="21" t="inlineStr">
        <is>
          <t>ancestor::diggs:measurement//diggs:procedure/diggs:LabCompactionTest</t>
        </is>
      </c>
    </row>
    <row r="285" ht="17" customHeight="1">
      <c r="A285">
        <f>IF(ISNA(VLOOKUP(B285,Definitions!B$2:B$1623,1,FALSE)),"Not listed","")</f>
        <v/>
      </c>
      <c r="B285" s="26" t="inlineStr">
        <is>
          <t>water_content_natural</t>
        </is>
      </c>
      <c r="C285" s="21" t="inlineStr">
        <is>
          <t>//diggs:propertyClass</t>
        </is>
      </c>
      <c r="D285" s="21" t="inlineStr">
        <is>
          <t>ancestor::diggs:measurement//diggs:procedure/diggs:LabDensityTest</t>
        </is>
      </c>
    </row>
    <row r="286" ht="17" customHeight="1">
      <c r="A286">
        <f>IF(ISNA(VLOOKUP(B286,Definitions!B$2:B$1623,1,FALSE)),"Not listed","")</f>
        <v/>
      </c>
      <c r="B286" s="26" t="inlineStr">
        <is>
          <t>water_content_natural</t>
        </is>
      </c>
      <c r="C286" s="21" t="inlineStr">
        <is>
          <t>//diggs:propertyClass</t>
        </is>
      </c>
      <c r="D286" s="21" t="inlineStr">
        <is>
          <t>ancestor::diggs:measurement//diggs:procedure/diggs:StaticConePenetrationTest</t>
        </is>
      </c>
    </row>
    <row r="287" ht="17" customHeight="1">
      <c r="A287">
        <f>IF(ISNA(VLOOKUP(B287,Definitions!B$2:B$1623,1,FALSE)),"Not listed","")</f>
        <v/>
      </c>
      <c r="B287" s="26" t="inlineStr">
        <is>
          <t>water_content_natural</t>
        </is>
      </c>
      <c r="C287" s="21" t="inlineStr">
        <is>
          <t>//diggs:propertyClass</t>
        </is>
      </c>
      <c r="D287" s="21" t="inlineStr">
        <is>
          <t>ancestor::diggs:measurement//diggs:procedure/diggs:WaterContentTest</t>
        </is>
      </c>
    </row>
    <row r="288" ht="17" customHeight="1">
      <c r="A288">
        <f>IF(ISNA(VLOOKUP(B288,Definitions!B$2:B$1623,1,FALSE)),"Not listed","")</f>
        <v/>
      </c>
      <c r="B288" s="26" t="inlineStr">
        <is>
          <t>water_content_optimum</t>
        </is>
      </c>
      <c r="C288" s="21" t="inlineStr">
        <is>
          <t>//diggs:propertyClass</t>
        </is>
      </c>
      <c r="D288" s="21" t="inlineStr">
        <is>
          <t>ancestor::diggs:measurement//diggs:procedure/diggs:LabCompactionTest</t>
        </is>
      </c>
    </row>
    <row r="289" ht="17" customHeight="1">
      <c r="A289">
        <f>IF(ISNA(VLOOKUP(B289,Definitions!B$2:B$1623,1,FALSE)),"Not listed","")</f>
        <v/>
      </c>
      <c r="B289" s="2" t="inlineStr">
        <is>
          <t>water_depth</t>
        </is>
      </c>
      <c r="C289" s="4" t="inlineStr">
        <is>
          <t>//diggs:propertyClass</t>
        </is>
      </c>
      <c r="D289" s="21" t="inlineStr">
        <is>
          <t>ancestor::diggs:measurement//diggs:procedure/diggs:PorePressureDissipationTest</t>
        </is>
      </c>
    </row>
    <row r="290" ht="17" customHeight="1">
      <c r="A290">
        <f>IF(ISNA(VLOOKUP([1]AssociatedElements!B292,Definitions!B$2:B$1623,1,FALSE)),"Not listed","")</f>
        <v/>
      </c>
      <c r="B290" s="2" t="inlineStr">
        <is>
          <t>water_depth</t>
        </is>
      </c>
      <c r="C290" s="4" t="inlineStr">
        <is>
          <t>//diggs:propertyClass</t>
        </is>
      </c>
      <c r="D290" s="21" t="inlineStr">
        <is>
          <t>ancestor::diggs:measurement//diggs:procedure/diggs:PumpingTest</t>
        </is>
      </c>
    </row>
    <row r="291" ht="17" customHeight="1">
      <c r="A291">
        <f>IF(ISNA(VLOOKUP([1]AssociatedElements!B274,Definitions!B$2:B$1623,1,FALSE)),"Not listed","")</f>
        <v/>
      </c>
      <c r="B291" s="2" t="inlineStr">
        <is>
          <t>water_depth</t>
        </is>
      </c>
      <c r="C291" s="4" t="inlineStr">
        <is>
          <t>//diggs:propertyClass</t>
        </is>
      </c>
      <c r="D291" s="21" t="inlineStr">
        <is>
          <t>ancestor::diggs:measurement//diggs:procedure/diggs:WaterLevelMonitoring</t>
        </is>
      </c>
    </row>
    <row r="292" ht="17" customHeight="1">
      <c r="A292">
        <f>IF(ISNA(VLOOKUP(B292,Definitions!B$2:B$1623,1,FALSE)),"Not listed","")</f>
        <v/>
      </c>
      <c r="B292" s="2" t="inlineStr">
        <is>
          <t>water_elev</t>
        </is>
      </c>
      <c r="C292" s="4" t="inlineStr">
        <is>
          <t>//diggs:propertyClass</t>
        </is>
      </c>
      <c r="D292" s="21" t="inlineStr">
        <is>
          <t>ancestor::diggs:measurement//diggs:procedure/diggs:PorePressureDissipationTest</t>
        </is>
      </c>
    </row>
    <row r="293" ht="17" customHeight="1">
      <c r="A293">
        <f>IF(ISNA(VLOOKUP([1]AssociatedElements!B291,Definitions!B$2:B$1623,1,FALSE)),"Not listed","")</f>
        <v/>
      </c>
      <c r="B293" s="2" t="inlineStr">
        <is>
          <t>water_elev</t>
        </is>
      </c>
      <c r="C293" s="4" t="inlineStr">
        <is>
          <t>//diggs:propertyClass</t>
        </is>
      </c>
      <c r="D293" s="21" t="inlineStr">
        <is>
          <t>ancestor::diggs:measurement//diggs:procedure/diggs:PumpingTest</t>
        </is>
      </c>
    </row>
    <row r="294" ht="17" customHeight="1">
      <c r="A294">
        <f>IF(ISNA(VLOOKUP([1]AssociatedElements!B275,Definitions!B$2:B$1623,1,FALSE)),"Not listed","")</f>
        <v/>
      </c>
      <c r="B294" s="2" t="inlineStr">
        <is>
          <t>water_elev</t>
        </is>
      </c>
      <c r="C294" s="4" t="inlineStr">
        <is>
          <t>//diggs:propertyClass</t>
        </is>
      </c>
      <c r="D294" s="21" t="inlineStr">
        <is>
          <t>ancestor::diggs:measurement//diggs:procedure/diggs:WaterLevelMonitoring</t>
        </is>
      </c>
    </row>
    <row r="295" ht="17" customHeight="1">
      <c r="A295">
        <f>IF(ISNA(VLOOKUP([1]AssociatedElements!B295,Definitions!B$2:B$1623,1,FALSE)),"Not listed","")</f>
        <v/>
      </c>
      <c r="B295" s="2" t="inlineStr">
        <is>
          <t>d84</t>
        </is>
      </c>
      <c r="C295" s="4" t="inlineStr">
        <is>
          <t>//diggs:propertyClass</t>
        </is>
      </c>
      <c r="D295" s="21" t="inlineStr">
        <is>
          <t>ancestor::diggs:measurement//diggs:procedure/diggs:MaterialGradationTest</t>
        </is>
      </c>
    </row>
    <row r="296" ht="17" customHeight="1">
      <c r="A296">
        <f>IF(ISNA(VLOOKUP([1]AssociatedElements!B296,Definitions!B$2:B$1623,1,FALSE)),"Not listed","")</f>
        <v/>
      </c>
      <c r="B296" s="2" t="inlineStr">
        <is>
          <t>d84</t>
        </is>
      </c>
      <c r="C296" s="4" t="inlineStr">
        <is>
          <t>//diggs:propertyClass</t>
        </is>
      </c>
      <c r="D296" s="21" t="inlineStr">
        <is>
          <t>ancestor::diggs:measurement//diggs:procedure/diggs:ParticleSizeTest</t>
        </is>
      </c>
    </row>
    <row r="297" ht="17" customHeight="1">
      <c r="A297">
        <f>IF(ISNA(VLOOKUP([1]AssociatedElements!B297,Definitions!B$2:B$1623,1,FALSE)),"Not listed","")</f>
        <v/>
      </c>
      <c r="B297" s="2" t="inlineStr">
        <is>
          <t>d90</t>
        </is>
      </c>
      <c r="C297" s="4" t="inlineStr">
        <is>
          <t>//diggs:propertyClass</t>
        </is>
      </c>
      <c r="D297" s="21" t="inlineStr">
        <is>
          <t>ancestor::diggs:measurement//diggs:procedure/diggs:MaterialGradationTest</t>
        </is>
      </c>
    </row>
    <row r="298" ht="17" customHeight="1">
      <c r="A298">
        <f>IF(ISNA(VLOOKUP([1]AssociatedElements!B298,Definitions!B$2:B$1623,1,FALSE)),"Not listed","")</f>
        <v/>
      </c>
      <c r="B298" s="2" t="inlineStr">
        <is>
          <t>d90</t>
        </is>
      </c>
      <c r="C298" s="4" t="inlineStr">
        <is>
          <t>//diggs:propertyClass</t>
        </is>
      </c>
      <c r="D298" s="21" t="inlineStr">
        <is>
          <t>ancestor::diggs:measurement//diggs:procedure/diggs:ParticleSizeTest</t>
        </is>
      </c>
    </row>
    <row r="299" ht="17" customHeight="1">
      <c r="A299">
        <f>IF(ISNA(VLOOKUP([1]AssociatedElements!B299,Definitions!B$2:B$1623,1,FALSE)),"Not listed","")</f>
        <v/>
      </c>
      <c r="B299" s="2" t="inlineStr">
        <is>
          <t>percent_coarse_gravel</t>
        </is>
      </c>
      <c r="C299" s="4" t="inlineStr">
        <is>
          <t>//diggs:propertyClass</t>
        </is>
      </c>
      <c r="D299" s="21" t="inlineStr">
        <is>
          <t>ancestor::diggs:measurement//diggs:procedure/diggs:MaterialGradationTest</t>
        </is>
      </c>
    </row>
    <row r="300" ht="17" customHeight="1">
      <c r="A300">
        <f>IF(ISNA(VLOOKUP([1]AssociatedElements!B300,Definitions!B$2:B$1623,1,FALSE)),"Not listed","")</f>
        <v/>
      </c>
      <c r="B300" s="2" t="inlineStr">
        <is>
          <t>percent_coarse_gravel</t>
        </is>
      </c>
      <c r="C300" s="4" t="inlineStr">
        <is>
          <t>//diggs:propertyClass</t>
        </is>
      </c>
      <c r="D300" s="21" t="inlineStr">
        <is>
          <t>ancestor::diggs:measurement//diggs:procedure/diggs:ParticleSizeTest</t>
        </is>
      </c>
    </row>
    <row r="301" ht="17" customHeight="1">
      <c r="A301">
        <f>IF(ISNA(VLOOKUP([1]AssociatedElements!B301,Definitions!B$2:B$1623,1,FALSE)),"Not listed","")</f>
        <v/>
      </c>
      <c r="B301" s="2" t="inlineStr">
        <is>
          <t>percent_fine_gravel</t>
        </is>
      </c>
      <c r="C301" s="4" t="inlineStr">
        <is>
          <t>//diggs:propertyClass</t>
        </is>
      </c>
      <c r="D301" s="21" t="inlineStr">
        <is>
          <t>ancestor::diggs:measurement//diggs:procedure/diggs:MaterialGradationTest</t>
        </is>
      </c>
    </row>
    <row r="302" ht="17" customHeight="1">
      <c r="A302">
        <f>IF(ISNA(VLOOKUP([1]AssociatedElements!B302,Definitions!B$2:B$1623,1,FALSE)),"Not listed","")</f>
        <v/>
      </c>
      <c r="B302" s="2" t="inlineStr">
        <is>
          <t>percent_fine_gravel</t>
        </is>
      </c>
      <c r="C302" s="4" t="inlineStr">
        <is>
          <t>//diggs:propertyClass</t>
        </is>
      </c>
      <c r="D302" s="21" t="inlineStr">
        <is>
          <t>ancestor::diggs:measurement//diggs:procedure/diggs:ParticleSizeTest</t>
        </is>
      </c>
    </row>
    <row r="303" ht="17" customHeight="1">
      <c r="A303">
        <f>IF(ISNA(VLOOKUP([1]AssociatedElements!B303,Definitions!B$2:B$1623,1,FALSE)),"Not listed","")</f>
        <v/>
      </c>
      <c r="B303" s="2" t="inlineStr">
        <is>
          <t>percent_coarse_sand</t>
        </is>
      </c>
      <c r="C303" s="4" t="inlineStr">
        <is>
          <t>//diggs:propertyClass</t>
        </is>
      </c>
      <c r="D303" s="21" t="inlineStr">
        <is>
          <t>ancestor::diggs:measurement//diggs:procedure/diggs:MaterialGradationTest</t>
        </is>
      </c>
    </row>
    <row r="304" ht="17" customHeight="1">
      <c r="A304">
        <f>IF(ISNA(VLOOKUP([1]AssociatedElements!B304,Definitions!B$2:B$1623,1,FALSE)),"Not listed","")</f>
        <v/>
      </c>
      <c r="B304" s="2" t="inlineStr">
        <is>
          <t>percent_coarse_sand</t>
        </is>
      </c>
      <c r="C304" s="4" t="inlineStr">
        <is>
          <t>//diggs:propertyClass</t>
        </is>
      </c>
      <c r="D304" s="21" t="inlineStr">
        <is>
          <t>ancestor::diggs:measurement//diggs:procedure/diggs:ParticleSizeTest</t>
        </is>
      </c>
    </row>
    <row r="305" ht="17" customHeight="1">
      <c r="A305">
        <f>IF(ISNA(VLOOKUP([1]AssociatedElements!B305,Definitions!B$2:B$1623,1,FALSE)),"Not listed","")</f>
        <v/>
      </c>
      <c r="B305" s="2" t="inlineStr">
        <is>
          <t>percent_medium_sand</t>
        </is>
      </c>
      <c r="C305" s="4" t="inlineStr">
        <is>
          <t>//diggs:propertyClass</t>
        </is>
      </c>
      <c r="D305" s="21" t="inlineStr">
        <is>
          <t>ancestor::diggs:measurement//diggs:procedure/diggs:MaterialGradationTest</t>
        </is>
      </c>
    </row>
    <row r="306" ht="17" customHeight="1">
      <c r="A306">
        <f>IF(ISNA(VLOOKUP([1]AssociatedElements!B306,Definitions!B$2:B$1623,1,FALSE)),"Not listed","")</f>
        <v/>
      </c>
      <c r="B306" s="2" t="inlineStr">
        <is>
          <t>percent_medium_sand</t>
        </is>
      </c>
      <c r="C306" s="4" t="inlineStr">
        <is>
          <t>//diggs:propertyClass</t>
        </is>
      </c>
      <c r="D306" s="21" t="inlineStr">
        <is>
          <t>ancestor::diggs:measurement//diggs:procedure/diggs:ParticleSizeTest</t>
        </is>
      </c>
    </row>
    <row r="307" ht="17" customHeight="1">
      <c r="A307">
        <f>IF(ISNA(VLOOKUP([1]AssociatedElements!B307,Definitions!B$2:B$1623,1,FALSE)),"Not listed","")</f>
        <v/>
      </c>
      <c r="B307" s="2" t="inlineStr">
        <is>
          <t>percent_fine_sand</t>
        </is>
      </c>
      <c r="C307" s="4" t="inlineStr">
        <is>
          <t>//diggs:propertyClass</t>
        </is>
      </c>
      <c r="D307" s="21" t="inlineStr">
        <is>
          <t>ancestor::diggs:measurement//diggs:procedure/diggs:MaterialGradationTest</t>
        </is>
      </c>
    </row>
    <row r="308" ht="17" customHeight="1">
      <c r="A308">
        <f>IF(ISNA(VLOOKUP([1]AssociatedElements!B308,Definitions!B$2:B$1623,1,FALSE)),"Not listed","")</f>
        <v/>
      </c>
      <c r="B308" s="2" t="inlineStr">
        <is>
          <t>percent_fine_sand</t>
        </is>
      </c>
      <c r="C308" s="4" t="inlineStr">
        <is>
          <t>//diggs:propertyClass</t>
        </is>
      </c>
      <c r="D308" s="21" t="inlineStr">
        <is>
          <t>ancestor::diggs:measurement//diggs:procedure/diggs:ParticleSizeTest</t>
        </is>
      </c>
    </row>
    <row r="309" ht="17" customHeight="1">
      <c r="A309">
        <f>IF(ISNA(VLOOKUP([1]AssociatedElements!B309,Definitions!B$2:B$1623,1,FALSE)),"Not listed","")</f>
        <v/>
      </c>
      <c r="B309" s="2" t="inlineStr">
        <is>
          <t>aashto_percent_gravel</t>
        </is>
      </c>
      <c r="C309" s="4" t="inlineStr">
        <is>
          <t>//diggs:propertyClass</t>
        </is>
      </c>
      <c r="D309" s="21" t="inlineStr">
        <is>
          <t>ancestor::diggs:measurement//diggs:procedure/diggs:MaterialGradationTest</t>
        </is>
      </c>
    </row>
    <row r="310" ht="17" customHeight="1">
      <c r="A310">
        <f>IF(ISNA(VLOOKUP([1]AssociatedElements!B310,Definitions!B$2:B$1623,1,FALSE)),"Not listed","")</f>
        <v/>
      </c>
      <c r="B310" s="2" t="inlineStr">
        <is>
          <t>aashto_percent_gravel</t>
        </is>
      </c>
      <c r="C310" s="4" t="inlineStr">
        <is>
          <t>//diggs:propertyClass</t>
        </is>
      </c>
      <c r="D310" s="21" t="inlineStr">
        <is>
          <t>ancestor::diggs:measurement//diggs:procedure/diggs:ParticleSizeTest</t>
        </is>
      </c>
    </row>
    <row r="311" ht="17" customHeight="1">
      <c r="A311">
        <f>IF(ISNA(VLOOKUP([1]AssociatedElements!B311,Definitions!B$2:B$1623,1,FALSE)),"Not listed","")</f>
        <v/>
      </c>
      <c r="B311" s="2" t="inlineStr">
        <is>
          <t>aashto_percent_coarse_sand</t>
        </is>
      </c>
      <c r="C311" s="4" t="inlineStr">
        <is>
          <t>//diggs:propertyClass</t>
        </is>
      </c>
      <c r="D311" s="21" t="inlineStr">
        <is>
          <t>ancestor::diggs:measurement//diggs:procedure/diggs:MaterialGradationTest</t>
        </is>
      </c>
    </row>
    <row r="312" ht="17" customHeight="1">
      <c r="A312">
        <f>IF(ISNA(VLOOKUP([1]AssociatedElements!B312,Definitions!B$2:B$1623,1,FALSE)),"Not listed","")</f>
        <v/>
      </c>
      <c r="B312" s="2" t="inlineStr">
        <is>
          <t>aashto_percent_coarse_sand</t>
        </is>
      </c>
      <c r="C312" s="4" t="inlineStr">
        <is>
          <t>//diggs:propertyClass</t>
        </is>
      </c>
      <c r="D312" s="21" t="inlineStr">
        <is>
          <t>ancestor::diggs:measurement//diggs:procedure/diggs:ParticleSizeTest</t>
        </is>
      </c>
    </row>
    <row r="313" ht="17" customHeight="1">
      <c r="A313">
        <f>IF(ISNA(VLOOKUP([1]AssociatedElements!B313,Definitions!B$2:B$1623,1,FALSE)),"Not listed","")</f>
        <v/>
      </c>
      <c r="B313" s="2" t="inlineStr">
        <is>
          <t>aashto_percent_fine_sand</t>
        </is>
      </c>
      <c r="C313" s="4" t="inlineStr">
        <is>
          <t>//diggs:propertyClass</t>
        </is>
      </c>
      <c r="D313" s="21" t="inlineStr">
        <is>
          <t>ancestor::diggs:measurement//diggs:procedure/diggs:MaterialGradationTest</t>
        </is>
      </c>
    </row>
    <row r="314" ht="17" customHeight="1">
      <c r="A314">
        <f>IF(ISNA(VLOOKUP([1]AssociatedElements!B314,Definitions!B$2:B$1623,1,FALSE)),"Not listed","")</f>
        <v/>
      </c>
      <c r="B314" s="2" t="inlineStr">
        <is>
          <t>aashto_percent_fine_sand</t>
        </is>
      </c>
      <c r="C314" s="4" t="inlineStr">
        <is>
          <t>//diggs:propertyClass</t>
        </is>
      </c>
      <c r="D314" s="21" t="inlineStr">
        <is>
          <t>ancestor::diggs:measurement//diggs:procedure/diggs:ParticleSizeTest</t>
        </is>
      </c>
    </row>
    <row r="315">
      <c r="B315" s="14" t="inlineStr">
        <is>
          <t>settlement</t>
        </is>
      </c>
      <c r="C315" s="4" t="inlineStr">
        <is>
          <t>//diggs:propertyClass</t>
        </is>
      </c>
      <c r="D315" s="21" t="inlineStr">
        <is>
          <t>ancestor::diggs:TemporalResult</t>
        </is>
      </c>
    </row>
    <row r="316">
      <c r="B316" s="14" t="inlineStr">
        <is>
          <t>settlement</t>
        </is>
      </c>
      <c r="C316" s="4" t="inlineStr">
        <is>
          <t>//diggs:propertyClass</t>
        </is>
      </c>
      <c r="D316" s="21" t="inlineStr">
        <is>
          <t>ancestor::diggs:PerformanceCriterion</t>
        </is>
      </c>
    </row>
    <row r="317">
      <c r="B317" s="14" t="inlineStr">
        <is>
          <t>differential_settlement</t>
        </is>
      </c>
      <c r="C317" s="4" t="inlineStr">
        <is>
          <t>//diggs:propertyClass</t>
        </is>
      </c>
      <c r="D317" s="21" t="inlineStr">
        <is>
          <t>ancestor::diggs:TemporalResult</t>
        </is>
      </c>
    </row>
    <row r="318">
      <c r="B318" s="14" t="inlineStr">
        <is>
          <t>differential_settlement</t>
        </is>
      </c>
      <c r="C318" s="4" t="inlineStr">
        <is>
          <t>//diggs:propertyClass</t>
        </is>
      </c>
      <c r="D318" s="21" t="inlineStr">
        <is>
          <t>ancestor::diggs:PerformanceCriterion</t>
        </is>
      </c>
    </row>
    <row r="319">
      <c r="B319" s="14" t="inlineStr">
        <is>
          <t>settlement_reduction_ratio</t>
        </is>
      </c>
      <c r="C319" s="4" t="inlineStr">
        <is>
          <t>//diggs:propertyClass</t>
        </is>
      </c>
      <c r="D319" s="21" t="inlineStr">
        <is>
          <t>ancestor::diggs:TemporalResult</t>
        </is>
      </c>
    </row>
    <row r="320">
      <c r="B320" s="14" t="inlineStr">
        <is>
          <t>settlement_reduction_ratio</t>
        </is>
      </c>
      <c r="C320" s="4" t="inlineStr">
        <is>
          <t>//diggs:propertyClass</t>
        </is>
      </c>
      <c r="D320" s="21" t="inlineStr">
        <is>
          <t>ancestor::diggs:PerformanceCriterion</t>
        </is>
      </c>
    </row>
    <row r="321">
      <c r="B321" s="14" t="inlineStr">
        <is>
          <t>pore_pressure</t>
        </is>
      </c>
      <c r="C321" s="4" t="inlineStr">
        <is>
          <t>//diggs:propertyClass</t>
        </is>
      </c>
      <c r="D321" s="21" t="inlineStr">
        <is>
          <t>ancestor::diggs:TemporalResult</t>
        </is>
      </c>
    </row>
    <row r="322">
      <c r="B322" s="14" t="inlineStr">
        <is>
          <t>reinforcement_load_fraction</t>
        </is>
      </c>
      <c r="C322" s="4" t="inlineStr">
        <is>
          <t>//diggs:propertyClass</t>
        </is>
      </c>
      <c r="D322" s="21" t="inlineStr">
        <is>
          <t>ancestor::diggs:PerformanceCriterion</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2026-08-26T08:26:48Z</dcterms:modified>
  <cp:lastModifiedBy>Dan Ponti</cp:lastModifiedBy>
  <cp:lastPrinted>2024-01-23T07:37:04Z</cp:lastPrinted>
</cp:coreProperties>
</file>