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020" yWindow="2560" windowWidth="35840" windowHeight="20700" tabRatio="500" firstSheet="0" activeTab="1" autoFilterDateGrouping="1"/>
  </bookViews>
  <sheets>
    <sheet name="DictionaryName" sheetId="1" state="visible" r:id="rId1"/>
    <sheet name="Definitions" sheetId="2" state="visible" r:id="rId2"/>
    <sheet name="AssociatedElements" sheetId="3" state="visible" r:id="rId3"/>
    <sheet name="Lists" sheetId="4" state="visible" r:id="rId4"/>
  </sheets>
  <externalReferences>
    <externalReference r:id="rId5"/>
  </externalReferences>
  <definedNames/>
  <calcPr calcId="191029" fullCalcOnLoad="1"/>
</workbook>
</file>

<file path=xl/styles.xml><?xml version="1.0" encoding="utf-8"?>
<styleSheet xmlns="http://schemas.openxmlformats.org/spreadsheetml/2006/main">
  <numFmts count="0"/>
  <fonts count="20">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Aptos Narrow"/>
      <family val="2"/>
      <color rgb="FF000000"/>
      <sz val="12"/>
    </font>
    <font>
      <name val="Calibri"/>
      <family val="2"/>
      <color rgb="FF000000"/>
      <sz val="12"/>
      <scheme val="minor"/>
    </font>
    <font>
      <name val="Calibri"/>
      <family val="2"/>
      <color theme="1"/>
      <sz val="12"/>
      <scheme val="minor"/>
    </font>
    <font>
      <name val="Calibri"/>
      <family val="2"/>
      <color rgb="FF211E1E"/>
      <sz val="12"/>
      <scheme val="minor"/>
    </font>
    <font>
      <name val="Calibri"/>
      <family val="2"/>
      <color theme="3"/>
      <sz val="12"/>
      <scheme val="minor"/>
    </font>
    <font>
      <name val="Calibri"/>
      <family val="2"/>
      <color rgb="FF44546A"/>
      <sz val="12"/>
      <scheme val="minor"/>
    </font>
    <font>
      <name val="Calibri"/>
      <family val="2"/>
      <color rgb="FFFF0000"/>
      <sz val="12"/>
      <scheme val="minor"/>
    </font>
    <font>
      <name val="Aptos Narrow"/>
      <family val="2"/>
      <sz val="12"/>
    </font>
    <font>
      <name val="Times"/>
      <color rgb="FF231F20"/>
      <sz val="12"/>
    </font>
    <font>
      <name val="Arial"/>
      <family val="2"/>
      <color rgb="FF000000"/>
      <sz val="12"/>
    </font>
  </fonts>
  <fills count="6">
    <fill>
      <patternFill/>
    </fill>
    <fill>
      <patternFill patternType="gray125"/>
    </fill>
    <fill>
      <patternFill patternType="solid">
        <fgColor rgb="FF4472C4"/>
        <bgColor rgb="FF4472C4"/>
      </patternFill>
    </fill>
    <fill>
      <patternFill patternType="solid">
        <fgColor rgb="FFDBE5F1"/>
        <bgColor indexed="64"/>
      </patternFill>
    </fill>
    <fill>
      <patternFill patternType="solid">
        <fgColor rgb="FFD9E1F2"/>
        <bgColor rgb="FFD9E1F2"/>
      </patternFill>
    </fill>
    <fill>
      <patternFill patternType="solid">
        <fgColor rgb="FFB4C6E7"/>
        <bgColor rgb="FFB4C6E7"/>
      </patternFill>
    </fill>
  </fills>
  <borders count="6">
    <border>
      <left/>
      <right/>
      <top/>
      <bottom/>
      <diagonal/>
    </border>
    <border>
      <left style="thin">
        <color rgb="FFFFFFFF"/>
      </left>
      <right style="thin">
        <color rgb="FFFFFFFF"/>
      </right>
      <top/>
      <bottom style="thick">
        <color rgb="FFFFFFFF"/>
      </bottom>
      <diagonal/>
    </border>
    <border>
      <left/>
      <right style="thin">
        <color rgb="FFFFFFFF"/>
      </right>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indexed="64"/>
      </bottom>
      <diagonal/>
    </border>
  </borders>
  <cellStyleXfs count="3">
    <xf numFmtId="0" fontId="12" fillId="0" borderId="0"/>
    <xf numFmtId="0" fontId="2" fillId="0" borderId="0"/>
    <xf numFmtId="0" fontId="3" fillId="0" borderId="0"/>
  </cellStyleXfs>
  <cellXfs count="40">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1" fillId="0" borderId="0" pivotButton="0" quotePrefix="0" xfId="0"/>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8" fillId="2" borderId="1" pivotButton="0" quotePrefix="0" xfId="0"/>
    <xf numFmtId="0" fontId="9" fillId="0" borderId="0" pivotButton="0" quotePrefix="0" xfId="0"/>
    <xf numFmtId="0" fontId="0" fillId="0" borderId="0" applyAlignment="1" pivotButton="0" quotePrefix="0" xfId="0">
      <alignment vertical="center"/>
    </xf>
    <xf numFmtId="0" fontId="10" fillId="0" borderId="0" applyAlignment="1" pivotButton="0" quotePrefix="0" xfId="0">
      <alignment vertical="center" wrapText="1"/>
    </xf>
    <xf numFmtId="0" fontId="11" fillId="0" borderId="0" applyAlignment="1" pivotButton="0" quotePrefix="0" xfId="0">
      <alignment vertical="center" wrapText="1"/>
    </xf>
    <xf numFmtId="0" fontId="0" fillId="0" borderId="0" applyAlignment="1" pivotButton="0" quotePrefix="0" xfId="0">
      <alignment wrapText="1"/>
    </xf>
    <xf numFmtId="0" fontId="12" fillId="0" borderId="0" applyAlignment="1" pivotButton="0" quotePrefix="0" xfId="0">
      <alignment vertical="center" wrapText="1"/>
    </xf>
    <xf numFmtId="0" fontId="10" fillId="0" borderId="0" applyAlignment="1" pivotButton="0" quotePrefix="0" xfId="0">
      <alignment vertical="center"/>
    </xf>
    <xf numFmtId="0" fontId="13" fillId="0" borderId="0" applyAlignment="1" pivotButton="0" quotePrefix="0" xfId="0">
      <alignment vertical="center" wrapText="1"/>
    </xf>
    <xf numFmtId="0" fontId="0" fillId="0" borderId="0" applyAlignment="1" pivotButton="0" quotePrefix="0" xfId="0">
      <alignment horizontal="left" vertical="center" wrapText="1"/>
    </xf>
    <xf numFmtId="0" fontId="4" fillId="0" borderId="0" applyAlignment="1" pivotButton="0" quotePrefix="0" xfId="0">
      <alignment vertical="center"/>
    </xf>
    <xf numFmtId="0" fontId="4" fillId="0" borderId="0" applyAlignment="1" pivotButton="0" quotePrefix="0" xfId="0">
      <alignment horizontal="left" vertical="center"/>
    </xf>
    <xf numFmtId="0" fontId="10" fillId="0" borderId="2" applyAlignment="1" pivotButton="0" quotePrefix="0" xfId="0">
      <alignment vertical="center"/>
    </xf>
    <xf numFmtId="0" fontId="14" fillId="0" borderId="0" pivotButton="0" quotePrefix="0" xfId="0"/>
    <xf numFmtId="0" fontId="4" fillId="3" borderId="0" applyAlignment="1" pivotButton="0" quotePrefix="0" xfId="0">
      <alignment horizontal="left" vertical="center" wrapText="1"/>
    </xf>
    <xf numFmtId="0" fontId="11" fillId="0" borderId="3" applyAlignment="1" pivotButton="0" quotePrefix="0" xfId="0">
      <alignment vertical="center" wrapText="1"/>
    </xf>
    <xf numFmtId="0" fontId="0" fillId="0" borderId="2" applyAlignment="1" pivotButton="0" quotePrefix="0" xfId="0">
      <alignment vertical="center" wrapText="1"/>
    </xf>
    <xf numFmtId="0" fontId="11" fillId="4" borderId="0" applyAlignment="1" pivotButton="0" quotePrefix="0" xfId="0">
      <alignment vertical="center" wrapText="1"/>
    </xf>
    <xf numFmtId="0" fontId="14" fillId="0" borderId="0" applyAlignment="1" pivotButton="0" quotePrefix="0" xfId="0">
      <alignment vertical="center" wrapText="1"/>
    </xf>
    <xf numFmtId="0" fontId="1" fillId="0" borderId="0" applyAlignment="1" pivotButton="0" quotePrefix="0" xfId="0">
      <alignment vertical="center"/>
    </xf>
    <xf numFmtId="0" fontId="4" fillId="0" borderId="0" applyAlignment="1" pivotButton="0" quotePrefix="0" xfId="0">
      <alignment vertical="center" wrapText="1"/>
    </xf>
    <xf numFmtId="0" fontId="15" fillId="5" borderId="0" pivotButton="0" quotePrefix="0" xfId="0"/>
    <xf numFmtId="0" fontId="14" fillId="0" borderId="4" pivotButton="0" quotePrefix="0" xfId="0"/>
    <xf numFmtId="0" fontId="4" fillId="3" borderId="0" applyAlignment="1" pivotButton="0" quotePrefix="0" xfId="0">
      <alignment vertical="center" wrapText="1"/>
    </xf>
    <xf numFmtId="0" fontId="16" fillId="0" borderId="0" applyAlignment="1" pivotButton="0" quotePrefix="0" xfId="0">
      <alignment vertical="center" wrapText="1"/>
    </xf>
    <xf numFmtId="0" fontId="17" fillId="0" borderId="0" applyAlignment="1" pivotButton="0" quotePrefix="0" xfId="0">
      <alignment vertical="center" wrapText="1"/>
    </xf>
    <xf numFmtId="0" fontId="11" fillId="0" borderId="5" applyAlignment="1" pivotButton="0" quotePrefix="0" xfId="0">
      <alignment vertical="center" wrapText="1"/>
    </xf>
    <xf numFmtId="0" fontId="17" fillId="0" borderId="0" applyAlignment="1" pivotButton="0" quotePrefix="0" xfId="0">
      <alignment vertical="center"/>
    </xf>
    <xf numFmtId="0" fontId="4" fillId="0" borderId="2" applyAlignment="1" pivotButton="0" quotePrefix="0" xfId="0">
      <alignment vertical="center" wrapText="1"/>
    </xf>
    <xf numFmtId="0" fontId="18" fillId="0" borderId="0" applyAlignment="1" pivotButton="0" quotePrefix="0" xfId="0">
      <alignment wrapText="1"/>
    </xf>
    <xf numFmtId="0" fontId="0" fillId="0" borderId="0" applyAlignment="1" pivotButton="0" quotePrefix="0" xfId="0">
      <alignment vertical="center" wrapText="1"/>
    </xf>
    <xf numFmtId="0" fontId="19" fillId="0" borderId="0" pivotButton="0" quotePrefix="0" xfId="0"/>
  </cellXfs>
  <cellStyles count="3">
    <cellStyle name="Normal" xfId="0" builtinId="0"/>
    <cellStyle name="Hyperlink" xfId="1" builtinId="8" hidden="1"/>
    <cellStyle name="Followed Hyperlink" xfId="2" builtinId="9" hidden="1"/>
  </cellStyles>
  <dxfs count="23">
    <dxf>
      <font>
        <name val="Calibri"/>
        <family val="2"/>
        <strike val="0"/>
        <outline val="0"/>
        <shadow val="0"/>
        <condense val="0"/>
        <color theme="3"/>
        <extend val="0"/>
        <sz val="12"/>
        <vertAlign val="baseline"/>
        <scheme val="minor"/>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alignment horizontal="general" vertical="center"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dxf>
    <dxf>
      <alignment horizontal="general" vertical="center" wrapText="1"/>
    </dxf>
    <dxf>
      <alignment horizontal="general" vertical="center" wrapText="1"/>
    </dxf>
    <dxf>
      <alignment horizontal="general" vertical="center" wrapText="1"/>
    </dxf>
    <dxf>
      <alignment horizontal="general" vertical="center" wrapText="1"/>
    </dxf>
    <dxf>
      <fill>
        <patternFill>
          <fgColor indexed="64"/>
          <bgColor auto="1"/>
        </patternFill>
      </fill>
      <alignment horizontal="general" vertical="center" wrapText="1"/>
    </dxf>
    <dxf>
      <alignment horizontal="general" vertical="center" wrapText="1"/>
    </dxf>
    <dxf>
      <font>
        <name val="Calibri"/>
        <strike val="0"/>
        <outline val="0"/>
        <shadow val="0"/>
        <sz val="12"/>
        <vertAlign val="baseline"/>
        <scheme val="minor"/>
      </font>
      <alignment horizontal="general" vertical="center" wrapText="1"/>
    </dxf>
    <dxf>
      <alignment horizontal="general" vertical="center" wrapText="1"/>
    </dxf>
    <dxf>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externalLink" Target="/xl/externalLinks/externalLink1.xml" Id="rId5" /><Relationship Type="http://schemas.openxmlformats.org/officeDocument/2006/relationships/styles" Target="styles.xml" Id="rId6" /><Relationship Type="http://schemas.openxmlformats.org/officeDocument/2006/relationships/theme" Target="theme/theme1.xml" Id="rId7" /></Relationships>
</file>

<file path=xl/externalLinks/_rels/externalLink1.xml.rels><Relationships xmlns="http://schemas.openxmlformats.org/package/2006/relationships"><Relationship Type="http://schemas.openxmlformats.org/officeDocument/2006/relationships/externalLinkPath" Target="file:///D:/Users/dponti/GitHub/def/Codelist%20Excel%20Files%20and%20Conversion%20Templates%20to%20XML/sensor_propertie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AssociatedElements"/>
    </sheetNames>
    <sheetDataSet>
      <sheetData sheetId="0" refreshError="1"/>
    </sheetDataSet>
  </externalBook>
</externalLink>
</file>

<file path=xl/tables/table1.xml><?xml version="1.0" encoding="utf-8"?>
<table xmlns="http://schemas.openxmlformats.org/spreadsheetml/2006/main" id="1" name="DictionaryName" displayName="DictionaryName" ref="A1:E3" headerRowCount="1" totalsRowShown="0" headerRowDxfId="10" dataDxfId="9">
  <autoFilter ref="A1:E3"/>
  <tableColumns count="5">
    <tableColumn id="1" name="Start" dataDxfId="8"/>
    <tableColumn id="4" name="Dictionary ID" dataDxfId="7"/>
    <tableColumn id="5" name="DictionaryFile"/>
    <tableColumn id="2" name="DictionaryName" dataDxfId="6"/>
    <tableColumn id="3" name="Description" dataDxfId="5"/>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J213" headerRowCount="1" totalsRowShown="0" headerRowDxfId="22" dataDxfId="21">
  <autoFilter ref="A1:J213"/>
  <sortState ref="A2:H180">
    <sortCondition ref="B1:B180"/>
  </sortState>
  <tableColumns count="10">
    <tableColumn id="1" name="Start" dataDxfId="20">
      <calculatedColumnFormula>IF(ISNA(VLOOKUP(B2,AssociatedElements!B$2:B623,1,FALSE)),"Not used","")</calculatedColumnFormula>
    </tableColumn>
    <tableColumn id="10" name="ID" dataDxfId="19"/>
    <tableColumn id="7" name="Name" dataDxfId="18"/>
    <tableColumn id="3" name="Description" dataDxfId="17"/>
    <tableColumn id="4" name="DataType" dataDxfId="16"/>
    <tableColumn id="5" name="QuantityClass" dataDxfId="15"/>
    <tableColumn id="6" name="Authority" dataDxfId="14"/>
    <tableColumn id="9" name="Reference" dataDxfId="13"/>
    <tableColumn id="2" name="SLD Comment" dataDxfId="12"/>
    <tableColumn id="8" name="SLD Changed" dataDxfId="11"/>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36" headerRowCount="1" totalsRowShown="0" headerRowDxfId="4">
  <autoFilter ref="A1:D336"/>
  <sortState ref="A2:D294">
    <sortCondition ref="B1:B294"/>
  </sortState>
  <tableColumns count="4">
    <tableColumn id="1" name="Start" dataDxfId="3">
      <calculatedColumnFormula>IF(ISNA(VLOOKUP([1]AssociatedElements!B2,Definitions!B$2:B$1604,1,FALSE)),"Not listed","")</calculatedColumnFormula>
    </tableColumn>
    <tableColumn id="4" name="ID" dataDxfId="2"/>
    <tableColumn id="2" name="SourceElement" dataDxfId="1"/>
    <tableColumn id="3" name="ConditionalElement" dataDxfId="0"/>
  </tableColumns>
  <tableStyleInfo name="TableStyleMedium9" showFirstColumn="0" showLastColumn="0" showRowStripes="1" showColumnStripes="0"/>
</table>
</file>

<file path=xl/tables/table4.xml><?xml version="1.0" encoding="utf-8"?>
<table xmlns="http://schemas.openxmlformats.org/spreadsheetml/2006/main" id="4" name="Table6" displayName="Table6" ref="A1:D188" headerRowCount="1" totalsRowShown="0">
  <autoFilter ref="A1:D188"/>
  <sortState ref="A2:C186">
    <sortCondition ref="C1:C186"/>
  </sortState>
  <tableColumns count="4">
    <tableColumn id="1" name="DataType"/>
    <tableColumn id="2" name="DataType2"/>
    <tableColumn id="3" name="QuantityClass"/>
    <tableColumn id="4" name="Column2"/>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codeName="Sheet1">
    <outlinePr summaryBelow="1" summaryRight="1"/>
    <pageSetUpPr/>
  </sheetPr>
  <dimension ref="A1:E3"/>
  <sheetViews>
    <sheetView workbookViewId="0">
      <selection activeCell="E3" sqref="E3"/>
    </sheetView>
  </sheetViews>
  <sheetFormatPr baseColWidth="10" defaultColWidth="11" defaultRowHeight="16"/>
  <cols>
    <col width="7.5" customWidth="1" min="1" max="1"/>
    <col width="41.33203125" customWidth="1" min="2" max="2"/>
    <col width="26.33203125" customWidth="1" min="3" max="3"/>
    <col width="30.6640625" customWidth="1" min="4" max="4"/>
    <col width="76" customWidth="1" min="5" max="5"/>
  </cols>
  <sheetData>
    <row r="1" ht="17" customFormat="1" customHeight="1" s="3" thickBot="1">
      <c r="A1" s="3" t="inlineStr">
        <is>
          <t>Start</t>
        </is>
      </c>
      <c r="B1" s="3" t="inlineStr">
        <is>
          <t>Dictionary ID</t>
        </is>
      </c>
      <c r="C1" s="8" t="inlineStr">
        <is>
          <t>DictionaryFile</t>
        </is>
      </c>
      <c r="D1" s="3" t="inlineStr">
        <is>
          <t>DictionaryName</t>
        </is>
      </c>
      <c r="E1" s="3" t="inlineStr">
        <is>
          <t>Description</t>
        </is>
      </c>
    </row>
    <row r="2" ht="18" customFormat="1" customHeight="1" s="3" thickTop="1">
      <c r="A2" s="1" t="n"/>
      <c r="B2" s="1" t="n"/>
      <c r="C2" s="1" t="n"/>
      <c r="D2" s="1" t="n"/>
      <c r="E2" s="1" t="inlineStr">
        <is>
          <t>Leave this line blank</t>
        </is>
      </c>
    </row>
    <row r="3" ht="136" customFormat="1" customHeight="1" s="38">
      <c r="B3" s="10" t="inlineStr">
        <is>
          <t>propertyClass</t>
        </is>
      </c>
      <c r="C3" s="10" t="inlineStr">
        <is>
          <t>properties</t>
        </is>
      </c>
      <c r="D3" s="10" t="inlineStr">
        <is>
          <t>DIGGS Measurement Properties</t>
        </is>
      </c>
      <c r="E3" s="38" t="inlineStr">
        <is>
          <t xml:space="preserve">This dictionary contains the values for the propertyClass property of the diggs:Property object and the measurand property of the diggs:Detector object when used within the Test and Monitor DIGGS features. These values serve to define the ultimate results of geotechnical and environmental tests and monitoring activities that result from test procedures and monitoring sensors. The Xpaths to these occurrences are: 1) //diggs:Property/diggs:propertyClass (for Test, MaterialTest or Monitor) 2)//diggs:Detector/diggs:measurand (for measurand).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J240"/>
  <sheetViews>
    <sheetView tabSelected="1" topLeftCell="A197" zoomScale="150" zoomScaleNormal="150" workbookViewId="0">
      <selection activeCell="F199" sqref="F199"/>
    </sheetView>
  </sheetViews>
  <sheetFormatPr baseColWidth="10" defaultColWidth="10.83203125" defaultRowHeight="16"/>
  <cols>
    <col width="7" customWidth="1" style="38" min="1" max="1"/>
    <col width="25.83203125" customWidth="1" style="38" min="2" max="2"/>
    <col width="31.6640625" customWidth="1" style="38" min="3" max="3"/>
    <col width="54" customWidth="1" style="10" min="4" max="4"/>
    <col width="11.1640625" customWidth="1" style="38" min="5" max="5"/>
    <col width="25.6640625" bestFit="1" customWidth="1" style="38" min="6" max="6"/>
    <col width="17.83203125" customWidth="1" style="38" min="7" max="7"/>
    <col width="20.83203125" customWidth="1" style="38" min="8" max="8"/>
    <col width="10.83203125" customWidth="1" style="38" min="9" max="9"/>
    <col width="10.83203125" customWidth="1" style="38" min="10" max="16384"/>
  </cols>
  <sheetData>
    <row r="1" ht="34" customFormat="1" customHeight="1" s="1">
      <c r="A1" s="1" t="inlineStr">
        <is>
          <t>Start</t>
        </is>
      </c>
      <c r="B1" s="1" t="inlineStr">
        <is>
          <t>ID</t>
        </is>
      </c>
      <c r="C1" s="1" t="inlineStr">
        <is>
          <t>Name</t>
        </is>
      </c>
      <c r="D1" s="27" t="inlineStr">
        <is>
          <t>Description</t>
        </is>
      </c>
      <c r="E1" s="1" t="inlineStr">
        <is>
          <t>DataType</t>
        </is>
      </c>
      <c r="F1" s="1" t="inlineStr">
        <is>
          <t>QuantityClass</t>
        </is>
      </c>
      <c r="G1" s="1" t="inlineStr">
        <is>
          <t>Authority</t>
        </is>
      </c>
      <c r="H1" s="1" t="inlineStr">
        <is>
          <t>Reference</t>
        </is>
      </c>
      <c r="I1" s="1" t="inlineStr">
        <is>
          <t>SLD Comment</t>
        </is>
      </c>
      <c r="J1" s="1" t="inlineStr">
        <is>
          <t>SLD Changed</t>
        </is>
      </c>
    </row>
    <row r="2" ht="68" customHeight="1">
      <c r="A2" s="38">
        <f>IF(ISNA(VLOOKUP(B2,AssociatedElements!B$2:B623,1,FALSE)),"Not used","")</f>
        <v/>
      </c>
      <c r="B2" s="10" t="inlineStr">
        <is>
          <t>a_pressure</t>
        </is>
      </c>
      <c r="C2" s="10" t="inlineStr">
        <is>
          <t>A-Pressure</t>
        </is>
      </c>
      <c r="D2" s="13" t="inlineStr">
        <is>
          <t xml:space="preserve">The gauge gas pressure against the inside of the membrane when the center of the membrane has lifted above its support and moved laterally 0.05-mm (tolerance +0.02, -0.00 mm) into the soil surrounding the blade. </t>
        </is>
      </c>
      <c r="E2" s="10" t="inlineStr">
        <is>
          <t>double</t>
        </is>
      </c>
      <c r="F2" s="10" t="inlineStr">
        <is>
          <t>pressure</t>
        </is>
      </c>
    </row>
    <row r="3" ht="85" customHeight="1">
      <c r="A3" s="38">
        <f>IF(ISNA(VLOOKUP(B3,AssociatedElements!B$2:B624,1,FALSE)),"Not used","")</f>
        <v/>
      </c>
      <c r="B3" s="38" t="inlineStr">
        <is>
          <t>aashto_group_index</t>
        </is>
      </c>
      <c r="C3" s="38" t="inlineStr">
        <is>
          <t>AASHTO Group Index</t>
        </is>
      </c>
      <c r="D3" s="38" t="inlineStr">
        <is>
          <t>The value of the AASHTO group index (GI) as defined by: GI= (F–35)[0.2+0.005(LL– 40)}+(F–15)(PI–10) where F is the percentage passing the 75 μm (0.075 mm) sieve, expressed as a whole number, LL is the liquid limit and PI is the plasticity index.</t>
        </is>
      </c>
      <c r="E3" s="38" t="inlineStr">
        <is>
          <t>string</t>
        </is>
      </c>
    </row>
    <row r="4" ht="34" customHeight="1">
      <c r="A4" s="38">
        <f>IF(ISNA(VLOOKUP(B4,AssociatedElements!B$2:B625,1,FALSE)),"Not used","")</f>
        <v/>
      </c>
      <c r="B4" s="38" t="inlineStr">
        <is>
          <t>aashto_symbol</t>
        </is>
      </c>
      <c r="C4" s="38" t="inlineStr">
        <is>
          <t>AASHTO Symbol</t>
        </is>
      </c>
      <c r="D4" s="38" t="inlineStr">
        <is>
          <t>The group or appropriate subgroup classification as defined by AASHTO M145-91</t>
        </is>
      </c>
      <c r="E4" s="38" t="inlineStr">
        <is>
          <t>string</t>
        </is>
      </c>
    </row>
    <row r="5" ht="34" customHeight="1">
      <c r="A5" s="38">
        <f>IF(ISNA(VLOOKUP(B5,AssociatedElements!B$2:B626,1,FALSE)),"Not used","")</f>
        <v/>
      </c>
      <c r="B5" s="38" t="inlineStr">
        <is>
          <t>aggregate_abrasion_value</t>
        </is>
      </c>
      <c r="C5" s="38" t="inlineStr">
        <is>
          <t>Aggregate Abrasion Value</t>
        </is>
      </c>
      <c r="D5" s="38" t="inlineStr">
        <is>
          <t xml:space="preserve"> A measure of the resistance of aggregate to surface wear by abrasion.</t>
        </is>
      </c>
      <c r="E5" s="38" t="inlineStr">
        <is>
          <t>double</t>
        </is>
      </c>
    </row>
    <row r="6" ht="34" customHeight="1">
      <c r="A6" s="38">
        <f>IF(ISNA(VLOOKUP(B6,AssociatedElements!B$2:B627,1,FALSE)),"Not used","")</f>
        <v/>
      </c>
      <c r="B6" s="38" t="inlineStr">
        <is>
          <t>aggregate_crushing_value</t>
        </is>
      </c>
      <c r="C6" s="38" t="inlineStr">
        <is>
          <t>Aggregate Crushing Value</t>
        </is>
      </c>
      <c r="D6" s="38" t="inlineStr">
        <is>
          <t xml:space="preserve"> A relative measure of the resistance of an aggregate to crushing under a gradually applied compressive load.</t>
        </is>
      </c>
      <c r="E6" s="38" t="inlineStr">
        <is>
          <t>double</t>
        </is>
      </c>
    </row>
    <row r="7" ht="51" customHeight="1">
      <c r="A7" s="38">
        <f>IF(ISNA(VLOOKUP(B7,AssociatedElements!B$2:B628,1,FALSE)),"Not used","")</f>
        <v/>
      </c>
      <c r="B7" s="38" t="inlineStr">
        <is>
          <t>aggregate_elongation_index</t>
        </is>
      </c>
      <c r="C7" s="38" t="inlineStr">
        <is>
          <t>Aggregate Elongation Index</t>
        </is>
      </c>
      <c r="D7" s="38" t="inlineStr">
        <is>
          <t xml:space="preserve"> The ratio, (by mass) of particles whose greatest dimension (length) is 1.8 times their mean dimension to the total mass of the sample.</t>
        </is>
      </c>
      <c r="E7" s="38" t="inlineStr">
        <is>
          <t>double</t>
        </is>
      </c>
    </row>
    <row r="8" ht="51" customHeight="1">
      <c r="A8" s="38">
        <f>IF(ISNA(VLOOKUP(B8,AssociatedElements!B$2:B629,1,FALSE)),"Not used","")</f>
        <v/>
      </c>
      <c r="B8" s="38" t="inlineStr">
        <is>
          <t>aggregate_flakiness_index</t>
        </is>
      </c>
      <c r="C8" s="38" t="inlineStr">
        <is>
          <t>Aggregate Flakiness Index</t>
        </is>
      </c>
      <c r="D8" s="38" t="inlineStr">
        <is>
          <t>Percentage (by mass) of aggregate particles whose least dimension is less than 0.6 times their mean size, to the total sample mass.</t>
        </is>
      </c>
      <c r="E8" s="38" t="inlineStr">
        <is>
          <t>double</t>
        </is>
      </c>
      <c r="F8" s="28" t="inlineStr">
        <is>
          <t>mass per mass</t>
        </is>
      </c>
      <c r="J8" s="38" t="inlineStr">
        <is>
          <t>x</t>
        </is>
      </c>
    </row>
    <row r="9" ht="60.75" customHeight="1">
      <c r="A9" s="38">
        <f>IF(ISNA(VLOOKUP(B9,AssociatedElements!B$2:B630,1,FALSE)),"Not used","")</f>
        <v/>
      </c>
      <c r="B9" s="11" t="inlineStr">
        <is>
          <t>aggregate_impact_value</t>
        </is>
      </c>
      <c r="C9" s="11" t="inlineStr">
        <is>
          <t>Aggregate Impact Value</t>
        </is>
      </c>
      <c r="D9" s="12" t="inlineStr">
        <is>
          <t xml:space="preserve"> The resistance to impact of aggregates and is measured as the fraction  of aggregates passing to the total mass of the sample.</t>
        </is>
      </c>
      <c r="E9" s="11" t="inlineStr">
        <is>
          <t>double</t>
        </is>
      </c>
      <c r="F9" s="28" t="inlineStr">
        <is>
          <t>mass per mass</t>
        </is>
      </c>
      <c r="J9" s="38" t="inlineStr">
        <is>
          <t>x</t>
        </is>
      </c>
    </row>
    <row r="10" ht="51" customHeight="1">
      <c r="A10" s="38">
        <f>IF(ISNA(VLOOKUP(B10,AssociatedElements!B$2:B631,1,FALSE)),"Not used","")</f>
        <v/>
      </c>
      <c r="B10" s="11" t="inlineStr">
        <is>
          <t>aggregate_LA_abrasion_loss</t>
        </is>
      </c>
      <c r="C10" s="11" t="inlineStr">
        <is>
          <t>Aggregate Los Angeles Abrasion Loss</t>
        </is>
      </c>
      <c r="D10" s="12" t="inlineStr">
        <is>
          <t xml:space="preserve"> The actual measured loss (difference between the original mass and the final mass of the test sample), expressed as a percentage of the original mass of the test sample.</t>
        </is>
      </c>
      <c r="E10" s="11" t="inlineStr">
        <is>
          <t>double</t>
        </is>
      </c>
      <c r="F10" s="28" t="inlineStr">
        <is>
          <t>mass per mass</t>
        </is>
      </c>
      <c r="J10" s="38" t="inlineStr">
        <is>
          <t>x</t>
        </is>
      </c>
    </row>
    <row r="11" ht="34" customHeight="1">
      <c r="A11" s="38">
        <f>IF(ISNA(VLOOKUP(B11,AssociatedElements!B$2:B632,1,FALSE)),"Not used","")</f>
        <v/>
      </c>
      <c r="B11" s="11" t="inlineStr">
        <is>
          <t>aggregate_la_coefficient</t>
        </is>
      </c>
      <c r="C11" s="11" t="inlineStr">
        <is>
          <t>Aggregate Los Angeles Coefficient</t>
        </is>
      </c>
      <c r="D11" s="12" t="inlineStr">
        <is>
          <t xml:space="preserve"> The loss (difference between the original weight and the final weight of the test sample), expressed as an integer.</t>
        </is>
      </c>
      <c r="E11" s="11" t="inlineStr">
        <is>
          <t>integer</t>
        </is>
      </c>
      <c r="F11" s="11" t="n"/>
    </row>
    <row r="12" ht="51" customHeight="1">
      <c r="A12" s="38">
        <f>IF(ISNA(VLOOKUP(B12,AssociatedElements!B$2:B633,1,FALSE)),"Not used","")</f>
        <v/>
      </c>
      <c r="B12" s="11" t="inlineStr">
        <is>
          <t>aggregate_la_wear_ratio</t>
        </is>
      </c>
      <c r="C12" s="11" t="inlineStr">
        <is>
          <t>Aggregate Los Angeles Wear Ratio</t>
        </is>
      </c>
      <c r="D12" s="12" t="inlineStr">
        <is>
          <t xml:space="preserve"> The actual measured loss (difference between the original mass and the final mass of the test sample), expressed as an integer ratio of the original mass of the test sample. </t>
        </is>
      </c>
      <c r="E12" s="11" t="inlineStr">
        <is>
          <t>integer</t>
        </is>
      </c>
      <c r="F12" s="11" t="n"/>
      <c r="G12" s="11" t="n"/>
      <c r="H12" s="11" t="n"/>
    </row>
    <row r="13" ht="34" customHeight="1">
      <c r="A13" s="38">
        <f>IF(ISNA(VLOOKUP(B13,AssociatedElements!B$2:B634,1,FALSE)),"Not used","")</f>
        <v/>
      </c>
      <c r="B13" s="11" t="inlineStr">
        <is>
          <t>aggregate_polished_stone_value</t>
        </is>
      </c>
      <c r="C13" s="11" t="inlineStr">
        <is>
          <t>Aggregate Polished Stone Value</t>
        </is>
      </c>
      <c r="D13" s="12" t="inlineStr">
        <is>
          <t xml:space="preserve"> A measure of the resistance of an aggregate to polishing.</t>
        </is>
      </c>
      <c r="E13" s="11" t="inlineStr">
        <is>
          <t>integer</t>
        </is>
      </c>
      <c r="F13" s="11" t="n"/>
      <c r="G13" s="11" t="n"/>
      <c r="H13" s="11" t="n"/>
    </row>
    <row r="14" ht="34" customHeight="1">
      <c r="A14" s="38">
        <f>IF(ISNA(VLOOKUP(B14,AssociatedElements!B$2:B635,1,FALSE)),"Not used","")</f>
        <v/>
      </c>
      <c r="B14" s="38" t="inlineStr">
        <is>
          <t>aggregate_soundness_value</t>
        </is>
      </c>
      <c r="C14" s="38" t="inlineStr">
        <is>
          <t>Aggregate Soundness Value</t>
        </is>
      </c>
      <c r="D14" s="38" t="inlineStr">
        <is>
          <t xml:space="preserve">The amount of mass  ost by degradation as determined by sieving and weighing the samples after the test cycles. </t>
        </is>
      </c>
      <c r="E14" s="38" t="inlineStr">
        <is>
          <t>double</t>
        </is>
      </c>
      <c r="F14" s="28" t="inlineStr">
        <is>
          <t>mass per mass</t>
        </is>
      </c>
      <c r="J14" s="38" t="inlineStr">
        <is>
          <t>x</t>
        </is>
      </c>
    </row>
    <row r="15" ht="85" customHeight="1">
      <c r="A15" s="38">
        <f>IF(ISNA(VLOOKUP(B15,AssociatedElements!B$2:B636,1,FALSE)),"Not used","")</f>
        <v/>
      </c>
      <c r="B15" s="11" t="inlineStr">
        <is>
          <t>aggregate_water_absorption</t>
        </is>
      </c>
      <c r="C15" s="11" t="inlineStr">
        <is>
          <t>Aggregate Water Absorption</t>
        </is>
      </c>
      <c r="D15" s="12" t="inlineStr">
        <is>
          <t xml:space="preserve"> A water content value that gives an idea of strength of aggregate. Aggregates having more water absorption are more porous in nature and are generally considered unsuitable unless they are found to be acceptable based on strength, impact, and hardness tests.</t>
        </is>
      </c>
      <c r="E15" s="11" t="inlineStr">
        <is>
          <t>double</t>
        </is>
      </c>
      <c r="F15" s="28" t="inlineStr">
        <is>
          <t>mass per mass</t>
        </is>
      </c>
      <c r="G15" s="11" t="n"/>
      <c r="H15" s="11" t="n"/>
      <c r="J15" s="38" t="inlineStr">
        <is>
          <t>x</t>
        </is>
      </c>
    </row>
    <row r="16" ht="68" customHeight="1">
      <c r="A16" s="38">
        <f>IF(ISNA(VLOOKUP(B16,AssociatedElements!B$2:B637,1,FALSE)),"Not used","")</f>
        <v/>
      </c>
      <c r="B16" s="11" t="inlineStr">
        <is>
          <t>b_pressure</t>
        </is>
      </c>
      <c r="C16" s="11" t="inlineStr">
        <is>
          <t>B-Pressure</t>
        </is>
      </c>
      <c r="D16" s="12" t="inlineStr">
        <is>
          <t xml:space="preserve"> The gauge gas pressure against the inside of the membrane when the center of the membrane has lifted above its support and moved laterally 1.10-mm (60.03 mm) into the soil surrounding the blade.</t>
        </is>
      </c>
      <c r="E16" s="11" t="inlineStr">
        <is>
          <t>double</t>
        </is>
      </c>
      <c r="F16" s="11" t="inlineStr">
        <is>
          <t>pressure</t>
        </is>
      </c>
      <c r="G16" s="11" t="n"/>
      <c r="H16" s="11" t="n"/>
    </row>
    <row r="17" ht="51" customHeight="1">
      <c r="A17" s="38">
        <f>IF(ISNA(VLOOKUP(B17,AssociatedElements!B$2:B638,1,FALSE)),"Not used","")</f>
        <v/>
      </c>
      <c r="B17" s="11" t="inlineStr">
        <is>
          <t>bleed</t>
        </is>
      </c>
      <c r="C17" s="11" t="inlineStr">
        <is>
          <t>Bleed</t>
        </is>
      </c>
      <c r="D17" s="12" t="inlineStr">
        <is>
          <t xml:space="preserve"> The volume of clear water in a grout cylinder resulting from grout sedimentation, reported as a percentage of initial total column height.</t>
        </is>
      </c>
      <c r="E17" s="11" t="inlineStr">
        <is>
          <t>double</t>
        </is>
      </c>
      <c r="F17" s="11" t="inlineStr">
        <is>
          <t>length per length</t>
        </is>
      </c>
      <c r="G17" s="11" t="n"/>
      <c r="H17" s="11" t="n"/>
    </row>
    <row r="18" ht="102" customHeight="1">
      <c r="A18" s="38">
        <f>IF(ISNA(VLOOKUP(B18,AssociatedElements!B$2:B639,1,FALSE)),"Not used","")</f>
        <v/>
      </c>
      <c r="B18" s="11" t="inlineStr">
        <is>
          <t>blow_count</t>
        </is>
      </c>
      <c r="C18" s="11" t="inlineStr">
        <is>
          <t>Blow Count</t>
        </is>
      </c>
      <c r="D18" s="12" t="inlineStr">
        <is>
          <t>The number of blows of a hammer that drives a tool into the earth for a particular distance. The distance should correspond to the difference between the associated top and bottom positions recorded in the location property of the test, or be specified in the pen_increment property associated with a point location.</t>
        </is>
      </c>
      <c r="E18" s="11" t="inlineStr">
        <is>
          <t>integer</t>
        </is>
      </c>
      <c r="F18" s="11" t="inlineStr">
        <is>
          <t>dimensionless</t>
        </is>
      </c>
      <c r="G18" s="11" t="n"/>
      <c r="H18" s="11" t="n"/>
    </row>
    <row r="19" ht="85" customHeight="1">
      <c r="A19" s="38">
        <f>IF(ISNA(VLOOKUP(B19,AssociatedElements!B$2:B640,1,FALSE)),"Not used","")</f>
        <v/>
      </c>
      <c r="B19" s="11" t="inlineStr">
        <is>
          <t>bulk_density</t>
        </is>
      </c>
      <c r="C19" s="11" t="inlineStr">
        <is>
          <t>Density, Bulk (Natural)</t>
        </is>
      </c>
      <c r="D19" s="12" t="inlineStr">
        <is>
          <t xml:space="preserve"> Total weight (of solids and water) divided by total volume of material, representing natural conditions. This is technically a unit weight not a density, but it is using the industry standard terminology assuming earth gravity. Value can also be reported in true density units (mass/volume)</t>
        </is>
      </c>
      <c r="E19" s="11" t="inlineStr">
        <is>
          <t>double</t>
        </is>
      </c>
      <c r="F19" s="11" t="inlineStr">
        <is>
          <t>force or mass per volume</t>
        </is>
      </c>
      <c r="G19" s="11" t="n"/>
      <c r="H19" s="11" t="n"/>
    </row>
    <row r="20" ht="68" customHeight="1">
      <c r="A20" s="38">
        <f>IF(ISNA(VLOOKUP(B20,AssociatedElements!B$2:B641,1,FALSE)),"Not used","")</f>
        <v/>
      </c>
      <c r="B20" s="11" t="inlineStr">
        <is>
          <t>c_pressure</t>
        </is>
      </c>
      <c r="C20" s="11" t="inlineStr">
        <is>
          <t>C-Pressure</t>
        </is>
      </c>
      <c r="D20" s="12" t="inlineStr">
        <is>
          <t xml:space="preserve"> The gauge gas pressure against the inside of the membrane when the center of the membrane returns to the A-pressure position during a controlled, gradual deflation following the B-pressure.</t>
        </is>
      </c>
      <c r="E20" s="11" t="inlineStr">
        <is>
          <t>double</t>
        </is>
      </c>
      <c r="F20" s="11" t="inlineStr">
        <is>
          <t>pressure</t>
        </is>
      </c>
      <c r="G20" s="11" t="n"/>
      <c r="H20" s="11" t="n"/>
    </row>
    <row r="21" ht="68" customHeight="1">
      <c r="A21" s="38">
        <f>IF(ISNA(VLOOKUP(B21,AssociatedElements!B$2:B642,1,FALSE)),"Not used","")</f>
        <v/>
      </c>
      <c r="B21" s="11" t="inlineStr">
        <is>
          <t>cbr_0.1</t>
        </is>
      </c>
      <c r="C21" s="11" t="inlineStr">
        <is>
          <t>Corrected Cbr At 0.100 in Penetration</t>
        </is>
      </c>
      <c r="D21" s="12" t="inlineStr">
        <is>
          <t xml:space="preserve"> California Bearing Ratio is the ratio, expressed as a percentage, of the measured pressure for site soils at a penetration of 0.100 in divided by pressure to achieve equal penetration on a standard soil.</t>
        </is>
      </c>
      <c r="E21" s="11" t="inlineStr">
        <is>
          <t>double</t>
        </is>
      </c>
      <c r="F21" s="11" t="inlineStr">
        <is>
          <t>pressure per pressure</t>
        </is>
      </c>
      <c r="G21" s="11" t="n"/>
      <c r="H21" s="11" t="n"/>
    </row>
    <row r="22" ht="68" customHeight="1">
      <c r="A22" s="38">
        <f>IF(ISNA(VLOOKUP(B22,AssociatedElements!B$2:B643,1,FALSE)),"Not used","")</f>
        <v/>
      </c>
      <c r="B22" s="11" t="inlineStr">
        <is>
          <t>cbr_0.2</t>
        </is>
      </c>
      <c r="C22" s="11" t="inlineStr">
        <is>
          <t>Corrected Cbr At 0.200 In Penetration</t>
        </is>
      </c>
      <c r="D22" s="12" t="inlineStr">
        <is>
          <t xml:space="preserve"> California Bearing Ratio is the ratio, expressed as a percentage, of the measured pressure for site soils at a penetration of 0.200 in divided by pressure to achieve equal penetration on a standard soil.</t>
        </is>
      </c>
      <c r="E22" s="11" t="inlineStr">
        <is>
          <t>double</t>
        </is>
      </c>
      <c r="F22" s="11" t="inlineStr">
        <is>
          <t>pressure per pressure</t>
        </is>
      </c>
      <c r="G22" s="11" t="n"/>
      <c r="H22" s="11" t="n"/>
    </row>
    <row r="23" ht="170" customHeight="1">
      <c r="A23" s="38">
        <f>IF(ISNA(VLOOKUP(B23,AssociatedElements!B$2:B644,1,FALSE)),"Not used","")</f>
        <v/>
      </c>
      <c r="B23" s="11" t="inlineStr">
        <is>
          <t>chalk_crushing_value</t>
        </is>
      </c>
      <c r="C23" s="11" t="inlineStr">
        <is>
          <t>Chalk Crushing Value</t>
        </is>
      </c>
      <c r="D23" s="12" t="inlineStr">
        <is>
          <t xml:space="preserve"> The Chalk Crushing Value is determined by using the chalk impact crushing test, which measures the rate at which a sample of chalk lumps crushes under impacts from a freefalling rammer. The chalk crushing value can be used, together with the saturation moisture content of the intact chalk lumps, to classify chalk in relation to its behavior as a freshly placed fill material. The test procedure is described for a single sample of chalk lumps, but normal procedure should be to calculate the mean value derived from six such tests on representative samples.</t>
        </is>
      </c>
      <c r="E23" s="11" t="inlineStr">
        <is>
          <t>double</t>
        </is>
      </c>
      <c r="F23" s="11" t="n"/>
      <c r="G23" s="11" t="n"/>
      <c r="H23" s="11" t="n"/>
    </row>
    <row r="24" ht="34" customHeight="1">
      <c r="A24" s="38">
        <f>IF(ISNA(VLOOKUP(B24,AssociatedElements!B$2:B645,1,FALSE)),"Not used","")</f>
        <v/>
      </c>
      <c r="B24" s="11" t="inlineStr">
        <is>
          <t>chloride_content</t>
        </is>
      </c>
      <c r="C24" s="11" t="inlineStr">
        <is>
          <t>Chloride Content</t>
        </is>
      </c>
      <c r="D24" s="12" t="inlineStr">
        <is>
          <t>Chloride content of soil or groundwater by laboratory testing (corrosivity series). USE THIS ENTRY WHEN THE SOURCE DOES NOT STATE THE EXTRACTION BASIS - the case for the Jazera project record (GBL-24136), which reports a chloride content as a percentage without saying whether it is water- or acid-soluble. Where the basis IS known, prefer chloride_water_soluble or chloride_acid_soluble instead.</t>
        </is>
      </c>
      <c r="E24" s="11" t="inlineStr">
        <is>
          <t>double</t>
        </is>
      </c>
      <c r="F24" s="11" t="inlineStr">
        <is>
          <t>mass per mass</t>
        </is>
      </c>
      <c r="G24" s="11" t="n"/>
      <c r="H24" s="11" t="n"/>
    </row>
    <row r="25" ht="51" customHeight="1">
      <c r="A25" s="38">
        <f>IF(ISNA(VLOOKUP(B25,AssociatedElements!B$2:B646,1,FALSE)),"Not used","")</f>
        <v/>
      </c>
      <c r="B25" s="11" t="inlineStr">
        <is>
          <t>clay_percent_2_micron</t>
        </is>
      </c>
      <c r="C25" s="11" t="inlineStr">
        <is>
          <t>Clay Fraction &lt; 2 Micron</t>
        </is>
      </c>
      <c r="D25" s="28" t="inlineStr">
        <is>
          <t>Represents the total amount of clay sized particles (&lt;2 microns) in a test samples, expressed as a percentage by mass, to the total sample</t>
        </is>
      </c>
      <c r="E25" s="33" t="inlineStr">
        <is>
          <t>double</t>
        </is>
      </c>
      <c r="F25" s="28" t="inlineStr">
        <is>
          <t>mass per mass</t>
        </is>
      </c>
      <c r="G25" s="11" t="n"/>
      <c r="H25" s="11" t="n"/>
      <c r="J25" s="38" t="inlineStr">
        <is>
          <t>x</t>
        </is>
      </c>
    </row>
    <row r="26" ht="51" customHeight="1">
      <c r="A26" s="38">
        <f>IF(ISNA(VLOOKUP(B26,AssociatedElements!B$2:B647,1,FALSE)),"Not used","")</f>
        <v/>
      </c>
      <c r="B26" s="11" t="inlineStr">
        <is>
          <t>clay_percent_5_micron</t>
        </is>
      </c>
      <c r="C26" s="11" t="inlineStr">
        <is>
          <t>Clay Fraction &lt; 5 Micron</t>
        </is>
      </c>
      <c r="D26" s="28" t="inlineStr">
        <is>
          <t>Represents the total amount of clay sized particles (&lt;5 microns) in a test samples, expressed as a percentage by mass, to the total sample</t>
        </is>
      </c>
      <c r="E26" s="33" t="inlineStr">
        <is>
          <t>double</t>
        </is>
      </c>
      <c r="F26" s="28" t="inlineStr">
        <is>
          <t>mass per mass</t>
        </is>
      </c>
      <c r="G26" s="11" t="n"/>
      <c r="H26" s="11" t="n"/>
      <c r="J26" s="38" t="inlineStr">
        <is>
          <t>x</t>
        </is>
      </c>
    </row>
    <row r="27" ht="51" customHeight="1">
      <c r="A27" s="38">
        <f>IF(ISNA(VLOOKUP(B27,AssociatedElements!B$2:B648,1,FALSE)),"Not used","")</f>
        <v/>
      </c>
      <c r="B27" s="11" t="inlineStr">
        <is>
          <t>coef_consolidation_horiz</t>
        </is>
      </c>
      <c r="C27" s="11" t="inlineStr">
        <is>
          <t>Coefficient of Horizontal Consolidation (Ch)</t>
        </is>
      </c>
      <c r="D27" s="12" t="inlineStr">
        <is>
          <t xml:space="preserve"> The horizontal coefficient of consolidation as derived from the dissipation test data from a cone penetration or dilatometer test. </t>
        </is>
      </c>
      <c r="E27" s="11" t="inlineStr">
        <is>
          <t>double</t>
        </is>
      </c>
      <c r="F27" s="11" t="inlineStr">
        <is>
          <t>area per time</t>
        </is>
      </c>
      <c r="G27" s="11" t="n"/>
      <c r="H27" s="11" t="n"/>
    </row>
    <row r="28" ht="34" customHeight="1">
      <c r="A28" s="38">
        <f>IF(ISNA(VLOOKUP(B28,AssociatedElements!B$2:B649,1,FALSE)),"Not used","")</f>
        <v/>
      </c>
      <c r="B28" s="11" t="inlineStr">
        <is>
          <t>coef_consolidation_vertical</t>
        </is>
      </c>
      <c r="C28" s="11" t="inlineStr">
        <is>
          <t>Coefficient of Vertical Consolidation(Cv)</t>
        </is>
      </c>
      <c r="D28" s="12" t="inlineStr">
        <is>
          <t xml:space="preserve"> The vertical coefficient of consolidation as derived from a one-dimensional consolidation test in the lab.</t>
        </is>
      </c>
      <c r="E28" s="11" t="inlineStr">
        <is>
          <t>double</t>
        </is>
      </c>
      <c r="F28" s="11" t="inlineStr">
        <is>
          <t>area per time</t>
        </is>
      </c>
      <c r="G28" s="11" t="n"/>
      <c r="H28" s="11" t="n"/>
    </row>
    <row r="29" ht="34" customHeight="1">
      <c r="A29" s="38">
        <f>IF(ISNA(VLOOKUP(B29,AssociatedElements!B$2:B650,1,FALSE)),"Not used","")</f>
        <v/>
      </c>
      <c r="B29" s="11" t="inlineStr">
        <is>
          <t>coef_curvature</t>
        </is>
      </c>
      <c r="C29" s="11" t="inlineStr">
        <is>
          <t>Coefficient of Curvature</t>
        </is>
      </c>
      <c r="D29" s="28" t="inlineStr">
        <is>
          <t xml:space="preserve"> A coefficient describing the degree of curvature of the grain size distribution. Defined as (d30)^2/((d60)*(d10))</t>
        </is>
      </c>
      <c r="E29" s="11" t="inlineStr">
        <is>
          <t>double</t>
        </is>
      </c>
      <c r="F29" s="11" t="n"/>
      <c r="G29" s="11" t="n"/>
      <c r="H29" s="11" t="n"/>
    </row>
    <row r="30" ht="34" customHeight="1">
      <c r="A30" s="38">
        <f>IF(ISNA(VLOOKUP(B30,AssociatedElements!B$2:B651,1,FALSE)),"Not used","")</f>
        <v/>
      </c>
      <c r="B30" s="11" t="inlineStr">
        <is>
          <t>coef_earth_pressure</t>
        </is>
      </c>
      <c r="C30" s="11" t="inlineStr">
        <is>
          <t>Coefficient of Earth Pressure, In Situ</t>
        </is>
      </c>
      <c r="D30" s="28" t="inlineStr">
        <is>
          <t xml:space="preserve"> The ratio of horizontal earth pressure to vertical pressure for a sample in the field. </t>
        </is>
      </c>
      <c r="E30" s="11" t="inlineStr">
        <is>
          <t>double</t>
        </is>
      </c>
      <c r="F30" s="11" t="n"/>
      <c r="G30" s="11" t="n"/>
      <c r="H30" s="11" t="n"/>
    </row>
    <row r="31" ht="68" customHeight="1">
      <c r="A31" s="38">
        <f>IF(ISNA(VLOOKUP(B31,AssociatedElements!B$2:B652,1,FALSE)),"Not used","")</f>
        <v/>
      </c>
      <c r="B31" s="11" t="inlineStr">
        <is>
          <t>coef_permeability</t>
        </is>
      </c>
      <c r="C31" s="11" t="inlineStr">
        <is>
          <t>Coefficient of Permeability</t>
        </is>
      </c>
      <c r="D31" s="12" t="inlineStr">
        <is>
          <t xml:space="preserve"> The rate at which water flows through a soil is proportional to the hydraulic gradient and is expressed by Darcy's Law. Also known as the hydraulic conductivity. For lab tests, an average of measured values over several permeation trials.</t>
        </is>
      </c>
      <c r="E31" s="11" t="inlineStr">
        <is>
          <t>double</t>
        </is>
      </c>
      <c r="F31" s="11" t="inlineStr">
        <is>
          <t>length per time</t>
        </is>
      </c>
      <c r="G31" s="11" t="n"/>
      <c r="H31" s="11" t="n"/>
    </row>
    <row r="32" ht="34" customHeight="1">
      <c r="A32" s="38">
        <f>IF(ISNA(VLOOKUP(B32,AssociatedElements!B$2:B653,1,FALSE)),"Not used","")</f>
        <v/>
      </c>
      <c r="B32" s="11" t="inlineStr">
        <is>
          <t>coef_permeability_corrected</t>
        </is>
      </c>
      <c r="C32" s="11" t="inlineStr">
        <is>
          <t>Coefficient of Permeability, Corrected</t>
        </is>
      </c>
      <c r="D32" s="12" t="inlineStr">
        <is>
          <t xml:space="preserve"> Coefficient of permeability, corrected to 20 degrees C.</t>
        </is>
      </c>
      <c r="E32" s="11" t="inlineStr">
        <is>
          <t>double</t>
        </is>
      </c>
      <c r="F32" s="11" t="inlineStr">
        <is>
          <t>length per time</t>
        </is>
      </c>
      <c r="G32" s="11" t="n"/>
      <c r="H32" s="11" t="n"/>
    </row>
    <row r="33" ht="34" customHeight="1">
      <c r="A33" s="38">
        <f>IF(ISNA(VLOOKUP(B33,AssociatedElements!B$2:B654,1,FALSE)),"Not used","")</f>
        <v/>
      </c>
      <c r="B33" s="11" t="inlineStr">
        <is>
          <t>coef_permeability_horiz</t>
        </is>
      </c>
      <c r="C33" s="11" t="inlineStr">
        <is>
          <t>Horizontal Coefficient of Permeability</t>
        </is>
      </c>
      <c r="D33" s="12" t="inlineStr">
        <is>
          <t xml:space="preserve"> Coefficient of permeability, measuring rate of horizontal flow</t>
        </is>
      </c>
      <c r="E33" s="11" t="inlineStr">
        <is>
          <t>double</t>
        </is>
      </c>
      <c r="F33" s="11" t="inlineStr">
        <is>
          <t>length per time</t>
        </is>
      </c>
      <c r="G33" s="11" t="n"/>
      <c r="H33" s="11" t="n"/>
    </row>
    <row r="34" ht="17" customHeight="1">
      <c r="A34" s="38">
        <f>IF(ISNA(VLOOKUP(B34,AssociatedElements!B$2:B655,1,FALSE)),"Not used","")</f>
        <v/>
      </c>
      <c r="B34" s="11" t="inlineStr">
        <is>
          <t>coef_permeability_vert</t>
        </is>
      </c>
      <c r="C34" s="11" t="inlineStr">
        <is>
          <t>Vertical Coefficient of Permeability</t>
        </is>
      </c>
      <c r="D34" s="12" t="inlineStr">
        <is>
          <t xml:space="preserve"> Coefficient of permeability, measuring rate of vertical flow</t>
        </is>
      </c>
      <c r="E34" s="11" t="inlineStr">
        <is>
          <t>double</t>
        </is>
      </c>
      <c r="F34" s="11" t="inlineStr">
        <is>
          <t>length per time</t>
        </is>
      </c>
      <c r="G34" s="11" t="n"/>
      <c r="H34" s="11" t="n"/>
    </row>
    <row r="35" ht="17" customHeight="1">
      <c r="A35" s="38">
        <f>IF(ISNA(VLOOKUP(B35,AssociatedElements!B$2:B656,1,FALSE)),"Not used","")</f>
        <v/>
      </c>
      <c r="B35" s="11" t="inlineStr">
        <is>
          <t>coef_uniformity</t>
        </is>
      </c>
      <c r="C35" s="11" t="inlineStr">
        <is>
          <t>Coefficient of Uniformity</t>
        </is>
      </c>
      <c r="D35" s="28" t="inlineStr">
        <is>
          <t xml:space="preserve"> The ratio of D60/D10</t>
        </is>
      </c>
      <c r="E35" s="11" t="inlineStr">
        <is>
          <t>double</t>
        </is>
      </c>
      <c r="F35" s="11" t="n"/>
    </row>
    <row r="36" ht="51" customHeight="1">
      <c r="A36" s="38">
        <f>IF(ISNA(VLOOKUP(B36,AssociatedElements!B$2:B657,1,FALSE)),"Not used","")</f>
        <v/>
      </c>
      <c r="B36" s="11" t="inlineStr">
        <is>
          <t>cohesion_peak</t>
        </is>
      </c>
      <c r="C36" s="11" t="inlineStr">
        <is>
          <t>Peak Cohesion</t>
        </is>
      </c>
      <c r="D36" s="12" t="inlineStr">
        <is>
          <t xml:space="preserve"> Shear resistance at zero normal stress ?the portion of the shear strength of a soil indicated by the term c, in Coulomb's equation</t>
        </is>
      </c>
      <c r="E36" s="11" t="inlineStr">
        <is>
          <t>double</t>
        </is>
      </c>
      <c r="F36" s="11" t="inlineStr">
        <is>
          <t>pressure</t>
        </is>
      </c>
    </row>
    <row r="37" ht="34" customHeight="1">
      <c r="A37" s="38">
        <f>IF(ISNA(VLOOKUP(B37,AssociatedElements!B$2:B658,1,FALSE)),"Not used","")</f>
        <v/>
      </c>
      <c r="B37" s="11" t="inlineStr">
        <is>
          <t>cohesion_residual</t>
        </is>
      </c>
      <c r="C37" s="11" t="inlineStr">
        <is>
          <t>Residual Cohesion</t>
        </is>
      </c>
      <c r="D37" s="12" t="inlineStr">
        <is>
          <t xml:space="preserve"> Shear resistance at zero normal stress at the residual (or large deformation) strength.</t>
        </is>
      </c>
      <c r="E37" s="11" t="inlineStr">
        <is>
          <t>double</t>
        </is>
      </c>
      <c r="F37" s="11" t="inlineStr">
        <is>
          <t>pressure</t>
        </is>
      </c>
    </row>
    <row r="38" ht="34" customHeight="1">
      <c r="A38" s="38">
        <f>IF(ISNA(VLOOKUP(B38,AssociatedElements!B$2:B659,1,FALSE)),"Not used","")</f>
        <v/>
      </c>
      <c r="B38" s="11" t="inlineStr">
        <is>
          <t>colloid_percent</t>
        </is>
      </c>
      <c r="C38" s="11" t="inlineStr">
        <is>
          <t>Colloid Fraction</t>
        </is>
      </c>
      <c r="D38" s="12" t="inlineStr">
        <is>
          <t xml:space="preserve"> represents the total amount of &lt;1 micron size particles in a test sample, as a percentage of the total sample mass</t>
        </is>
      </c>
      <c r="E38" s="11" t="inlineStr">
        <is>
          <t>double</t>
        </is>
      </c>
      <c r="F38" s="28" t="inlineStr">
        <is>
          <t>mass per mass</t>
        </is>
      </c>
      <c r="J38" s="38" t="inlineStr">
        <is>
          <t>x</t>
        </is>
      </c>
    </row>
    <row r="39" ht="187" customHeight="1">
      <c r="A39" s="38">
        <f>IF(ISNA(VLOOKUP(B39,AssociatedElements!B$2:B660,1,FALSE)),"Not used","")</f>
        <v/>
      </c>
      <c r="B39" s="11" t="inlineStr">
        <is>
          <t>compression_index</t>
        </is>
      </c>
      <c r="C39" s="11" t="inlineStr">
        <is>
          <t>Compression Index</t>
        </is>
      </c>
      <c r="D39" s="12" t="inlineStr">
        <is>
          <t xml:space="preserve"> 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virgin compression. The one-dimension consolidation curve can be used to determine other values (e.g., the recompression index (slope of recompression curve) and the preconsolidation pressure (or maximum past pressure) of the soil).</t>
        </is>
      </c>
      <c r="E39" s="11" t="inlineStr">
        <is>
          <t>double</t>
        </is>
      </c>
      <c r="F39" s="32" t="n"/>
    </row>
    <row r="40" ht="34" customHeight="1">
      <c r="A40" s="38">
        <f>IF(ISNA(VLOOKUP(B40,AssociatedElements!B$2:B661,1,FALSE)),"Not used","")</f>
        <v/>
      </c>
      <c r="B40" s="11" t="inlineStr">
        <is>
          <t>compressive_strength_unconfined</t>
        </is>
      </c>
      <c r="C40" s="11" t="inlineStr">
        <is>
          <t>Unconfined Compressive Strength</t>
        </is>
      </c>
      <c r="D40" s="12" t="inlineStr">
        <is>
          <t xml:space="preserve"> Result of axial compression test using unconfined compression</t>
        </is>
      </c>
      <c r="E40" s="11" t="inlineStr">
        <is>
          <t>double</t>
        </is>
      </c>
      <c r="F40" s="11" t="inlineStr">
        <is>
          <t>pressure</t>
        </is>
      </c>
    </row>
    <row r="41" ht="34" customHeight="1">
      <c r="A41" s="38">
        <f>IF(ISNA(VLOOKUP(B41,AssociatedElements!B$2:B662,1,FALSE)),"Not used","")</f>
        <v/>
      </c>
      <c r="B41" s="11" t="inlineStr">
        <is>
          <t>conductivity</t>
        </is>
      </c>
      <c r="C41" s="11" t="inlineStr">
        <is>
          <t>Conductivity</t>
        </is>
      </c>
      <c r="D41" s="12" t="inlineStr">
        <is>
          <t xml:space="preserve"> A measure of the conductive power of a specified material to the flow of an electric current.</t>
        </is>
      </c>
      <c r="E41" s="11" t="inlineStr">
        <is>
          <t>double</t>
        </is>
      </c>
      <c r="F41" s="11" t="inlineStr">
        <is>
          <t>electric conductivity</t>
        </is>
      </c>
    </row>
    <row r="42" ht="85" customHeight="1">
      <c r="A42" s="38">
        <f>IF(ISNA(VLOOKUP(B42,AssociatedElements!B$2:B663,1,FALSE)),"Not used","")</f>
        <v/>
      </c>
      <c r="B42" s="11" t="inlineStr">
        <is>
          <t>consistency_index</t>
        </is>
      </c>
      <c r="C42" s="11" t="inlineStr">
        <is>
          <t>Consistency Index</t>
        </is>
      </c>
      <c r="D42" s="12" t="inlineStr">
        <is>
          <t xml:space="preserve"> The consistency index (CI) indicates the consistency (firmness) of a soil. It is calculated as CI = (LL-W)/(LL-PL), where W is the natural water content. Soil at the liquid limit will have a consistency index of 0, while soil at the plastic limit will have a consistency index of 1.</t>
        </is>
      </c>
      <c r="E42" s="11" t="inlineStr">
        <is>
          <t>integer</t>
        </is>
      </c>
      <c r="F42" s="11" t="n"/>
    </row>
    <row r="43" ht="34" customHeight="1">
      <c r="A43" s="38">
        <f>IF(ISNA(VLOOKUP(B43,AssociatedElements!B$2:B664,1,FALSE)),"Not used","")</f>
        <v/>
      </c>
      <c r="B43" s="11" t="inlineStr">
        <is>
          <t>constrained_vert_modulus</t>
        </is>
      </c>
      <c r="C43" s="11" t="inlineStr">
        <is>
          <t>Constrained Modulus, Vertical, Drained</t>
        </is>
      </c>
      <c r="D43" s="23" t="inlineStr">
        <is>
          <t>Measure of slope of stress-strain curve when specimen is confined. Usually the result from a 1-D consolidation test.</t>
        </is>
      </c>
      <c r="E43" s="11" t="inlineStr">
        <is>
          <t>double</t>
        </is>
      </c>
      <c r="F43" s="11" t="inlineStr">
        <is>
          <t>pressure</t>
        </is>
      </c>
    </row>
    <row r="44" ht="34" customHeight="1">
      <c r="A44" s="38">
        <f>IF(ISNA(VLOOKUP(B44,AssociatedElements!B$2:B665,1,FALSE)),"Not used","")</f>
        <v/>
      </c>
      <c r="B44" s="11" t="inlineStr">
        <is>
          <t>d10</t>
        </is>
      </c>
      <c r="C44" s="11" t="inlineStr">
        <is>
          <t>d10</t>
        </is>
      </c>
      <c r="D44" s="23" t="inlineStr">
        <is>
          <t xml:space="preserve">The particle diameter at which 10% of the particles in a soil or granular material sample are finer by weight. </t>
        </is>
      </c>
      <c r="E44" s="11" t="inlineStr">
        <is>
          <t>double</t>
        </is>
      </c>
      <c r="F44" s="11" t="inlineStr">
        <is>
          <t>length</t>
        </is>
      </c>
    </row>
    <row r="45" ht="34" customHeight="1">
      <c r="A45" s="38">
        <f>IF(ISNA(VLOOKUP(B45,AssociatedElements!B$2:B666,1,FALSE)),"Not used","")</f>
        <v/>
      </c>
      <c r="B45" s="11" t="inlineStr">
        <is>
          <t>d15</t>
        </is>
      </c>
      <c r="C45" s="11" t="inlineStr">
        <is>
          <t>d15</t>
        </is>
      </c>
      <c r="D45" s="23" t="inlineStr">
        <is>
          <t xml:space="preserve">The particle diameter at which 15% of the particles in a soil or granular material sample are finer by weight. </t>
        </is>
      </c>
      <c r="E45" s="11" t="inlineStr">
        <is>
          <t>double</t>
        </is>
      </c>
      <c r="F45" s="11" t="inlineStr">
        <is>
          <t>length</t>
        </is>
      </c>
    </row>
    <row r="46" ht="34" customHeight="1">
      <c r="A46" s="38">
        <f>IF(ISNA(VLOOKUP(B46,AssociatedElements!B$2:B667,1,FALSE)),"Not used","")</f>
        <v/>
      </c>
      <c r="B46" s="11" t="inlineStr">
        <is>
          <t>d30</t>
        </is>
      </c>
      <c r="C46" s="11" t="inlineStr">
        <is>
          <t>d30</t>
        </is>
      </c>
      <c r="D46" s="25" t="inlineStr">
        <is>
          <t xml:space="preserve">The particle diameter at which 30% of the particles in a soil or granular material sample are finer by weight. </t>
        </is>
      </c>
      <c r="E46" s="11" t="inlineStr">
        <is>
          <t>double</t>
        </is>
      </c>
      <c r="F46" s="11" t="inlineStr">
        <is>
          <t>length</t>
        </is>
      </c>
    </row>
    <row r="47" ht="34" customHeight="1">
      <c r="A47" s="38">
        <f>IF(ISNA(VLOOKUP(B47,AssociatedElements!B$2:B668,1,FALSE)),"Not used","")</f>
        <v/>
      </c>
      <c r="B47" s="11" t="inlineStr">
        <is>
          <t>d50</t>
        </is>
      </c>
      <c r="C47" s="11" t="inlineStr">
        <is>
          <t>d50</t>
        </is>
      </c>
      <c r="D47" s="25" t="inlineStr">
        <is>
          <t xml:space="preserve">The particle diameter at which 50% of the particles in a soil or granular material sample are finer by weight. </t>
        </is>
      </c>
      <c r="E47" s="11" t="inlineStr">
        <is>
          <t>double</t>
        </is>
      </c>
      <c r="F47" s="11" t="inlineStr">
        <is>
          <t>length</t>
        </is>
      </c>
    </row>
    <row r="48" ht="34" customHeight="1">
      <c r="A48" s="38">
        <f>IF(ISNA(VLOOKUP(B48,AssociatedElements!B$2:B669,1,FALSE)),"Not used","")</f>
        <v/>
      </c>
      <c r="B48" s="11" t="inlineStr">
        <is>
          <t>d60</t>
        </is>
      </c>
      <c r="C48" s="11" t="inlineStr">
        <is>
          <t>d60</t>
        </is>
      </c>
      <c r="D48" s="25" t="inlineStr">
        <is>
          <t xml:space="preserve">The particle diameter at which 60% of the particles in a soil or granular material sample are finer by weight. </t>
        </is>
      </c>
      <c r="E48" s="11" t="inlineStr">
        <is>
          <t>double</t>
        </is>
      </c>
      <c r="F48" s="11" t="inlineStr">
        <is>
          <t>length</t>
        </is>
      </c>
    </row>
    <row r="49" ht="34" customHeight="1">
      <c r="A49" s="38">
        <f>IF(ISNA(VLOOKUP(B49,AssociatedElements!B$2:B670,1,FALSE)),"Not used","")</f>
        <v/>
      </c>
      <c r="B49" s="11" t="inlineStr">
        <is>
          <t>d85</t>
        </is>
      </c>
      <c r="C49" s="11" t="inlineStr">
        <is>
          <t>d85</t>
        </is>
      </c>
      <c r="D49" s="12" t="inlineStr">
        <is>
          <t xml:space="preserve">The particle diameter at which 85% of the particles in a soil or granular material sample are finer by weight. </t>
        </is>
      </c>
      <c r="E49" s="11" t="inlineStr">
        <is>
          <t>double</t>
        </is>
      </c>
      <c r="F49" s="11" t="inlineStr">
        <is>
          <t>length</t>
        </is>
      </c>
    </row>
    <row r="50" ht="34" customHeight="1">
      <c r="A50" s="38">
        <f>IF(ISNA(VLOOKUP(B50,AssociatedElements!B$2:B671,1,FALSE)),"Not used","")</f>
        <v/>
      </c>
      <c r="B50" s="11" t="inlineStr">
        <is>
          <t>degree_of_saturation</t>
        </is>
      </c>
      <c r="C50" s="11" t="inlineStr">
        <is>
          <t>Degree of Saturation</t>
        </is>
      </c>
      <c r="D50" s="28" t="inlineStr">
        <is>
          <t xml:space="preserve"> Volume of water divided by the volume of voids, expressed as a unitless ratio.</t>
        </is>
      </c>
      <c r="E50" s="11" t="inlineStr">
        <is>
          <t>double</t>
        </is>
      </c>
      <c r="J50" s="38" t="inlineStr">
        <is>
          <t>x</t>
        </is>
      </c>
    </row>
    <row r="51" ht="17" customHeight="1">
      <c r="A51" s="38">
        <f>IF(ISNA(VLOOKUP(B51,AssociatedElements!B$2:B672,1,FALSE)),"Not used","")</f>
        <v/>
      </c>
      <c r="B51" s="11" t="inlineStr">
        <is>
          <t>delay</t>
        </is>
      </c>
      <c r="C51" s="11" t="inlineStr">
        <is>
          <t>Delay Time</t>
        </is>
      </c>
      <c r="D51" s="12" t="inlineStr">
        <is>
          <t>Duration of delay before the start of a penetration increment</t>
        </is>
      </c>
      <c r="E51" s="11" t="inlineStr">
        <is>
          <t>double</t>
        </is>
      </c>
      <c r="F51" s="11" t="inlineStr">
        <is>
          <t>time</t>
        </is>
      </c>
    </row>
    <row r="52" ht="34" customHeight="1">
      <c r="A52" s="38">
        <f>IF(ISNA(VLOOKUP(B52,AssociatedElements!B$2:B673,1,FALSE)),"Not used","")</f>
        <v/>
      </c>
      <c r="B52" s="38" t="inlineStr">
        <is>
          <t>depth</t>
        </is>
      </c>
      <c r="C52" s="38" t="inlineStr">
        <is>
          <t>Depth</t>
        </is>
      </c>
      <c r="D52" s="38" t="inlineStr">
        <is>
          <t>Measured depth of the drill bit from the borehole centerline origin at time of measurement</t>
        </is>
      </c>
      <c r="E52" s="38" t="inlineStr">
        <is>
          <t>double</t>
        </is>
      </c>
      <c r="F52" s="38" t="inlineStr">
        <is>
          <t>length</t>
        </is>
      </c>
    </row>
    <row r="53" ht="34" customHeight="1">
      <c r="A53" s="38">
        <f>IF(ISNA(VLOOKUP(B53,AssociatedElements!B$2:B674,1,FALSE)),"Not used","")</f>
        <v/>
      </c>
      <c r="B53" s="11" t="inlineStr">
        <is>
          <t>dilation_angle</t>
        </is>
      </c>
      <c r="C53" s="11" t="inlineStr">
        <is>
          <t>Dilation Angle</t>
        </is>
      </c>
      <c r="D53" s="12" t="inlineStr">
        <is>
          <t xml:space="preserve"> The diffrence between the observed friction angle of a soil during dilation and the friction angle at zero dilation</t>
        </is>
      </c>
      <c r="E53" s="11" t="inlineStr">
        <is>
          <t>double</t>
        </is>
      </c>
      <c r="F53" s="11" t="inlineStr">
        <is>
          <t>plane angle</t>
        </is>
      </c>
    </row>
    <row r="54" ht="51" customHeight="1">
      <c r="A54" s="38">
        <f>IF(ISNA(VLOOKUP(B54,AssociatedElements!B$2:B675,1,FALSE)),"Not used","")</f>
        <v/>
      </c>
      <c r="B54" s="11" t="inlineStr">
        <is>
          <t>dilatometer_modulus</t>
        </is>
      </c>
      <c r="C54" s="11" t="inlineStr">
        <is>
          <t>Dilatometer Modulus (Ed)</t>
        </is>
      </c>
      <c r="D54" s="34" t="inlineStr">
        <is>
          <t xml:space="preserve"> Dilatometer modulus (Ed), based on linear elastic theory, and the primary index used in the correlation for the constrained and Young's moduli.</t>
        </is>
      </c>
      <c r="E54" s="11" t="inlineStr">
        <is>
          <t>double</t>
        </is>
      </c>
      <c r="F54" s="11" t="n"/>
      <c r="J54" s="38" t="inlineStr">
        <is>
          <t>x</t>
        </is>
      </c>
    </row>
    <row r="55" ht="119" customHeight="1">
      <c r="A55" s="38">
        <f>IF(ISNA(VLOOKUP(B55,AssociatedElements!B$2:B676,1,FALSE)),"Not used","")</f>
        <v/>
      </c>
      <c r="B55" s="11" t="inlineStr">
        <is>
          <t>dmt_tip_bearing</t>
        </is>
      </c>
      <c r="C55" s="11" t="inlineStr">
        <is>
          <t>Dilatometer Tip Bearing</t>
        </is>
      </c>
      <c r="D55" s="12" t="inlineStr">
        <is>
          <t xml:space="preserve"> DMT tip bearing (qD) is the axial thrust force at the end of a dilatometer blade divided by the projected cross-sectional area of the blade normal to the penetration. The DMT tip bearing is similar to the cone resistance, qc and may be used to evaluate stratigraphy. In cohesionless soils, qD and eD may be used to estimate the friction angle, overconsolidation ratio and at rest coefficient of earth pressure.</t>
        </is>
      </c>
      <c r="E55" s="11" t="inlineStr">
        <is>
          <t>double</t>
        </is>
      </c>
      <c r="F55" s="11" t="inlineStr">
        <is>
          <t>pressure</t>
        </is>
      </c>
    </row>
    <row r="56" ht="51" customHeight="1">
      <c r="A56" s="38">
        <f>IF(ISNA(VLOOKUP(B56,AssociatedElements!B$2:B677,1,FALSE)),"Not used","")</f>
        <v/>
      </c>
      <c r="B56" s="11" t="inlineStr">
        <is>
          <t>dry_density</t>
        </is>
      </c>
      <c r="C56" s="11" t="inlineStr">
        <is>
          <t>Density, Dry</t>
        </is>
      </c>
      <c r="D56" s="12" t="inlineStr">
        <is>
          <t xml:space="preserve"> Weight or mass of solids divided by total volume. This is technically a unit weight not a density, the value can also be reported in true density units.</t>
        </is>
      </c>
      <c r="E56" s="11" t="inlineStr">
        <is>
          <t>double</t>
        </is>
      </c>
      <c r="F56" s="11" t="inlineStr">
        <is>
          <t>force or mass per volume</t>
        </is>
      </c>
    </row>
    <row r="57" ht="119" customHeight="1">
      <c r="A57" s="38">
        <f>IF(ISNA(VLOOKUP(B57,AssociatedElements!B$2:B678,1,FALSE)),"Not used","")</f>
        <v/>
      </c>
      <c r="B57" s="11" t="inlineStr">
        <is>
          <t>dry_density_max</t>
        </is>
      </c>
      <c r="C57" s="11" t="inlineStr">
        <is>
          <t>Maximum Dry Density</t>
        </is>
      </c>
      <c r="D57" s="12" t="inlineStr">
        <is>
          <t xml:space="preserve"> This is a result of a compaction test. It is defined as the maximum dry density that is measured when a specific type and amount of energy is used for the compaction test. This is also the value of the compacted dry density when the soil is at the optimum moisture content. This is technically a unit weight not a density, but ithe value can also be reported in true density units.</t>
        </is>
      </c>
      <c r="E57" s="11" t="inlineStr">
        <is>
          <t>double</t>
        </is>
      </c>
      <c r="F57" s="11" t="inlineStr">
        <is>
          <t>force or mass per volume</t>
        </is>
      </c>
    </row>
    <row r="58" ht="34" customHeight="1">
      <c r="A58" s="38">
        <f>IF(ISNA(VLOOKUP(B58,AssociatedElements!B$2:B679,1,FALSE)),"Not used","")</f>
        <v/>
      </c>
      <c r="B58" s="11" t="inlineStr">
        <is>
          <t>effective_stress_vertical</t>
        </is>
      </c>
      <c r="C58" s="11" t="inlineStr">
        <is>
          <t>Vertical Effective Stress</t>
        </is>
      </c>
      <c r="D58" s="12" t="inlineStr">
        <is>
          <t xml:space="preserve"> Vertical effective stress at the center of the membrane before the insertion of the DMT blade.</t>
        </is>
      </c>
      <c r="E58" s="11" t="inlineStr">
        <is>
          <t>double</t>
        </is>
      </c>
      <c r="F58" s="11" t="inlineStr">
        <is>
          <t>pressure</t>
        </is>
      </c>
    </row>
    <row r="59" ht="17" customHeight="1">
      <c r="A59" s="38">
        <f>IF(ISNA(VLOOKUP(B59,AssociatedElements!B$2:B680,1,FALSE)),"Not used","")</f>
        <v/>
      </c>
      <c r="B59" s="38" t="inlineStr">
        <is>
          <t>elapsed_time</t>
        </is>
      </c>
      <c r="C59" s="31" t="inlineStr">
        <is>
          <t>Elapsed Time</t>
        </is>
      </c>
      <c r="D59" s="31" t="inlineStr">
        <is>
          <t>Amount of time since start of a measurement</t>
        </is>
      </c>
      <c r="E59" s="28" t="inlineStr">
        <is>
          <t>double</t>
        </is>
      </c>
      <c r="F59" s="38" t="inlineStr">
        <is>
          <t>time</t>
        </is>
      </c>
    </row>
    <row r="60" ht="17" customHeight="1">
      <c r="A60" s="38">
        <f>IF(ISNA(VLOOKUP(B60,AssociatedElements!B$2:B681,1,FALSE)),"Not used","")</f>
        <v/>
      </c>
      <c r="B60" s="11" t="inlineStr">
        <is>
          <t>filtrate_volume</t>
        </is>
      </c>
      <c r="C60" s="11" t="inlineStr">
        <is>
          <t>Filtrate Volume</t>
        </is>
      </c>
      <c r="D60" s="12" t="inlineStr">
        <is>
          <t xml:space="preserve"> Volume of filtrate extruded in Pressure Filtration test</t>
        </is>
      </c>
      <c r="E60" s="11" t="inlineStr">
        <is>
          <t>double</t>
        </is>
      </c>
      <c r="F60" s="11" t="inlineStr">
        <is>
          <t>volume per volume</t>
        </is>
      </c>
    </row>
    <row r="61" ht="85" customHeight="1">
      <c r="A61" s="38">
        <f>IF(ISNA(VLOOKUP(B61,AssociatedElements!B$2:B682,1,FALSE)),"Not used","")</f>
        <v/>
      </c>
      <c r="B61" s="11" t="inlineStr">
        <is>
          <t>flame_ionization_measurement</t>
        </is>
      </c>
      <c r="C61" s="11" t="inlineStr">
        <is>
          <t>Flame Ionization Measurement</t>
        </is>
      </c>
      <c r="D61" s="12" t="inlineStr">
        <is>
          <t xml:space="preserve"> Flame Ionization Detector Test detects total concentrations of organic gases and vapors. Gases and vapors are ionized in a flame; a current is produced in proportion to the number of carbon atoms present. Reported result can be in various units of measure, depending upon specific equipment used.</t>
        </is>
      </c>
      <c r="E61" s="11" t="inlineStr">
        <is>
          <t>double</t>
        </is>
      </c>
      <c r="F61" s="11" t="n"/>
    </row>
    <row r="62" ht="17" customHeight="1">
      <c r="A62" s="38">
        <f>IF(ISNA(VLOOKUP(B62,AssociatedElements!B$2:B683,1,FALSE)),"Not used","")</f>
        <v/>
      </c>
      <c r="B62" s="11" t="inlineStr">
        <is>
          <t>flow_cone_time</t>
        </is>
      </c>
      <c r="C62" s="11" t="inlineStr">
        <is>
          <t>Flow Cone Time</t>
        </is>
      </c>
      <c r="D62" s="12" t="inlineStr">
        <is>
          <t xml:space="preserve"> Time for grout specimen to exit flow cone</t>
        </is>
      </c>
      <c r="E62" s="11" t="inlineStr">
        <is>
          <t>double</t>
        </is>
      </c>
      <c r="F62" s="11" t="inlineStr">
        <is>
          <t>time</t>
        </is>
      </c>
    </row>
    <row r="63" ht="17" customHeight="1">
      <c r="A63" s="38">
        <f>IF(ISNA(VLOOKUP(B63,AssociatedElements!B$2:B684,1,FALSE)),"Not used","")</f>
        <v/>
      </c>
      <c r="B63" s="38" t="inlineStr">
        <is>
          <t>flow_mass_rate</t>
        </is>
      </c>
      <c r="C63" s="38" t="inlineStr">
        <is>
          <t>Mass Flow Rate</t>
        </is>
      </c>
      <c r="D63" s="38" t="inlineStr">
        <is>
          <t>The rate of fluid flow, measuredd as mass/time</t>
        </is>
      </c>
      <c r="E63" s="38" t="inlineStr">
        <is>
          <t>double</t>
        </is>
      </c>
      <c r="F63" s="38" t="inlineStr">
        <is>
          <t>mass per time</t>
        </is>
      </c>
    </row>
    <row r="64" ht="17" customHeight="1">
      <c r="A64" s="38">
        <f>IF(ISNA(VLOOKUP(B64,AssociatedElements!B$2:B685,1,FALSE)),"Not used","")</f>
        <v/>
      </c>
      <c r="B64" s="38" t="inlineStr">
        <is>
          <t>flow_volume_rate</t>
        </is>
      </c>
      <c r="C64" s="38" t="inlineStr">
        <is>
          <t>Volume Flow Rate</t>
        </is>
      </c>
      <c r="D64" s="38" t="inlineStr">
        <is>
          <t>The rate of fluid flow, measuredd as volume/time</t>
        </is>
      </c>
      <c r="E64" s="38" t="inlineStr">
        <is>
          <t>double</t>
        </is>
      </c>
      <c r="F64" s="38" t="inlineStr">
        <is>
          <t>volume per time</t>
        </is>
      </c>
    </row>
    <row r="65" ht="17" customHeight="1">
      <c r="A65" s="38">
        <f>IF(ISNA(VLOOKUP(B65,AssociatedElements!B$2:B686,1,FALSE)),"Not used","")</f>
        <v/>
      </c>
      <c r="B65" s="11" t="inlineStr">
        <is>
          <t>friction_angle_cv</t>
        </is>
      </c>
      <c r="C65" s="11" t="inlineStr">
        <is>
          <t>Critical State Friction Angle</t>
        </is>
      </c>
      <c r="D65" s="12" t="inlineStr">
        <is>
          <t xml:space="preserve"> Angle of friction at constant volume</t>
        </is>
      </c>
      <c r="E65" s="11" t="inlineStr">
        <is>
          <t>double</t>
        </is>
      </c>
      <c r="F65" s="11" t="inlineStr">
        <is>
          <t>plane angle</t>
        </is>
      </c>
    </row>
    <row r="66" ht="34" customHeight="1">
      <c r="A66" s="38">
        <f>IF(ISNA(VLOOKUP(B66,AssociatedElements!B$2:B687,1,FALSE)),"Not used","")</f>
        <v/>
      </c>
      <c r="B66" s="11" t="inlineStr">
        <is>
          <t>friction_angle_peak</t>
        </is>
      </c>
      <c r="C66" s="11" t="inlineStr">
        <is>
          <t>Peak Angle of Internal Friction</t>
        </is>
      </c>
      <c r="D66" s="12" t="inlineStr">
        <is>
          <t xml:space="preserve"> Measure of frictional resistance of soil. Ratio of shear strength to normal stress.</t>
        </is>
      </c>
      <c r="E66" s="11" t="inlineStr">
        <is>
          <t>double</t>
        </is>
      </c>
      <c r="F66" s="11" t="inlineStr">
        <is>
          <t>plane angle</t>
        </is>
      </c>
    </row>
    <row r="67" ht="51" customHeight="1">
      <c r="A67" s="38">
        <f>IF(ISNA(VLOOKUP(B67,AssociatedElements!B$2:B688,1,FALSE)),"Not used","")</f>
        <v/>
      </c>
      <c r="B67" s="11" t="inlineStr">
        <is>
          <t>friction_angle_residual</t>
        </is>
      </c>
      <c r="C67" s="11" t="inlineStr">
        <is>
          <t>Residual Angle of Internal Friction</t>
        </is>
      </c>
      <c r="D67" s="12" t="inlineStr">
        <is>
          <t xml:space="preserve"> Angle between the axis of normal stress and the tangent to the Mohr envelope at a point representing the failure-stress condition following large deformation</t>
        </is>
      </c>
      <c r="E67" s="11" t="inlineStr">
        <is>
          <t>double</t>
        </is>
      </c>
      <c r="F67" s="11" t="inlineStr">
        <is>
          <t>plane angle</t>
        </is>
      </c>
    </row>
    <row r="68" ht="17" customHeight="1">
      <c r="A68" s="38">
        <f>IF(ISNA(VLOOKUP(B68,AssociatedElements!B$2:B689,1,FALSE)),"Not used","")</f>
        <v/>
      </c>
      <c r="B68" s="11" t="inlineStr">
        <is>
          <t>friction_ratio</t>
        </is>
      </c>
      <c r="C68" s="11" t="inlineStr">
        <is>
          <t>Friction Ratio</t>
        </is>
      </c>
      <c r="D68" s="12" t="inlineStr">
        <is>
          <t xml:space="preserve"> ratio of sleeve resistance to tip resistance</t>
        </is>
      </c>
      <c r="E68" s="11" t="inlineStr">
        <is>
          <t>double</t>
        </is>
      </c>
      <c r="F68" s="11" t="inlineStr">
        <is>
          <t>dimensionless</t>
        </is>
      </c>
    </row>
    <row r="69" ht="34" customHeight="1">
      <c r="A69" s="38">
        <f>IF(ISNA(VLOOKUP(B69,AssociatedElements!B$2:B690,1,FALSE)),"Not used","")</f>
        <v/>
      </c>
      <c r="B69" s="11" t="inlineStr">
        <is>
          <t>frost_heave</t>
        </is>
      </c>
      <c r="C69" s="11" t="inlineStr">
        <is>
          <t>Frost Heave</t>
        </is>
      </c>
      <c r="D69" s="12" t="inlineStr">
        <is>
          <t xml:space="preserve"> Test establishes the degree of frost-susceptibility of unbound sub-base and base materials for pavements.</t>
        </is>
      </c>
      <c r="E69" s="11" t="inlineStr">
        <is>
          <t>double</t>
        </is>
      </c>
      <c r="F69" s="11" t="inlineStr">
        <is>
          <t>length</t>
        </is>
      </c>
    </row>
    <row r="70" ht="17" customHeight="1">
      <c r="A70" s="38">
        <f>IF(ISNA(VLOOKUP(B70,AssociatedElements!B$2:B691,1,FALSE)),"Not used","")</f>
        <v/>
      </c>
      <c r="B70" s="38" t="inlineStr">
        <is>
          <t>gauge_pressure</t>
        </is>
      </c>
      <c r="C70" s="31" t="inlineStr">
        <is>
          <t>Gauge Pressure</t>
        </is>
      </c>
      <c r="D70" s="31" t="inlineStr">
        <is>
          <t>Pressure measured with a gauge</t>
        </is>
      </c>
      <c r="E70" s="28" t="inlineStr">
        <is>
          <t>double</t>
        </is>
      </c>
      <c r="F70" s="38" t="inlineStr">
        <is>
          <t>pressure</t>
        </is>
      </c>
    </row>
    <row r="71" ht="51" customHeight="1">
      <c r="A71" s="38">
        <f>IF(ISNA(VLOOKUP(B71,AssociatedElements!B$2:B692,1,FALSE)),"Not used","")</f>
        <v/>
      </c>
      <c r="B71" s="11" t="inlineStr">
        <is>
          <t>gel_time</t>
        </is>
      </c>
      <c r="C71" s="11" t="inlineStr">
        <is>
          <t>Gel Time</t>
        </is>
      </c>
      <c r="D71" s="12" t="inlineStr">
        <is>
          <t xml:space="preserve"> The time it takes for a chemical grout to gel. If determined by rotational viscometer, this is the value where viscosity reaches 100 mpa*s.</t>
        </is>
      </c>
      <c r="E71" s="11" t="inlineStr">
        <is>
          <t>double</t>
        </is>
      </c>
      <c r="F71" s="11" t="inlineStr">
        <is>
          <t>time</t>
        </is>
      </c>
    </row>
    <row r="72" ht="17" customHeight="1">
      <c r="A72" s="38">
        <f>IF(ISNA(VLOOKUP(B72,AssociatedElements!B$2:B693,1,FALSE)),"Not used","")</f>
        <v/>
      </c>
      <c r="B72" s="11" t="inlineStr">
        <is>
          <t>HFFD</t>
        </is>
      </c>
      <c r="C72" s="11" t="inlineStr">
        <is>
          <t>HFFD</t>
        </is>
      </c>
      <c r="D72" s="12" t="inlineStr">
        <is>
          <t xml:space="preserve"> Heavy fuel fluorescence detector value measured by sensor</t>
        </is>
      </c>
      <c r="E72" s="11" t="inlineStr">
        <is>
          <t>double</t>
        </is>
      </c>
      <c r="F72" s="11" t="inlineStr">
        <is>
          <t>electric potential difference</t>
        </is>
      </c>
    </row>
    <row r="73" ht="85" customHeight="1">
      <c r="A73" s="38">
        <f>IF(ISNA(VLOOKUP(B73,AssociatedElements!B$2:B694,1,FALSE)),"Not used","")</f>
        <v/>
      </c>
      <c r="B73" s="11" t="inlineStr">
        <is>
          <t>horiz_stress_index</t>
        </is>
      </c>
      <c r="C73" s="11" t="inlineStr">
        <is>
          <t>Horizontal Stress Index (Kd)</t>
        </is>
      </c>
      <c r="D73" s="12" t="inlineStr">
        <is>
          <t xml:space="preserve"> The dimensionless dilatometer horizontal stress index, the primary index used in the correlation for in-situ horizontal stress, overconsolidation ratio, and undrained shear strength in cohesive soils. KD is similar to the at-rest coefficient of earth pressure except that it includes blade penetration effects.</t>
        </is>
      </c>
      <c r="E73" s="11" t="inlineStr">
        <is>
          <t>double</t>
        </is>
      </c>
      <c r="F73" s="11" t="inlineStr">
        <is>
          <t>dimensionless</t>
        </is>
      </c>
    </row>
    <row r="74" ht="34" customHeight="1">
      <c r="A74" s="38">
        <f>IF(ISNA(VLOOKUP(B74,AssociatedElements!B$2:B695,1,FALSE)),"Not used","")</f>
        <v/>
      </c>
      <c r="B74" s="11" t="inlineStr">
        <is>
          <t>inclination</t>
        </is>
      </c>
      <c r="C74" s="11" t="inlineStr">
        <is>
          <t>Inclination</t>
        </is>
      </c>
      <c r="D74" s="12" t="inlineStr">
        <is>
          <t xml:space="preserve"> Measured inclination angle (vertical = 0 degrees); bearing unspecified or specified as another property</t>
        </is>
      </c>
      <c r="E74" s="11" t="inlineStr">
        <is>
          <t>double</t>
        </is>
      </c>
      <c r="F74" s="11" t="inlineStr">
        <is>
          <t>plane angle</t>
        </is>
      </c>
    </row>
    <row r="75" ht="34" customHeight="1">
      <c r="A75" s="38">
        <f>IF(ISNA(VLOOKUP(B75,AssociatedElements!B$2:B696,1,FALSE)),"Not used","")</f>
        <v/>
      </c>
      <c r="B75" s="11" t="inlineStr">
        <is>
          <t>inclination_x</t>
        </is>
      </c>
      <c r="C75" s="11" t="inlineStr">
        <is>
          <t>X Inclination</t>
        </is>
      </c>
      <c r="D75" s="12" t="inlineStr">
        <is>
          <t xml:space="preserve"> Inclination measured in defined x direction (specified elsewhere)</t>
        </is>
      </c>
      <c r="E75" s="11" t="inlineStr">
        <is>
          <t>double</t>
        </is>
      </c>
      <c r="F75" s="11" t="inlineStr">
        <is>
          <t>plane angle</t>
        </is>
      </c>
    </row>
    <row r="76" ht="34" customHeight="1">
      <c r="A76" s="38">
        <f>IF(ISNA(VLOOKUP(B76,AssociatedElements!B$2:B697,1,FALSE)),"Not used","")</f>
        <v/>
      </c>
      <c r="B76" s="11" t="inlineStr">
        <is>
          <t>inclination_y</t>
        </is>
      </c>
      <c r="C76" s="11" t="inlineStr">
        <is>
          <t>Y Inclination</t>
        </is>
      </c>
      <c r="D76" s="12" t="inlineStr">
        <is>
          <t xml:space="preserve"> Inclination measured in defined y direction (specified elsewhere)</t>
        </is>
      </c>
      <c r="E76" s="11" t="inlineStr">
        <is>
          <t>double</t>
        </is>
      </c>
      <c r="F76" s="11" t="inlineStr">
        <is>
          <t>plane angle</t>
        </is>
      </c>
    </row>
    <row r="77" ht="34" customHeight="1">
      <c r="A77" s="38">
        <f>IF(ISNA(VLOOKUP(B77,AssociatedElements!B$2:B698,1,FALSE)),"Not used","")</f>
        <v/>
      </c>
      <c r="B77" s="11" t="inlineStr">
        <is>
          <t>insitu_horizontal_stress</t>
        </is>
      </c>
      <c r="C77" s="11" t="inlineStr">
        <is>
          <t>Insitu Horizontal Stress</t>
        </is>
      </c>
      <c r="D77" s="12" t="inlineStr">
        <is>
          <t xml:space="preserve"> The horizontal component of the original stress status before excavations or other perturbations. </t>
        </is>
      </c>
      <c r="E77" s="11" t="inlineStr">
        <is>
          <t>double</t>
        </is>
      </c>
      <c r="F77" s="11" t="inlineStr">
        <is>
          <t>pressure</t>
        </is>
      </c>
    </row>
    <row r="78" ht="51" customHeight="1">
      <c r="A78" s="38">
        <f>IF(ISNA(VLOOKUP(B78,AssociatedElements!B$2:B699,1,FALSE)),"Not used","")</f>
        <v/>
      </c>
      <c r="B78" s="11" t="inlineStr">
        <is>
          <t>Is</t>
        </is>
      </c>
      <c r="C78" s="11" t="inlineStr">
        <is>
          <t>Uncorrected Point Load Test Index</t>
        </is>
      </c>
      <c r="D78" s="12" t="inlineStr">
        <is>
          <t xml:space="preserve"> The Point Load Test produces an uncorrected Point Load Test Index (Is), which can be correlated with the uniaxial compressive strength (UCS) of rock.</t>
        </is>
      </c>
      <c r="E78" s="11" t="inlineStr">
        <is>
          <t>double</t>
        </is>
      </c>
      <c r="F78" s="11" t="inlineStr">
        <is>
          <t>pressure</t>
        </is>
      </c>
    </row>
    <row r="79" ht="51" customHeight="1">
      <c r="A79" s="38">
        <f>IF(ISNA(VLOOKUP(B79,AssociatedElements!B$2:B700,1,FALSE)),"Not used","")</f>
        <v/>
      </c>
      <c r="B79" s="11" t="inlineStr">
        <is>
          <t>Is50</t>
        </is>
      </c>
      <c r="C79" s="11" t="inlineStr">
        <is>
          <t>Size Corrected Point Load Test Index</t>
        </is>
      </c>
      <c r="D79" s="12" t="inlineStr">
        <is>
          <t xml:space="preserve"> The Point Load Test produces the Point Load Test Index (Is50), which can be correlated with the uniaxial compressive strength (UCS) of rock.</t>
        </is>
      </c>
      <c r="E79" s="11" t="inlineStr">
        <is>
          <t>double</t>
        </is>
      </c>
      <c r="F79" s="11" t="inlineStr">
        <is>
          <t>pressure</t>
        </is>
      </c>
    </row>
    <row r="80" ht="17" customHeight="1">
      <c r="A80" s="38">
        <f>IF(ISNA(VLOOKUP(B80,AssociatedElements!B$2:B701,1,FALSE)),"Not used","")</f>
        <v/>
      </c>
      <c r="B80" s="11" t="inlineStr">
        <is>
          <t>LFFD</t>
        </is>
      </c>
      <c r="C80" s="11" t="inlineStr">
        <is>
          <t>LFFD</t>
        </is>
      </c>
      <c r="D80" s="12" t="inlineStr">
        <is>
          <t xml:space="preserve"> Light fuel fluorescence detector value measured by sensor</t>
        </is>
      </c>
      <c r="E80" s="11" t="inlineStr">
        <is>
          <t>double</t>
        </is>
      </c>
      <c r="F80" s="11" t="inlineStr">
        <is>
          <t>electric potential difference</t>
        </is>
      </c>
    </row>
    <row r="81" ht="17" customHeight="1">
      <c r="A81" s="38">
        <f>IF(ISNA(VLOOKUP(B81,AssociatedElements!B$2:B702,1,FALSE)),"Not used","")</f>
        <v/>
      </c>
      <c r="B81" s="11" t="inlineStr">
        <is>
          <t>limit_pressure</t>
        </is>
      </c>
      <c r="C81" s="11" t="inlineStr">
        <is>
          <t>Limit Pressure</t>
        </is>
      </c>
      <c r="D81" s="12" t="inlineStr">
        <is>
          <t xml:space="preserve"> The pressure at failure during a Pressuremeter test</t>
        </is>
      </c>
      <c r="E81" s="11" t="inlineStr">
        <is>
          <t>double</t>
        </is>
      </c>
      <c r="F81" s="11" t="inlineStr">
        <is>
          <t>pressure</t>
        </is>
      </c>
    </row>
    <row r="82" ht="34" customHeight="1">
      <c r="A82" s="38">
        <f>IF(ISNA(VLOOKUP(B82,AssociatedElements!B$2:B703,1,FALSE)),"Not used","")</f>
        <v/>
      </c>
      <c r="B82" s="11" t="inlineStr">
        <is>
          <t>line_loss_coeff_A</t>
        </is>
      </c>
      <c r="C82" s="11" t="inlineStr">
        <is>
          <t>Line Loss Coefficient A</t>
        </is>
      </c>
      <c r="D82" s="12" t="inlineStr">
        <is>
          <t xml:space="preserve"> Coefficient A computed for line loss regression equation Ax^2 + Bx + C</t>
        </is>
      </c>
      <c r="E82" s="11" t="inlineStr">
        <is>
          <t>double</t>
        </is>
      </c>
      <c r="F82" s="11" t="n"/>
    </row>
    <row r="83" ht="34" customHeight="1">
      <c r="A83" s="38">
        <f>IF(ISNA(VLOOKUP(B83,AssociatedElements!B$2:B704,1,FALSE)),"Not used","")</f>
        <v/>
      </c>
      <c r="B83" s="11" t="inlineStr">
        <is>
          <t>line_loss_coeff_B</t>
        </is>
      </c>
      <c r="C83" s="11" t="inlineStr">
        <is>
          <t>Line Loss Coefficient B</t>
        </is>
      </c>
      <c r="D83" s="12" t="inlineStr">
        <is>
          <t xml:space="preserve"> Coefficient B computed for line loss regression equation Ax^2 + Bx + C</t>
        </is>
      </c>
      <c r="E83" s="11" t="inlineStr">
        <is>
          <t>double</t>
        </is>
      </c>
      <c r="F83" s="11" t="n"/>
    </row>
    <row r="84" ht="34" customHeight="1">
      <c r="A84" s="38">
        <f>IF(ISNA(VLOOKUP(B84,AssociatedElements!B$2:B705,1,FALSE)),"Not used","")</f>
        <v/>
      </c>
      <c r="B84" s="11" t="inlineStr">
        <is>
          <t>line_loss_coeff_C</t>
        </is>
      </c>
      <c r="C84" s="11" t="inlineStr">
        <is>
          <t>Line Loss Coefficient C</t>
        </is>
      </c>
      <c r="D84" s="12" t="inlineStr">
        <is>
          <t xml:space="preserve"> Coefficient C computed for line loss regression equation Ax^2 + Bx + C</t>
        </is>
      </c>
      <c r="E84" s="11" t="inlineStr">
        <is>
          <t>double</t>
        </is>
      </c>
      <c r="F84" s="11" t="n"/>
    </row>
    <row r="85" ht="17" customHeight="1">
      <c r="A85" s="38">
        <f>IF(ISNA(VLOOKUP(B85,AssociatedElements!B$2:B706,1,FALSE)),"Not used","")</f>
        <v/>
      </c>
      <c r="B85" s="11" t="inlineStr">
        <is>
          <t>line_loss_r2</t>
        </is>
      </c>
      <c r="C85" s="11" t="inlineStr">
        <is>
          <t>Line Loss R2</t>
        </is>
      </c>
      <c r="D85" s="12" t="inlineStr">
        <is>
          <t xml:space="preserve"> The correlation coefficient of the line loss regression equation</t>
        </is>
      </c>
      <c r="E85" s="11" t="inlineStr">
        <is>
          <t>double</t>
        </is>
      </c>
      <c r="F85" s="11" t="n"/>
    </row>
    <row r="86" ht="34" customHeight="1">
      <c r="A86" s="38">
        <f>IF(ISNA(VLOOKUP(B86,AssociatedElements!B$2:B707,1,FALSE)),"Not used","")</f>
        <v/>
      </c>
      <c r="B86" s="11" t="inlineStr">
        <is>
          <t>liquid_limit</t>
        </is>
      </c>
      <c r="C86" s="11" t="inlineStr">
        <is>
          <t>Liquid Limit</t>
        </is>
      </c>
      <c r="D86" s="12" t="inlineStr">
        <is>
          <t xml:space="preserve"> The liquid limit (LL) is the water content at which a soil changes from plastic to liquid behavior.</t>
        </is>
      </c>
      <c r="E86" s="11" t="inlineStr">
        <is>
          <t>integer</t>
        </is>
      </c>
      <c r="F86" s="11" t="n"/>
    </row>
    <row r="87" ht="34" customHeight="1">
      <c r="A87" s="38">
        <f>IF(ISNA(VLOOKUP(B87,AssociatedElements!B$2:B708,1,FALSE)),"Not used","")</f>
        <v/>
      </c>
      <c r="B87" s="11" t="inlineStr">
        <is>
          <t>liquid_limit_oven_dried</t>
        </is>
      </c>
      <c r="C87" s="11" t="inlineStr">
        <is>
          <t>Oven Dried Liquid Limit</t>
        </is>
      </c>
      <c r="D87" s="12" t="inlineStr">
        <is>
          <t xml:space="preserve"> Liquid limit determined if sample required oven drying before test</t>
        </is>
      </c>
      <c r="E87" s="11" t="inlineStr">
        <is>
          <t>integer</t>
        </is>
      </c>
      <c r="F87" s="11" t="n"/>
    </row>
    <row r="88" ht="85" customHeight="1">
      <c r="A88" s="38">
        <f>IF(ISNA(VLOOKUP(B88,AssociatedElements!B$2:B709,1,FALSE)),"Not used","")</f>
        <v/>
      </c>
      <c r="B88" s="11" t="inlineStr">
        <is>
          <t>liquidity_index</t>
        </is>
      </c>
      <c r="C88" s="11" t="inlineStr">
        <is>
          <t>Liquidity Index</t>
        </is>
      </c>
      <c r="D88" s="12" t="inlineStr">
        <is>
          <t xml:space="preserve"> The liquidity index (LI) is used for scaling the natural water content of a soil sample to the limits. It can be calculated as a ratio of difference between natural water content, plastic limit, and liquid limit: LI=(W-PL)/(LL-PL) where W is the natural water content.</t>
        </is>
      </c>
      <c r="E88" s="11" t="inlineStr">
        <is>
          <t>double</t>
        </is>
      </c>
      <c r="F88" s="11" t="n"/>
    </row>
    <row r="89" ht="51" customHeight="1">
      <c r="A89" s="38">
        <f>IF(ISNA(VLOOKUP(B89,AssociatedElements!B$2:B710,1,FALSE)),"Not used","")</f>
        <v/>
      </c>
      <c r="B89" s="11" t="inlineStr">
        <is>
          <t>LOI</t>
        </is>
      </c>
      <c r="C89" s="11" t="inlineStr">
        <is>
          <t>Organic Content of Soil</t>
        </is>
      </c>
      <c r="D89" s="12" t="inlineStr">
        <is>
          <t xml:space="preserve"> The amount of organic matter in a soil that derives from peat, organic muck, plant material such as wood, roots, grass, or carbonaceous materials such as lignite, coal, etc.</t>
        </is>
      </c>
      <c r="E89" s="11" t="inlineStr">
        <is>
          <t>double</t>
        </is>
      </c>
      <c r="F89" s="28" t="inlineStr">
        <is>
          <t>mass per mass</t>
        </is>
      </c>
      <c r="J89" s="38" t="inlineStr">
        <is>
          <t>x</t>
        </is>
      </c>
    </row>
    <row r="90" ht="85" customHeight="1">
      <c r="A90" s="38">
        <f>IF(ISNA(VLOOKUP(B90,AssociatedElements!B$2:B711,1,FALSE)),"Not used","")</f>
        <v/>
      </c>
      <c r="B90" s="11" t="inlineStr">
        <is>
          <t>lugeon_value</t>
        </is>
      </c>
      <c r="C90" s="11" t="inlineStr">
        <is>
          <t>Lugeon Value</t>
        </is>
      </c>
      <c r="D90" s="12" t="inlineStr">
        <is>
          <t xml:space="preserve"> A unit devised to quantify the water permeability of bedrock and the hydraulic conductivity resulting from fractures. It is defined as the amount of water (in liters) that can be absorbed by a 1-meter length of a borehole per minute, at an over-pressure of 1 MPa (10 bar). </t>
        </is>
      </c>
      <c r="E90" s="11" t="inlineStr">
        <is>
          <t>double</t>
        </is>
      </c>
      <c r="F90" s="11" t="inlineStr">
        <is>
          <t>area per time</t>
        </is>
      </c>
    </row>
    <row r="91" ht="17" customHeight="1">
      <c r="A91" s="38">
        <f>IF(ISNA(VLOOKUP(B91,AssociatedElements!B$2:B712,1,FALSE)),"Not used","")</f>
        <v/>
      </c>
      <c r="B91" s="11" t="inlineStr">
        <is>
          <t>marsh_funnel_time</t>
        </is>
      </c>
      <c r="C91" s="11" t="inlineStr">
        <is>
          <t>Marsh Funnel Time</t>
        </is>
      </c>
      <c r="D91" s="12" t="inlineStr">
        <is>
          <t xml:space="preserve"> Time for grout speciment to exit marsh funnel</t>
        </is>
      </c>
      <c r="E91" s="11" t="inlineStr">
        <is>
          <t>double</t>
        </is>
      </c>
      <c r="F91" s="11" t="inlineStr">
        <is>
          <t>time</t>
        </is>
      </c>
    </row>
    <row r="92" ht="17" customHeight="1">
      <c r="A92" s="38">
        <f>IF(ISNA(VLOOKUP(B92,AssociatedElements!B$2:B713,1,FALSE)),"Not used","")</f>
        <v/>
      </c>
      <c r="B92" s="38" t="inlineStr">
        <is>
          <t>mass</t>
        </is>
      </c>
      <c r="C92" s="38" t="inlineStr">
        <is>
          <t>Mass</t>
        </is>
      </c>
      <c r="D92" s="38" t="inlineStr">
        <is>
          <t>The mass of material observed</t>
        </is>
      </c>
      <c r="E92" s="38" t="inlineStr">
        <is>
          <t>double</t>
        </is>
      </c>
      <c r="F92" s="38" t="inlineStr">
        <is>
          <t>mass</t>
        </is>
      </c>
    </row>
    <row r="93" ht="17" customHeight="1">
      <c r="A93" s="38">
        <f>IF(ISNA(VLOOKUP(B93,AssociatedElements!B$2:B714,1,FALSE)),"Not used","")</f>
        <v/>
      </c>
      <c r="B93" s="38" t="inlineStr">
        <is>
          <t>mass_loss</t>
        </is>
      </c>
      <c r="C93" s="38" t="inlineStr">
        <is>
          <t>Mass Loss</t>
        </is>
      </c>
      <c r="D93" s="38" t="inlineStr">
        <is>
          <t>The amount of mass reduced between observation steps</t>
        </is>
      </c>
      <c r="E93" s="38" t="inlineStr">
        <is>
          <t>double</t>
        </is>
      </c>
      <c r="F93" s="38" t="inlineStr">
        <is>
          <t>mass</t>
        </is>
      </c>
    </row>
    <row r="94" ht="34" customHeight="1">
      <c r="A94" s="38">
        <f>IF(ISNA(VLOOKUP(B94,AssociatedElements!B$2:B715,1,FALSE)),"Not used","")</f>
        <v/>
      </c>
      <c r="B94" s="11" t="inlineStr">
        <is>
          <t>material_index</t>
        </is>
      </c>
      <c r="C94" s="11" t="inlineStr">
        <is>
          <t>Material Index     s</t>
        </is>
      </c>
      <c r="D94" s="12" t="inlineStr">
        <is>
          <t xml:space="preserve"> Unitless dilatometer material index, used to identify soil type and delineate stratigraphy.</t>
        </is>
      </c>
      <c r="E94" s="11" t="inlineStr">
        <is>
          <t>double</t>
        </is>
      </c>
      <c r="F94" s="11" t="n"/>
    </row>
    <row r="95" ht="68" customHeight="1">
      <c r="A95" s="38">
        <f>IF(ISNA(VLOOKUP(B95,AssociatedElements!B$2:B716,1,FALSE)),"Not used","")</f>
        <v/>
      </c>
      <c r="B95" s="11" t="inlineStr">
        <is>
          <t>mcv</t>
        </is>
      </c>
      <c r="C95" s="11" t="inlineStr">
        <is>
          <t>Moisture Condition Value</t>
        </is>
      </c>
      <c r="D95" s="12" t="inlineStr">
        <is>
          <t xml:space="preserve"> The Moisture Condition Value (MCV) is determined from a moisture condition test, a physical test indicating how much compactive effort is needed to compact a sample of soil at a particular moisture content.</t>
        </is>
      </c>
      <c r="E95" s="11" t="inlineStr">
        <is>
          <t>double</t>
        </is>
      </c>
      <c r="F95" s="11" t="n"/>
    </row>
    <row r="96" ht="17" customHeight="1">
      <c r="A96" s="38">
        <f>IF(ISNA(VLOOKUP(B96,AssociatedElements!B$2:B717,1,FALSE)),"Not used","")</f>
        <v/>
      </c>
      <c r="B96" s="38" t="inlineStr">
        <is>
          <t>mean_micro_deval_dry</t>
        </is>
      </c>
      <c r="C96" s="38" t="inlineStr">
        <is>
          <t>Mean Micro Deval Value, dry</t>
        </is>
      </c>
      <c r="D96" s="38" t="inlineStr">
        <is>
          <t>A measure of mass loss in dry aggregate</t>
        </is>
      </c>
      <c r="E96" s="38" t="inlineStr">
        <is>
          <t>double</t>
        </is>
      </c>
    </row>
    <row r="97" ht="17" customHeight="1">
      <c r="A97" s="38">
        <f>IF(ISNA(VLOOKUP(B97,AssociatedElements!B$2:B718,1,FALSE)),"Not used","")</f>
        <v/>
      </c>
      <c r="B97" s="38" t="inlineStr">
        <is>
          <t>mean_micro_deval_wet</t>
        </is>
      </c>
      <c r="C97" s="24" t="inlineStr">
        <is>
          <t>Mean Micro Deval Value, wet</t>
        </is>
      </c>
      <c r="D97" s="24" t="inlineStr">
        <is>
          <t>A measure of mass loss in wet aggregate</t>
        </is>
      </c>
      <c r="E97" s="38" t="inlineStr">
        <is>
          <t>double</t>
        </is>
      </c>
    </row>
    <row r="98" ht="34" customHeight="1">
      <c r="A98" s="38">
        <f>IF(ISNA(VLOOKUP(B98,AssociatedElements!B$2:B719,1,FALSE)),"Not used","")</f>
        <v/>
      </c>
      <c r="B98" t="inlineStr">
        <is>
          <t>menard_modulus</t>
        </is>
      </c>
      <c r="C98" t="inlineStr">
        <is>
          <t>Menard Modulus (E_M)</t>
        </is>
      </c>
      <c r="D98" t="inlineStr">
        <is>
          <t>The pressuremeter modulus (E_M), a measure of soil deformability derived from the pseudo-elastic phase of the initial expansion curve of a Menard-type (prebored) pressuremeter test, per the test standard's prescribed interpretation. Distinct from the trial-level shearModulus (Gur), the unload/reload modulus derived from self-boring/cyclic pressuremeter interpretation over a different portion of the loading history; the two are related by a soil-dependent rheological factor, not an identity.</t>
        </is>
      </c>
      <c r="E98" t="inlineStr">
        <is>
          <t>double</t>
        </is>
      </c>
      <c r="F98" t="inlineStr">
        <is>
          <t>pressure</t>
        </is>
      </c>
    </row>
    <row r="99" ht="119" customHeight="1">
      <c r="A99" s="38">
        <f>IF(ISNA(VLOOKUP(B99,AssociatedElements!B$2:B720,1,FALSE)),"Not used","")</f>
        <v/>
      </c>
      <c r="B99" s="11" t="inlineStr">
        <is>
          <t>modulus_shear</t>
        </is>
      </c>
      <c r="C99" s="11" t="inlineStr">
        <is>
          <t>Shear Modulus</t>
        </is>
      </c>
      <c r="D99" s="12" t="inlineStr">
        <is>
          <t xml:space="preserve"> Shear modulus, denoted by G, is defined as the ratio of shear stress to the shear strain.</t>
        </is>
      </c>
      <c r="E99" s="11" t="inlineStr">
        <is>
          <t>double</t>
        </is>
      </c>
      <c r="F99" s="11" t="inlineStr">
        <is>
          <t>pressure</t>
        </is>
      </c>
    </row>
    <row r="100" ht="51" customHeight="1">
      <c r="A100" s="38">
        <f>IF(ISNA(VLOOKUP(B100,AssociatedElements!B$2:B721,1,FALSE)),"Not used","")</f>
        <v/>
      </c>
      <c r="B100" s="11" t="inlineStr">
        <is>
          <t>modulus_youngs</t>
        </is>
      </c>
      <c r="C100" s="11" t="inlineStr">
        <is>
          <t>Young's Modulus</t>
        </is>
      </c>
      <c r="D100" s="12" t="inlineStr">
        <is>
          <t xml:space="preserve"> The tangent modulus of the initial, linear portion of a stress-strain curve for material in axial compression or tension is called Young's modulus, also known as the tensile (compression) modulus. It is defined as the ratio of the uniaxial stress over the uniaxial strain in the range of stress in which Hooke' Law holds. It is often calculated using theory of elasticity from other tests.</t>
        </is>
      </c>
      <c r="E100" s="11" t="inlineStr">
        <is>
          <t>double</t>
        </is>
      </c>
      <c r="F100" s="11" t="inlineStr">
        <is>
          <t>pressure</t>
        </is>
      </c>
    </row>
    <row r="101" ht="68" customHeight="1">
      <c r="A101" s="38">
        <f>IF(ISNA(VLOOKUP(B101,AssociatedElements!B$2:B722,1,FALSE)),"Not used","")</f>
        <v/>
      </c>
      <c r="B101" s="11" t="inlineStr">
        <is>
          <t>mud_balance_density</t>
        </is>
      </c>
      <c r="C101" s="11" t="inlineStr">
        <is>
          <t>Mud Balance Density</t>
        </is>
      </c>
      <c r="D101" s="12" t="inlineStr">
        <is>
          <t xml:space="preserve"> Grout or mud density determined using a mud balance. While called a density, measurement is a force (weight) / voume but can also report this value in true density units (mass/volume)</t>
        </is>
      </c>
      <c r="E101" s="11" t="inlineStr">
        <is>
          <t>double</t>
        </is>
      </c>
      <c r="F101" s="11" t="inlineStr">
        <is>
          <t>force or mass per volume</t>
        </is>
      </c>
    </row>
    <row r="102" ht="85" customHeight="1">
      <c r="A102" s="38">
        <f>IF(ISNA(VLOOKUP(B102,AssociatedElements!B$2:B723,1,FALSE)),"Not used","")</f>
        <v/>
      </c>
      <c r="B102" s="11" t="inlineStr">
        <is>
          <t>n_value</t>
        </is>
      </c>
      <c r="C102" s="11" t="inlineStr">
        <is>
          <t>N-Value (Raw)</t>
        </is>
      </c>
      <c r="D102" s="12" t="inlineStr">
        <is>
          <t xml:space="preserve"> Value from Standard Penetration Test (SPT) to define advancement in terms of blows required to drive a specific sampler I foot into the soil using a hammer that provides a specific impact energy.</t>
        </is>
      </c>
      <c r="E102" s="11" t="inlineStr">
        <is>
          <t>integer</t>
        </is>
      </c>
      <c r="F102" s="11" t="n"/>
    </row>
    <row r="103" ht="51" customHeight="1">
      <c r="A103" s="38">
        <f>IF(ISNA(VLOOKUP(B103,AssociatedElements!B$2:B724,1,FALSE)),"Not used","")</f>
        <v/>
      </c>
      <c r="B103" s="11" t="inlineStr">
        <is>
          <t>n1_60</t>
        </is>
      </c>
      <c r="C103" s="11" t="inlineStr">
        <is>
          <t>N1,60</t>
        </is>
      </c>
      <c r="D103" s="12" t="inlineStr">
        <is>
          <t xml:space="preserve"> Calculated value that corrects the value of the Standard Penetration Blow Count (N), to account for energy of the hammer (specifically normalized to 60% energy) and specific overburden conditions (specifically to an overburden stress of 1 ton per square foot). </t>
        </is>
      </c>
      <c r="E103" s="11" t="inlineStr">
        <is>
          <t>integer</t>
        </is>
      </c>
      <c r="F103" s="11" t="n"/>
    </row>
    <row r="104" ht="68" customHeight="1">
      <c r="A104" s="38">
        <f>IF(ISNA(VLOOKUP(B104,AssociatedElements!B$2:B725,1,FALSE)),"Not used","")</f>
        <v/>
      </c>
      <c r="B104" s="11" t="inlineStr">
        <is>
          <t>n60</t>
        </is>
      </c>
      <c r="C104" s="11" t="inlineStr">
        <is>
          <t>N60</t>
        </is>
      </c>
      <c r="D104" s="12" t="inlineStr">
        <is>
          <t xml:space="preserve"> Calculated value that corrects the value of the Standard Penetration Blow Count (N-value), to account for energy of the hammer (specifically normalized to 60% energy).</t>
        </is>
      </c>
      <c r="E104" s="11" t="inlineStr">
        <is>
          <t>integer</t>
        </is>
      </c>
      <c r="F104" s="11" t="n"/>
    </row>
    <row r="105" ht="102" customHeight="1">
      <c r="A105" s="38">
        <f>IF(ISNA(VLOOKUP(B105,AssociatedElements!B$2:B726,1,FALSE)),"Not used","")</f>
        <v/>
      </c>
      <c r="B105" s="11" t="inlineStr">
        <is>
          <t>non_plastic</t>
        </is>
      </c>
      <c r="C105" s="11" t="inlineStr">
        <is>
          <t>Non Plastic</t>
        </is>
      </c>
      <c r="D105" s="12" t="inlineStr">
        <is>
          <t xml:space="preserve"> A value of true for this property indiates that no plastic limit can be . In such cases the value of the plastic limit should be left empty or set to the null value, and the value of non_plastic set to true.</t>
        </is>
      </c>
      <c r="E105" s="11" t="inlineStr">
        <is>
          <t>boolean</t>
        </is>
      </c>
      <c r="F105" s="11" t="n"/>
    </row>
    <row r="106" ht="34" customHeight="1">
      <c r="A106" s="38">
        <f>IF(ISNA(VLOOKUP(B106,AssociatedElements!B$2:B727,1,FALSE)),"Not used","")</f>
        <v/>
      </c>
      <c r="B106" s="11" t="inlineStr">
        <is>
          <t>ocr</t>
        </is>
      </c>
      <c r="C106" s="11" t="inlineStr">
        <is>
          <t>Overconsolidation Ratio</t>
        </is>
      </c>
      <c r="D106" s="12" t="inlineStr">
        <is>
          <t xml:space="preserve"> A calculation that reflects the maximum past consolidation that the in situ soil has been subjected to compared to the current vertical overburden stress on the sample in the field. This value is usually measured from the one-dimensional consolidation tests. Often referenced as the parameter to track the stress history.</t>
        </is>
      </c>
      <c r="E106" s="11" t="inlineStr">
        <is>
          <t>double</t>
        </is>
      </c>
      <c r="F106" s="11" t="n"/>
    </row>
    <row r="107" ht="85" customHeight="1">
      <c r="A107" s="38">
        <f>IF(ISNA(VLOOKUP(B107,AssociatedElements!B$2:B728,1,FALSE)),"Not used","")</f>
        <v/>
      </c>
      <c r="B107" s="38" t="inlineStr">
        <is>
          <t>p_wave_velocity</t>
        </is>
      </c>
      <c r="C107" s="38" t="inlineStr">
        <is>
          <t>Primary Compression Wave Velocity</t>
        </is>
      </c>
      <c r="D107" s="16" t="inlineStr">
        <is>
          <t>The velocity of a p-wave (Vp). P-waves (primary waves) are compressional waves that are longitudinal in nature.</t>
        </is>
      </c>
      <c r="E107" s="38" t="inlineStr">
        <is>
          <t>double</t>
        </is>
      </c>
      <c r="F107" s="38" t="inlineStr">
        <is>
          <t>length per time</t>
        </is>
      </c>
    </row>
    <row r="108" ht="68" customHeight="1">
      <c r="A108" s="38">
        <f>IF(ISNA(VLOOKUP(B108,AssociatedElements!B$2:B729,1,FALSE)),"Not used","")</f>
        <v/>
      </c>
      <c r="B108" s="11" t="inlineStr">
        <is>
          <t>p0_reading</t>
        </is>
      </c>
      <c r="C108" s="15" t="inlineStr">
        <is>
          <t>P0 Reading</t>
        </is>
      </c>
      <c r="D108" s="14" t="inlineStr">
        <is>
          <t>A-Reading corrected for the DA membrane stiffness at 0.05 mm expansion, the 0.05 mm expansion itself and the gauge pressure deviation from zero. This corrected pressure is referred to as p0. This is an intermediate result from a flat plate dilatometer test.</t>
        </is>
      </c>
      <c r="E108" s="15" t="inlineStr">
        <is>
          <t>double</t>
        </is>
      </c>
      <c r="F108" s="15" t="inlineStr">
        <is>
          <t>pressure</t>
        </is>
      </c>
    </row>
    <row r="109" ht="68" customHeight="1">
      <c r="A109" s="38">
        <f>IF(ISNA(VLOOKUP(B109,AssociatedElements!B$2:B730,1,FALSE)),"Not used","")</f>
        <v/>
      </c>
      <c r="B109" s="11" t="inlineStr">
        <is>
          <t>p1_reading</t>
        </is>
      </c>
      <c r="C109" s="15" t="inlineStr">
        <is>
          <t>P1 Reading</t>
        </is>
      </c>
      <c r="D109" s="14" t="inlineStr">
        <is>
          <t>B-Reading corrected for the DB membrane stiffness at 1.10 mm expansion and the gauge pressure deviation from zero. This corrected pressure is referred to as p1. This is an intermediate result from a flat plate dilatometer test.</t>
        </is>
      </c>
      <c r="E109" s="15" t="inlineStr">
        <is>
          <t>double</t>
        </is>
      </c>
      <c r="F109" s="15" t="inlineStr">
        <is>
          <t>pressure</t>
        </is>
      </c>
    </row>
    <row r="110" ht="34" customHeight="1">
      <c r="A110" s="38">
        <f>IF(ISNA(VLOOKUP(B110,AssociatedElements!B$2:B731,1,FALSE)),"Not used","")</f>
        <v/>
      </c>
      <c r="B110" s="11" t="inlineStr">
        <is>
          <t>p2_reading</t>
        </is>
      </c>
      <c r="C110" s="15" t="inlineStr">
        <is>
          <t>P2 Reading</t>
        </is>
      </c>
      <c r="D110" s="14" t="inlineStr">
        <is>
          <t>C-Reading corrected for the DA membrane stiffness at 0.05 mm expansion and the gauge pressure deviation from zero. This corrected pressure is referred to as p2. This is an intermediate result from a flat plate dilatometer test.</t>
        </is>
      </c>
      <c r="E110" s="15" t="inlineStr">
        <is>
          <t>double</t>
        </is>
      </c>
      <c r="F110" s="15" t="inlineStr">
        <is>
          <t>pressure</t>
        </is>
      </c>
    </row>
    <row r="111" ht="34" customHeight="1">
      <c r="A111" s="38">
        <f>IF(ISNA(VLOOKUP(B111,AssociatedElements!B$2:B732,1,FALSE)),"Not used","")</f>
        <v/>
      </c>
      <c r="B111" s="17" t="inlineStr">
        <is>
          <t>pen_increment</t>
        </is>
      </c>
      <c r="C111" s="22" t="inlineStr">
        <is>
          <t>Penetration Increment</t>
        </is>
      </c>
      <c r="D111" s="22" t="inlineStr">
        <is>
          <t>The distance that a tool travels for a given number of hammer blows.</t>
        </is>
      </c>
      <c r="E111" s="18" t="inlineStr">
        <is>
          <t>double</t>
        </is>
      </c>
      <c r="F111" s="38" t="inlineStr">
        <is>
          <t>length</t>
        </is>
      </c>
      <c r="G111" s="19" t="n"/>
    </row>
    <row r="112" ht="34" customHeight="1">
      <c r="A112" s="38">
        <f>IF(ISNA(VLOOKUP(B112,AssociatedElements!B$2:B733,1,FALSE)),"Not used","")</f>
        <v/>
      </c>
      <c r="B112" s="38" t="inlineStr">
        <is>
          <t>percent_cobbles</t>
        </is>
      </c>
      <c r="C112" s="38" t="inlineStr">
        <is>
          <t>Percent Cobbles</t>
        </is>
      </c>
      <c r="D112" s="28" t="inlineStr">
        <is>
          <t>The percentage by mass of particles larger  than 3 inches (75 mm) and smaller than 12 inches (300 mm)</t>
        </is>
      </c>
      <c r="E112" s="35" t="inlineStr">
        <is>
          <t>double</t>
        </is>
      </c>
      <c r="F112" s="28" t="inlineStr">
        <is>
          <t>mass per mass</t>
        </is>
      </c>
      <c r="J112" s="38" t="inlineStr">
        <is>
          <t>x</t>
        </is>
      </c>
    </row>
    <row r="113" ht="34" customHeight="1">
      <c r="A113" s="38">
        <f>IF(ISNA(VLOOKUP(B113,AssociatedElements!B$2:B734,1,FALSE)),"Not used","")</f>
        <v/>
      </c>
      <c r="B113" s="11" t="inlineStr">
        <is>
          <t>percent_fines</t>
        </is>
      </c>
      <c r="C113" s="15" t="inlineStr">
        <is>
          <t>Percent Fines</t>
        </is>
      </c>
      <c r="D113" s="28" t="inlineStr">
        <is>
          <t>The percentage of particles that pass through the #200 sieve (&lt;0.075-mm).</t>
        </is>
      </c>
      <c r="E113" s="35" t="inlineStr">
        <is>
          <t>double</t>
        </is>
      </c>
      <c r="F113" s="28" t="inlineStr">
        <is>
          <t>mass per mass</t>
        </is>
      </c>
      <c r="J113" s="38" t="inlineStr">
        <is>
          <t>x</t>
        </is>
      </c>
    </row>
    <row r="114" ht="34" customHeight="1">
      <c r="A114" s="38">
        <f>IF(ISNA(VLOOKUP(B114,AssociatedElements!B$2:B735,1,FALSE)),"Not used","")</f>
        <v/>
      </c>
      <c r="B114" s="11" t="inlineStr">
        <is>
          <t>percent_gravel</t>
        </is>
      </c>
      <c r="C114" s="15" t="inlineStr">
        <is>
          <t>Percent Gravel</t>
        </is>
      </c>
      <c r="D114" s="28" t="inlineStr">
        <is>
          <t xml:space="preserve">The percentage of particles that are retained on the #4 and larger sizes (&gt;4.75 mm). </t>
        </is>
      </c>
      <c r="E114" s="35" t="inlineStr">
        <is>
          <t>double</t>
        </is>
      </c>
      <c r="F114" s="28" t="inlineStr">
        <is>
          <t>mass per mass</t>
        </is>
      </c>
      <c r="J114" s="38" t="inlineStr">
        <is>
          <t>x</t>
        </is>
      </c>
    </row>
    <row r="115" ht="119" customHeight="1">
      <c r="A115" s="38">
        <f>IF(ISNA(VLOOKUP(B115,AssociatedElements!B$2:B736,1,FALSE)),"Not used","")</f>
        <v/>
      </c>
      <c r="B115" s="11" t="inlineStr">
        <is>
          <t>percent_sand</t>
        </is>
      </c>
      <c r="C115" s="15" t="inlineStr">
        <is>
          <t>Percent Sand</t>
        </is>
      </c>
      <c r="D115" s="28" t="inlineStr">
        <is>
          <t>The percentage of particles thatpass the #4 sieve and are retained on the #200 sieve (&lt;4.75 mm and &gt;0.075-mm).</t>
        </is>
      </c>
      <c r="E115" s="35" t="inlineStr">
        <is>
          <t>double</t>
        </is>
      </c>
      <c r="F115" s="28" t="inlineStr">
        <is>
          <t>mass per mass</t>
        </is>
      </c>
      <c r="J115" s="38" t="inlineStr">
        <is>
          <t>x</t>
        </is>
      </c>
    </row>
    <row r="116" ht="17" customHeight="1">
      <c r="A116" s="38">
        <f>IF(ISNA(VLOOKUP(B116,AssociatedElements!B$2:B737,1,FALSE)),"Not used","")</f>
        <v/>
      </c>
      <c r="B116" s="38" t="inlineStr">
        <is>
          <t>percent_silt</t>
        </is>
      </c>
      <c r="C116" s="15" t="inlineStr">
        <is>
          <t>Percent Silt</t>
        </is>
      </c>
      <c r="D116" s="28" t="inlineStr">
        <is>
          <t>The percentage of particles smaller than 0.075 mm (No. 200 sieve) and larger than 0.002 mm and have a plotting position below the A-line on the plasticity chart as well as a plasticity index less than 4. The percent silt is determined by the difference between the total percent passing the No. 200 sieve (fines) and the percent clay (determined through plasticity testing of the fines fraction).</t>
        </is>
      </c>
      <c r="E116" s="35" t="inlineStr">
        <is>
          <t>double</t>
        </is>
      </c>
      <c r="F116" s="28" t="inlineStr">
        <is>
          <t>mass per mass</t>
        </is>
      </c>
      <c r="J116" s="38" t="inlineStr">
        <is>
          <t>x</t>
        </is>
      </c>
    </row>
    <row r="117" ht="34" customHeight="1">
      <c r="A117" s="38">
        <f>IF(ISNA(VLOOKUP(B117,AssociatedElements!B$2:B738,1,FALSE)),"Not used","")</f>
        <v/>
      </c>
      <c r="B117" s="11" t="inlineStr">
        <is>
          <t>pH</t>
        </is>
      </c>
      <c r="C117" s="15" t="inlineStr">
        <is>
          <t>pH</t>
        </is>
      </c>
      <c r="D117" s="28" t="inlineStr">
        <is>
          <t>The negative base-10 logarithm of hydrogen ion activity in a soil-water suspension or in a water sample - the measure of how acidic or alkaline the material is, on a scale where 7 is neutral, lower values are acidic and higher values alkaline. Dimensionless by definition, so a Property carrying it states no uom. Determined electrometrically with a pH meter: BS 1377-3 Clause 12; ASTM G51 and AASHTO T 289 where the purpose is corrosion assessment; ASTM D4972 for agricultural, environmental and natural-resource purposes, whose own scope excludes corrosion testing. In a ground-aggressivity assessment pH is read together with resistivity, sulfate and chloride rather than on its own.</t>
        </is>
      </c>
      <c r="E117" s="35" t="inlineStr">
        <is>
          <t>double</t>
        </is>
      </c>
      <c r="F117" s="35" t="n"/>
    </row>
    <row r="118" ht="51" customHeight="1">
      <c r="A118" s="38">
        <f>IF(ISNA(VLOOKUP(B118,AssociatedElements!B$2:B739,1,FALSE)),"Not used","")</f>
        <v/>
      </c>
      <c r="B118" s="11" t="inlineStr">
        <is>
          <t>pid_result</t>
        </is>
      </c>
      <c r="C118" s="15" t="inlineStr">
        <is>
          <t>Photoionization Detector Result</t>
        </is>
      </c>
      <c r="D118" s="28" t="inlineStr">
        <is>
          <t>Measures volatile organic compounds and other gases, expressed in parts per million or percent LEL</t>
        </is>
      </c>
      <c r="E118" s="35" t="inlineStr">
        <is>
          <t>double</t>
        </is>
      </c>
      <c r="F118" s="28" t="inlineStr">
        <is>
          <t>amount of substance per amount of substance</t>
        </is>
      </c>
      <c r="I118" s="32" t="n"/>
      <c r="J118" s="38" t="inlineStr">
        <is>
          <t>x</t>
        </is>
      </c>
    </row>
    <row r="119" ht="119" customHeight="1">
      <c r="A119" s="38">
        <f>IF(ISNA(VLOOKUP(B119,AssociatedElements!B$2:B740,1,FALSE)),"Not used","")</f>
        <v/>
      </c>
      <c r="B119" s="11" t="inlineStr">
        <is>
          <t>plastic_limit</t>
        </is>
      </c>
      <c r="C119" s="15" t="inlineStr">
        <is>
          <t>Plastic Limit</t>
        </is>
      </c>
      <c r="D119" s="28" t="inlineStr">
        <is>
          <t>The plastic limit (PL) is the water content where soil transitions between brittle and plastic behavior. A unitless value.</t>
        </is>
      </c>
      <c r="E119" s="35" t="inlineStr">
        <is>
          <t>integer</t>
        </is>
      </c>
      <c r="F119" s="35" t="n"/>
      <c r="J119" s="38" t="inlineStr">
        <is>
          <t>x</t>
        </is>
      </c>
    </row>
    <row r="120" ht="51" customHeight="1">
      <c r="A120" s="38">
        <f>IF(ISNA(VLOOKUP(B120,AssociatedElements!B$2:B741,1,FALSE)),"Not used","")</f>
        <v/>
      </c>
      <c r="B120" s="11" t="inlineStr">
        <is>
          <t>plasticity_index</t>
        </is>
      </c>
      <c r="C120" s="15" t="inlineStr">
        <is>
          <t>Plasticity Index</t>
        </is>
      </c>
      <c r="D120" s="28" t="inlineStr">
        <is>
          <t>The plasticity index (PI) is a measure of the plasticity of a soil. The plasticity index is a measure of the range of water contents where the soil exhibits plastic properties. The PI is the difference between the liquid limit and the plastic limit (PI = LL-PL). (Soils with a high PI tend to be clay, those with a lower PI tend to be silt, and those with a PI of 0 (non-plastic) tend to have little or no silt or clay.)</t>
        </is>
      </c>
      <c r="E120" s="35" t="inlineStr">
        <is>
          <t>integer</t>
        </is>
      </c>
      <c r="F120" s="35" t="n"/>
    </row>
    <row r="121" ht="51" customHeight="1">
      <c r="A121" s="38">
        <f>IF(ISNA(VLOOKUP(B121,AssociatedElements!B$2:B742,1,FALSE)),"Not used","")</f>
        <v/>
      </c>
      <c r="B121" s="11" t="inlineStr">
        <is>
          <t>point_load_test_index</t>
        </is>
      </c>
      <c r="C121" s="15" t="inlineStr">
        <is>
          <t>Point Load Test Index</t>
        </is>
      </c>
      <c r="D121" s="28" t="inlineStr">
        <is>
          <t>The Point Load Test produces the Point Load Test Index (Is50), which can be correlated with the uniaxial compressive strength (UCS) of rock.</t>
        </is>
      </c>
      <c r="E121" s="35" t="inlineStr">
        <is>
          <t>double</t>
        </is>
      </c>
      <c r="F121" s="35" t="n"/>
    </row>
    <row r="122" ht="51" customHeight="1">
      <c r="A122" s="38">
        <f>IF(ISNA(VLOOKUP(B122,AssociatedElements!B$2:B743,1,FALSE)),"Not used","")</f>
        <v/>
      </c>
      <c r="B122" s="11" t="inlineStr">
        <is>
          <t>poisson_ratio</t>
        </is>
      </c>
      <c r="C122" s="15" t="inlineStr">
        <is>
          <t>Poisson Ratio</t>
        </is>
      </c>
      <c r="D122" s="28" t="inlineStr">
        <is>
          <t>Ratio of the transverse contraction of a body to its longitudinal extension when stretched. Typical values in minerals are from 0.15 to 0.3 (Carbonates:0.15, Sandstones:0.2, Shales:0.25).</t>
        </is>
      </c>
      <c r="E122" s="35" t="inlineStr">
        <is>
          <t>double</t>
        </is>
      </c>
      <c r="F122" s="35" t="n"/>
      <c r="J122" s="38" t="inlineStr">
        <is>
          <t>x</t>
        </is>
      </c>
    </row>
    <row r="123" ht="51" customHeight="1">
      <c r="A123" s="38">
        <f>IF(ISNA(VLOOKUP(B123,AssociatedElements!B$2:B744,1,FALSE)),"Not used","")</f>
        <v/>
      </c>
      <c r="B123" s="11" t="inlineStr">
        <is>
          <t>pore_pressure_equil</t>
        </is>
      </c>
      <c r="C123" s="15" t="inlineStr">
        <is>
          <t>Equilibrium Pore Water Pressure (U0)</t>
        </is>
      </c>
      <c r="D123" s="14" t="inlineStr">
        <is>
          <t>The value of pore pressure measured in the field after dissipation of induced excess pore pressure. Could also be from CPTu test</t>
        </is>
      </c>
      <c r="E123" s="15" t="inlineStr">
        <is>
          <t>double</t>
        </is>
      </c>
      <c r="F123" s="15" t="inlineStr">
        <is>
          <t>pressure</t>
        </is>
      </c>
    </row>
    <row r="124" ht="17" customHeight="1">
      <c r="A124" s="38">
        <f>IF(ISNA(VLOOKUP(B124,AssociatedElements!B$2:B745,1,FALSE)),"Not used","")</f>
        <v/>
      </c>
      <c r="B124" s="11" t="inlineStr">
        <is>
          <t>pore_pressure_est</t>
        </is>
      </c>
      <c r="C124" s="15" t="inlineStr">
        <is>
          <t>Estimated Pore Water Pressure</t>
        </is>
      </c>
      <c r="D124" s="14" t="inlineStr">
        <is>
          <t>The pore-water pressure acting at the center of the membrane before the insertion of the DMT blade (often assumed as hydrostatic below the water table surface).</t>
        </is>
      </c>
      <c r="E124" s="15" t="inlineStr">
        <is>
          <t>double</t>
        </is>
      </c>
      <c r="F124" s="15" t="inlineStr">
        <is>
          <t>pressure</t>
        </is>
      </c>
    </row>
    <row r="125" ht="17" customHeight="1">
      <c r="A125" s="38">
        <f>IF(ISNA(VLOOKUP(B125,AssociatedElements!B$2:B746,1,FALSE)),"Not used","")</f>
        <v/>
      </c>
      <c r="B125" s="11" t="inlineStr">
        <is>
          <t>pore_pressure_u1</t>
        </is>
      </c>
      <c r="C125" s="15" t="inlineStr">
        <is>
          <t>Pore Water Pressure (U1)</t>
        </is>
      </c>
      <c r="D125" s="14" t="inlineStr">
        <is>
          <t>Measured pore pressure from u1 transducer on tip.</t>
        </is>
      </c>
      <c r="E125" s="15" t="inlineStr">
        <is>
          <t>double</t>
        </is>
      </c>
      <c r="F125" s="15" t="inlineStr">
        <is>
          <t>pressure</t>
        </is>
      </c>
    </row>
    <row r="126" ht="17" customHeight="1">
      <c r="A126" s="38">
        <f>IF(ISNA(VLOOKUP(B126,AssociatedElements!B$2:B747,1,FALSE)),"Not used","")</f>
        <v/>
      </c>
      <c r="B126" s="11" t="inlineStr">
        <is>
          <t>pore_pressure_u2</t>
        </is>
      </c>
      <c r="C126" s="15" t="inlineStr">
        <is>
          <t>Pore Water Pressure (U2)</t>
        </is>
      </c>
      <c r="D126" s="14" t="inlineStr">
        <is>
          <t>Measured pore pressure from u2 transducer behind tip.</t>
        </is>
      </c>
      <c r="E126" s="15" t="inlineStr">
        <is>
          <t>double</t>
        </is>
      </c>
      <c r="F126" s="15" t="inlineStr">
        <is>
          <t>pressure</t>
        </is>
      </c>
    </row>
    <row r="127" ht="170" customHeight="1">
      <c r="A127" s="38">
        <f>IF(ISNA(VLOOKUP(B127,AssociatedElements!B$2:B748,1,FALSE)),"Not used","")</f>
        <v/>
      </c>
      <c r="B127" s="11" t="inlineStr">
        <is>
          <t>pore_pressure_u3</t>
        </is>
      </c>
      <c r="C127" s="15" t="inlineStr">
        <is>
          <t>Pore Water Pressure (U3)</t>
        </is>
      </c>
      <c r="D127" s="14" t="inlineStr">
        <is>
          <t>Measured pore pressure from u3 transducer behind sleeve.</t>
        </is>
      </c>
      <c r="E127" s="15" t="inlineStr">
        <is>
          <t>double</t>
        </is>
      </c>
      <c r="F127" s="15" t="inlineStr">
        <is>
          <t>pressure</t>
        </is>
      </c>
    </row>
    <row r="128" ht="17" customHeight="1">
      <c r="A128" s="38">
        <f>IF(ISNA(VLOOKUP(B128,AssociatedElements!B$2:B749,1,FALSE)),"Not used","")</f>
        <v/>
      </c>
      <c r="B128" s="11" t="inlineStr">
        <is>
          <t>preconsolidation_pressure</t>
        </is>
      </c>
      <c r="C128" s="15" t="inlineStr">
        <is>
          <t>Preconsolidation Pressure</t>
        </is>
      </c>
      <c r="D128" s="14" t="inlineStr">
        <is>
          <t xml:space="preserve">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the largest value of stress that sample has experienced before the performance of this test. It is a calculation results usually obtained by a construction technique using laboratory test results. </t>
        </is>
      </c>
      <c r="E128" s="15" t="inlineStr">
        <is>
          <t>double</t>
        </is>
      </c>
      <c r="F128" s="15" t="inlineStr">
        <is>
          <t>pressure</t>
        </is>
      </c>
    </row>
    <row r="129" ht="17" customHeight="1">
      <c r="A129" s="38">
        <f>IF(ISNA(VLOOKUP(B129,AssociatedElements!B$2:B750,1,FALSE)),"Not used","")</f>
        <v/>
      </c>
      <c r="B129" s="11" t="inlineStr">
        <is>
          <t>pressure_filtration_coeff</t>
        </is>
      </c>
      <c r="C129" s="15" t="inlineStr">
        <is>
          <t>Pressure Filtration Coefficient</t>
        </is>
      </c>
      <c r="D129" s="14" t="inlineStr">
        <is>
          <t>Value derived from a pressure filtration test</t>
        </is>
      </c>
      <c r="E129" s="15" t="inlineStr">
        <is>
          <t>double</t>
        </is>
      </c>
      <c r="F129" s="39" t="inlineStr">
        <is>
          <t>reciprocal square root time</t>
        </is>
      </c>
    </row>
    <row r="130" ht="136" customHeight="1">
      <c r="A130" s="38">
        <f>IF(ISNA(VLOOKUP(B130,AssociatedElements!B$2:B751,1,FALSE)),"Not used","")</f>
        <v/>
      </c>
      <c r="B130" s="11" t="inlineStr">
        <is>
          <t>pumping_rate</t>
        </is>
      </c>
      <c r="C130" s="11" t="inlineStr">
        <is>
          <t>Pumping rate</t>
        </is>
      </c>
      <c r="D130" s="38" t="inlineStr">
        <is>
          <t>Flow of water produced by pumping; recorded in pump tests</t>
        </is>
      </c>
      <c r="E130" s="11" t="inlineStr">
        <is>
          <t>double</t>
        </is>
      </c>
      <c r="F130" s="11" t="inlineStr">
        <is>
          <t>volume per time</t>
        </is>
      </c>
    </row>
    <row r="131" ht="34" customHeight="1">
      <c r="A131" s="38">
        <f>IF(ISNA(VLOOKUP(B131,AssociatedElements!B$2:B752,1,FALSE)),"Not used","")</f>
        <v/>
      </c>
      <c r="B131" s="11" t="inlineStr">
        <is>
          <t>recompression_index</t>
        </is>
      </c>
      <c r="C131" s="15" t="inlineStr">
        <is>
          <t>Recompression Index</t>
        </is>
      </c>
      <c r="D131" s="14" t="inlineStr">
        <is>
          <t>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a response due to the unloading and reloading of a sample that is on the virgin curve.</t>
        </is>
      </c>
      <c r="E131" s="15" t="inlineStr">
        <is>
          <t>double</t>
        </is>
      </c>
      <c r="F131" s="15" t="n"/>
    </row>
    <row r="132" ht="34" customHeight="1">
      <c r="A132" s="38">
        <f>IF(ISNA(VLOOKUP(B132,AssociatedElements!B$2:B753,1,FALSE)),"Not used","")</f>
        <v/>
      </c>
      <c r="B132" s="11" t="inlineStr">
        <is>
          <t>redox_potential</t>
        </is>
      </c>
      <c r="C132" s="15" t="inlineStr">
        <is>
          <t>Redox Potential</t>
        </is>
      </c>
      <c r="D132" s="14" t="inlineStr">
        <is>
          <t xml:space="preserve">A 'measure of the ability of chemical/biochemical systems to oxidize (lose electrons) or reduce (gain electrons). </t>
        </is>
      </c>
      <c r="E132" s="15" t="inlineStr">
        <is>
          <t>double</t>
        </is>
      </c>
      <c r="F132" s="15" t="inlineStr">
        <is>
          <t>electric potential difference</t>
        </is>
      </c>
    </row>
    <row r="133" ht="34" customHeight="1">
      <c r="A133" s="38">
        <f>IF(ISNA(VLOOKUP(B133,AssociatedElements!B$2:B754,1,FALSE)),"Not used","")</f>
        <v/>
      </c>
      <c r="B133" s="11" t="inlineStr">
        <is>
          <t>relative_density</t>
        </is>
      </c>
      <c r="C133" s="15" t="inlineStr">
        <is>
          <t>Density, Relative</t>
        </is>
      </c>
      <c r="D133" s="14" t="inlineStr">
        <is>
          <t xml:space="preserve">The density of a granular specimen relative to its maximum and minimum density (or void ratio) </t>
        </is>
      </c>
      <c r="E133" s="15" t="inlineStr">
        <is>
          <t>double</t>
        </is>
      </c>
      <c r="F133" s="15" t="n"/>
    </row>
    <row r="134" ht="17" customHeight="1">
      <c r="A134" s="38">
        <f>IF(ISNA(VLOOKUP(B134,AssociatedElements!B$2:B755,1,FALSE)),"Not used","")</f>
        <v/>
      </c>
      <c r="B134" s="11" t="inlineStr">
        <is>
          <t>resistivity</t>
        </is>
      </c>
      <c r="C134" s="15" t="inlineStr">
        <is>
          <t>Electrical Resistivity</t>
        </is>
      </c>
      <c r="D134" s="14" t="inlineStr">
        <is>
          <t>A measure of the resisting power of a specified material to the flow of an electric current.</t>
        </is>
      </c>
      <c r="E134" s="15" t="inlineStr">
        <is>
          <t>double</t>
        </is>
      </c>
      <c r="F134" s="15" t="inlineStr">
        <is>
          <t>electrical resistivity</t>
        </is>
      </c>
    </row>
    <row r="135" ht="68" customHeight="1">
      <c r="A135" s="38">
        <f>IF(ISNA(VLOOKUP(B135,AssociatedElements!B$2:B756,1,FALSE)),"Not used","")</f>
        <v/>
      </c>
      <c r="B135" s="11" t="inlineStr">
        <is>
          <t>rock_porosity</t>
        </is>
      </c>
      <c r="C135" s="15" t="inlineStr">
        <is>
          <t>Rock Porosity</t>
        </is>
      </c>
      <c r="D135" s="14" t="inlineStr">
        <is>
          <t>The open space in a rock divided by the total rock volume.</t>
        </is>
      </c>
      <c r="E135" s="15" t="inlineStr">
        <is>
          <t>double</t>
        </is>
      </c>
      <c r="J135" s="38" t="inlineStr">
        <is>
          <t>x</t>
        </is>
      </c>
    </row>
    <row r="136" ht="34" customHeight="1">
      <c r="A136" s="38">
        <f>IF(ISNA(VLOOKUP(B136,AssociatedElements!B$2:B757,1,FALSE)),"Not used","")</f>
        <v/>
      </c>
      <c r="B136" s="11" t="inlineStr">
        <is>
          <t>schmidt_hardness_value</t>
        </is>
      </c>
      <c r="C136" s="15" t="inlineStr">
        <is>
          <t>Schmidt Hardness Value</t>
        </is>
      </c>
      <c r="D136" s="14" t="inlineStr">
        <is>
          <t>The Schmidt Hardness Test utilizes a hammer mass launched against an impact plunger. The amount of hammer mass rebound depends on the hardness of the test piece. This rebound amount is then shown on a scale of 10 to 100.</t>
        </is>
      </c>
      <c r="E136" s="15" t="inlineStr">
        <is>
          <t>double</t>
        </is>
      </c>
      <c r="F136" s="15" t="n"/>
    </row>
    <row r="137" ht="17" customHeight="1">
      <c r="A137" s="38">
        <f>IF(ISNA(VLOOKUP(B137,AssociatedElements!B$2:B758,1,FALSE)),"Not used","")</f>
        <v/>
      </c>
      <c r="B137" s="11" t="inlineStr">
        <is>
          <t>sensitivity</t>
        </is>
      </c>
      <c r="C137" s="15" t="inlineStr">
        <is>
          <t>Sensitivity</t>
        </is>
      </c>
      <c r="D137" s="14" t="inlineStr">
        <is>
          <t>the ratio of the strength of the soil in the undisturbed state to that of the soil in the remolded state.</t>
        </is>
      </c>
      <c r="E137" s="15" t="inlineStr">
        <is>
          <t>double</t>
        </is>
      </c>
      <c r="F137" s="15" t="n"/>
    </row>
    <row r="138" ht="85" customHeight="1">
      <c r="A138" s="38">
        <f>IF(ISNA(VLOOKUP(B138,AssociatedElements!B$2:B759,1,FALSE)),"Not used","")</f>
        <v/>
      </c>
      <c r="B138" s="11" t="inlineStr">
        <is>
          <t>set_time</t>
        </is>
      </c>
      <c r="C138" s="15" t="inlineStr">
        <is>
          <t>Set Time</t>
        </is>
      </c>
      <c r="D138" s="14" t="inlineStr">
        <is>
          <t>Setting time for grout</t>
        </is>
      </c>
      <c r="E138" s="15" t="inlineStr">
        <is>
          <t>double</t>
        </is>
      </c>
      <c r="F138" s="15" t="inlineStr">
        <is>
          <t>time</t>
        </is>
      </c>
    </row>
    <row r="139" ht="68" customHeight="1">
      <c r="A139" s="38">
        <f>IF(ISNA(VLOOKUP(B139,AssociatedElements!B$2:B760,1,FALSE)),"Not used","")</f>
        <v/>
      </c>
      <c r="B139" s="11" t="inlineStr">
        <is>
          <t>shear_strength_drained</t>
        </is>
      </c>
      <c r="C139" s="15" t="inlineStr">
        <is>
          <t>Peak Drained Shear Strength</t>
        </is>
      </c>
      <c r="D139" s="14" t="inlineStr">
        <is>
          <t xml:space="preserve">The peak shear resistance of an intact specimen when pore fluid pressures, generated during the course of shearing the soil, are able to dissipate during shearing. It also applies where no pore water exists in the soil (the soil is dry) and hence pore fluid pressures are negligible. </t>
        </is>
      </c>
      <c r="E139" s="15" t="inlineStr">
        <is>
          <t>double</t>
        </is>
      </c>
      <c r="F139" s="15" t="inlineStr">
        <is>
          <t>pressure</t>
        </is>
      </c>
    </row>
    <row r="140" ht="68" customHeight="1">
      <c r="A140" s="38">
        <f>IF(ISNA(VLOOKUP(B140,AssociatedElements!B$2:B761,1,FALSE)),"Not used","")</f>
        <v/>
      </c>
      <c r="B140" s="11" t="inlineStr">
        <is>
          <t>shear_strength_undrained</t>
        </is>
      </c>
      <c r="C140" s="15" t="inlineStr">
        <is>
          <t>Peak Undrained Shear Strength</t>
        </is>
      </c>
      <c r="D140" s="14" t="inlineStr">
        <is>
          <t xml:space="preserve">The peak shear strength of an intact specimen when no volume change is allowed during the tests. The value can be measured in the lab and in the field. In both cases, the value can be calculated from different tests. </t>
        </is>
      </c>
      <c r="E140" s="15" t="inlineStr">
        <is>
          <t>double</t>
        </is>
      </c>
      <c r="F140" s="15" t="inlineStr">
        <is>
          <t>pressure</t>
        </is>
      </c>
    </row>
    <row r="141" ht="68" customHeight="1">
      <c r="A141" s="38">
        <f>IF(ISNA(VLOOKUP(B141,AssociatedElements!B$2:B762,1,FALSE)),"Not used","")</f>
        <v/>
      </c>
      <c r="B141" s="11" t="inlineStr">
        <is>
          <t>shear_strength_undrained_residual</t>
        </is>
      </c>
      <c r="C141" s="15" t="inlineStr">
        <is>
          <t>Residual Undrained Shear Strength</t>
        </is>
      </c>
      <c r="D141" s="14" t="inlineStr">
        <is>
          <t xml:space="preserve">A measure of the shear strength of the soil for which the shear stress remains essentially constant with increasing shear displacement andwhen no volume change is allowed during the tests. </t>
        </is>
      </c>
      <c r="E141" s="15" t="inlineStr">
        <is>
          <t>double</t>
        </is>
      </c>
      <c r="F141" s="15" t="inlineStr">
        <is>
          <t>pressure</t>
        </is>
      </c>
    </row>
    <row r="142" ht="102" customHeight="1">
      <c r="A142" s="38">
        <f>IF(ISNA(VLOOKUP(B142,AssociatedElements!B$2:B763,1,FALSE)),"Not used","")</f>
        <v/>
      </c>
      <c r="B142" s="38" t="inlineStr">
        <is>
          <t>shear_velocity</t>
        </is>
      </c>
      <c r="C142" s="38" t="inlineStr">
        <is>
          <t>Shear Velocity</t>
        </is>
      </c>
      <c r="D142" s="16" t="inlineStr">
        <is>
          <t>The velocity of a shear wave (Vs); a shear wave is a type of seismic wave in which the particle motion is perpendicular to the direction of propagation in a horizontal plane ; also called S-wave or secondary wave.</t>
        </is>
      </c>
      <c r="E142" s="38" t="inlineStr">
        <is>
          <t>double</t>
        </is>
      </c>
      <c r="F142" s="38" t="inlineStr">
        <is>
          <t>length per time</t>
        </is>
      </c>
    </row>
    <row r="143" ht="34" customHeight="1">
      <c r="A143" s="38">
        <f>IF(ISNA(VLOOKUP(B143,AssociatedElements!B$2:B764,1,FALSE)),"Not used","")</f>
        <v/>
      </c>
      <c r="B143" s="11" t="inlineStr">
        <is>
          <t>shore_hardness_value</t>
        </is>
      </c>
      <c r="C143" s="15" t="inlineStr">
        <is>
          <t>Shore Hardness Value</t>
        </is>
      </c>
      <c r="D143" s="14" t="inlineStr">
        <is>
          <t>The height of the rebound travel of the Scleroscope hammer is measured on a graduated scale. The scale of the rebound is arbitrarily chosen and consists on Shore units, divided into 100 parts, which represent the average rebound from pure hardened high-carbon steel. The scale is continued higher than 100 to include metals having greater hardness.</t>
        </is>
      </c>
      <c r="E143" s="15" t="inlineStr">
        <is>
          <t>double</t>
        </is>
      </c>
      <c r="F143" s="15" t="inlineStr">
        <is>
          <t>dimensionless</t>
        </is>
      </c>
    </row>
    <row r="144" ht="34" customHeight="1">
      <c r="A144" s="38">
        <f>IF(ISNA(VLOOKUP(B144,AssociatedElements!B$2:B765,1,FALSE)),"Not used","")</f>
        <v/>
      </c>
      <c r="B144" s="11" t="inlineStr">
        <is>
          <t>shrinkage</t>
        </is>
      </c>
      <c r="C144" s="15" t="inlineStr">
        <is>
          <t>Shrinkage</t>
        </is>
      </c>
      <c r="D144" s="14" t="inlineStr">
        <is>
          <t>The amount specimen shrinkage, reported as a percentage of total volume</t>
        </is>
      </c>
      <c r="E144" s="15" t="inlineStr">
        <is>
          <t>double</t>
        </is>
      </c>
      <c r="F144" s="38" t="inlineStr">
        <is>
          <t>volume per volume</t>
        </is>
      </c>
      <c r="J144" s="38" t="inlineStr">
        <is>
          <t>x</t>
        </is>
      </c>
    </row>
    <row r="145" ht="51" customHeight="1">
      <c r="A145" s="38">
        <f>IF(ISNA(VLOOKUP(B145,AssociatedElements!B$2:B766,1,FALSE)),"Not used","")</f>
        <v/>
      </c>
      <c r="B145" s="11" t="inlineStr">
        <is>
          <t>shrinkage_limit</t>
        </is>
      </c>
      <c r="C145" s="15" t="inlineStr">
        <is>
          <t>Shrinkage Limit</t>
        </is>
      </c>
      <c r="D145" s="14" t="inlineStr">
        <is>
          <t>The shrinkage limit (SL) is the water content below which a soil undergoes no further volume change.</t>
        </is>
      </c>
      <c r="E145" s="15" t="inlineStr">
        <is>
          <t>integer</t>
        </is>
      </c>
      <c r="F145" s="38" t="inlineStr">
        <is>
          <t>dimensionless</t>
        </is>
      </c>
      <c r="J145" s="38" t="inlineStr">
        <is>
          <t>x</t>
        </is>
      </c>
    </row>
    <row r="146" ht="68" customHeight="1">
      <c r="A146" s="38">
        <f>IF(ISNA(VLOOKUP(B146,AssociatedElements!B$2:B767,1,FALSE)),"Not used","")</f>
        <v/>
      </c>
      <c r="B146" s="11" t="inlineStr">
        <is>
          <t>shrinkage_ratio</t>
        </is>
      </c>
      <c r="C146" s="15" t="inlineStr">
        <is>
          <t>Shrinkage Ratio</t>
        </is>
      </c>
      <c r="D146" s="14" t="inlineStr">
        <is>
          <t xml:space="preserve">The ratio of a given volume change expressed as a percentage of the dry volume to the corresponding change in water content above the shrinkage limit. </t>
        </is>
      </c>
      <c r="E146" s="15" t="inlineStr">
        <is>
          <t>double</t>
        </is>
      </c>
      <c r="F146" s="15" t="n"/>
    </row>
    <row r="147" ht="17" customHeight="1">
      <c r="A147" s="38">
        <f>IF(ISNA(VLOOKUP(B147,AssociatedElements!B$2:B768,1,FALSE)),"Not used","")</f>
        <v/>
      </c>
      <c r="B147" s="11" t="inlineStr">
        <is>
          <t>slake_durability_index</t>
        </is>
      </c>
      <c r="C147" s="15" t="inlineStr">
        <is>
          <t>Slake Durability Index</t>
        </is>
      </c>
      <c r="D147" s="14" t="inlineStr">
        <is>
          <t>The Slake Durability Index predicts the long-term durability of the rock specimens, to establish weathering and degradation characteristics of each rock type, and to assess the impact of water on the rock degradation.</t>
        </is>
      </c>
      <c r="E147" s="15" t="inlineStr">
        <is>
          <t>double</t>
        </is>
      </c>
      <c r="F147" s="15" t="inlineStr">
        <is>
          <t>dimensionless</t>
        </is>
      </c>
    </row>
    <row r="148" ht="17" customHeight="1">
      <c r="A148" s="38">
        <f>IF(ISNA(VLOOKUP(B148,AssociatedElements!B$2:B769,1,FALSE)),"Not used","")</f>
        <v/>
      </c>
      <c r="B148" s="11" t="inlineStr">
        <is>
          <t>sleeve_friction</t>
        </is>
      </c>
      <c r="C148" s="15" t="inlineStr">
        <is>
          <t>Sleeve Friction</t>
        </is>
      </c>
      <c r="D148" s="14" t="inlineStr">
        <is>
          <t>Value of stress measured on sleeve of cone during penetration</t>
        </is>
      </c>
      <c r="E148" s="15" t="inlineStr">
        <is>
          <t>double</t>
        </is>
      </c>
      <c r="F148" s="15" t="inlineStr">
        <is>
          <t>pressure</t>
        </is>
      </c>
    </row>
    <row r="149" ht="17" customHeight="1">
      <c r="A149" s="38">
        <f>IF(ISNA(VLOOKUP(B149,AssociatedElements!B$2:B770,1,FALSE)),"Not used","")</f>
        <v/>
      </c>
      <c r="B149" s="11" t="inlineStr">
        <is>
          <t>slump</t>
        </is>
      </c>
      <c r="C149" s="15" t="inlineStr">
        <is>
          <t>Slump</t>
        </is>
      </c>
      <c r="D149" s="14" t="inlineStr">
        <is>
          <t>Amount of slump of grout sample</t>
        </is>
      </c>
      <c r="E149" s="15" t="inlineStr">
        <is>
          <t>double</t>
        </is>
      </c>
      <c r="F149" s="15" t="inlineStr">
        <is>
          <t>length</t>
        </is>
      </c>
    </row>
    <row r="150" ht="17" customHeight="1">
      <c r="A150" s="38">
        <f>IF(ISNA(VLOOKUP(B150,AssociatedElements!B$2:B771,1,FALSE)),"Not used","")</f>
        <v/>
      </c>
      <c r="B150" s="11" t="inlineStr">
        <is>
          <t>soil_moisture_content</t>
        </is>
      </c>
      <c r="C150" s="15" t="inlineStr">
        <is>
          <t>Soil Moisture Content</t>
        </is>
      </c>
      <c r="D150" s="14" t="inlineStr">
        <is>
          <t>Soil moisture content measured by sensor (eg CPT)</t>
        </is>
      </c>
      <c r="E150" s="15" t="inlineStr">
        <is>
          <t>double</t>
        </is>
      </c>
      <c r="F150" s="15" t="inlineStr">
        <is>
          <t>dimensionless</t>
        </is>
      </c>
    </row>
    <row r="151" ht="34" customHeight="1">
      <c r="A151" s="38">
        <f>IF(ISNA(VLOOKUP(B151,AssociatedElements!B$2:B772,1,FALSE)),"Not used","")</f>
        <v/>
      </c>
      <c r="B151" s="11" t="inlineStr">
        <is>
          <t>soil_suction</t>
        </is>
      </c>
      <c r="C151" s="15" t="inlineStr">
        <is>
          <t>Soil Suction</t>
        </is>
      </c>
      <c r="D151" s="14" t="inlineStr">
        <is>
          <t>Soil suction value</t>
        </is>
      </c>
      <c r="E151" s="15" t="inlineStr">
        <is>
          <t>double</t>
        </is>
      </c>
      <c r="F151" s="15" t="inlineStr">
        <is>
          <t>pressure</t>
        </is>
      </c>
    </row>
    <row r="152" ht="119" customHeight="1">
      <c r="A152" s="38">
        <f>IF(ISNA(VLOOKUP(B152,AssociatedElements!B$2:B773,1,FALSE)),"Not used","")</f>
        <v/>
      </c>
      <c r="B152" s="11" t="inlineStr">
        <is>
          <t>soil_type</t>
        </is>
      </c>
      <c r="C152" s="15" t="inlineStr">
        <is>
          <t>Soil Type</t>
        </is>
      </c>
      <c r="D152" s="14" t="inlineStr">
        <is>
          <t>A value derived from a dilatometer test, using the dilatometer modulus and material index.</t>
        </is>
      </c>
      <c r="E152" s="15" t="inlineStr">
        <is>
          <t>string</t>
        </is>
      </c>
      <c r="F152" s="15" t="n"/>
    </row>
    <row r="153" ht="85" customHeight="1">
      <c r="A153" s="38">
        <f>IF(ISNA(VLOOKUP(B153,AssociatedElements!B$2:B774,1,FALSE)),"Not used","")</f>
        <v/>
      </c>
      <c r="B153" s="11" t="inlineStr">
        <is>
          <t>specific_gravity_apparent</t>
        </is>
      </c>
      <c r="C153" s="15" t="inlineStr">
        <is>
          <t>Apparent Specific Gravity</t>
        </is>
      </c>
      <c r="D153" s="14" t="inlineStr">
        <is>
          <t xml:space="preserve">The apparent specific gravity is designated Ga and is the ratio of the weight in air of a unit volume of the impermeable portion of aggregate to the weight in air of an equal volume of distilled water, both at a stated temperature. The impermeable portion of a porous material, such as most large soil grains, includes the solid material plus impermeable pores or voids within the particles. </t>
        </is>
      </c>
      <c r="E153" s="15" t="inlineStr">
        <is>
          <t>double</t>
        </is>
      </c>
      <c r="F153" s="15" t="n"/>
    </row>
    <row r="154" ht="85" customHeight="1">
      <c r="A154" s="38">
        <f>IF(ISNA(VLOOKUP(B154,AssociatedElements!B$2:B775,1,FALSE)),"Not used","")</f>
        <v/>
      </c>
      <c r="B154" s="11" t="inlineStr">
        <is>
          <t>specific_gravity_bulk</t>
        </is>
      </c>
      <c r="C154" s="15" t="inlineStr">
        <is>
          <t>Bulk Specific Gravity</t>
        </is>
      </c>
      <c r="D154" s="14" t="inlineStr">
        <is>
          <t xml:space="preserve">The bulk specific gravity is designated Gm and is the ratio of the weight in air of a unit volume of aggregate (including permeable and impermeable voids in the particles, but not the voids between the particles) to the weight of an equal volume of distilled water at a stated temperature. </t>
        </is>
      </c>
      <c r="E154" s="15" t="inlineStr">
        <is>
          <t>double</t>
        </is>
      </c>
      <c r="F154" s="15" t="n"/>
    </row>
    <row r="155" ht="17" customHeight="1">
      <c r="A155" s="38">
        <f>IF(ISNA(VLOOKUP(B155,AssociatedElements!B$2:B776,1,FALSE)),"Not used","")</f>
        <v/>
      </c>
      <c r="B155" s="11" t="inlineStr">
        <is>
          <t>specific_gravity_solids</t>
        </is>
      </c>
      <c r="C155" s="15" t="inlineStr">
        <is>
          <t>Specific Gravity of Solids</t>
        </is>
      </c>
      <c r="D155" s="14" t="inlineStr">
        <is>
          <t>The specific gravity of solids (Gs) is the bulk density of the solid particles relative to the density of water. It is a required parameter to assess void ratio. Its value is a function of the mineralogy of the solid particles. It is commonly assumed by geotechnical engineers.</t>
        </is>
      </c>
      <c r="E155" s="15" t="inlineStr">
        <is>
          <t>double</t>
        </is>
      </c>
      <c r="F155" s="15" t="n"/>
    </row>
    <row r="156" ht="34" customHeight="1">
      <c r="A156" s="38">
        <f>IF(ISNA(VLOOKUP(B156,AssociatedElements!B$2:B777,1,FALSE)),"Not used","")</f>
        <v/>
      </c>
      <c r="B156" s="11" t="inlineStr">
        <is>
          <t>sulfate_content</t>
        </is>
      </c>
      <c r="C156" s="15" t="inlineStr">
        <is>
          <t>Sulfate Content</t>
        </is>
      </c>
      <c r="D156" s="14" t="inlineStr">
        <is>
          <t>Sulfate content of soil or groundwater by laboratory testing (corrosivity series). USE THIS ENTRY WHEN THE SOURCE DOES NOT STATE THE EXTRACTION BASIS - common in practice, and the case for the Jazera project record (GBL-24136), which reports a sulfate content in ppm without saying whether it is water- or acid-soluble. Where the basis IS known, prefer the specific entry instead: sulfate_water_soluble or sulfate_acid_soluble. The distinction is not cosmetic - the two can differ by an order of magnitude on the same material, and BS 8500 / BRE Special Digest 1 derive their ACEC class from a particular one of them.</t>
        </is>
      </c>
      <c r="E156" s="15" t="inlineStr">
        <is>
          <t>double</t>
        </is>
      </c>
      <c r="F156" s="15" t="inlineStr">
        <is>
          <t>mass per mass</t>
        </is>
      </c>
    </row>
    <row r="157" ht="68" customHeight="1">
      <c r="A157" s="38">
        <f>IF(ISNA(VLOOKUP(B157,AssociatedElements!B$2:B778,1,FALSE)),"Not used","")</f>
        <v/>
      </c>
      <c r="B157" s="11" t="inlineStr">
        <is>
          <t>syneresis</t>
        </is>
      </c>
      <c r="C157" s="15" t="inlineStr">
        <is>
          <t>Syneresis</t>
        </is>
      </c>
      <c r="D157" s="14" t="inlineStr">
        <is>
          <t>The contraction of a gel accompanied by the separating out of liquid. It is calculated as a percent of volume or mass loss.</t>
        </is>
      </c>
      <c r="E157" s="15" t="inlineStr">
        <is>
          <t>double</t>
        </is>
      </c>
      <c r="F157" s="38" t="inlineStr">
        <is>
          <t>dimensionless</t>
        </is>
      </c>
      <c r="J157" s="38" t="inlineStr">
        <is>
          <t>x</t>
        </is>
      </c>
    </row>
    <row r="158" ht="51" customHeight="1">
      <c r="A158" s="38">
        <f>IF(ISNA(VLOOKUP(B158,AssociatedElements!B$2:B779,1,FALSE)),"Not used","")</f>
        <v/>
      </c>
      <c r="B158" s="11" t="inlineStr">
        <is>
          <t>syneresis_surface_area_normalized</t>
        </is>
      </c>
      <c r="C158" s="15" t="inlineStr">
        <is>
          <t>Surface Area Normalized Syneresis</t>
        </is>
      </c>
      <c r="D158" s="14" t="inlineStr">
        <is>
          <t>The syneresis value of a gel specimen divided by its surface area; accounts for variability in syneresis of a gel depending on the amount of the gel exposed to air. Calculated as mass loss divided by surface area</t>
        </is>
      </c>
      <c r="E158" s="15" t="inlineStr">
        <is>
          <t>double</t>
        </is>
      </c>
      <c r="F158" s="15" t="inlineStr">
        <is>
          <t>mass per area</t>
        </is>
      </c>
    </row>
    <row r="159" ht="17" customHeight="1">
      <c r="A159" s="38">
        <f>IF(ISNA(VLOOKUP(B159,AssociatedElements!B$2:B780,1,FALSE)),"Not used","")</f>
        <v/>
      </c>
      <c r="B159" s="11" t="inlineStr">
        <is>
          <t>t50</t>
        </is>
      </c>
      <c r="C159" s="15" t="inlineStr">
        <is>
          <t>T50</t>
        </is>
      </c>
      <c r="D159" s="14" t="inlineStr">
        <is>
          <t>Time until pore pressure reaches the halfway pressure (u50) between starting dynamic pore pressure and equilibrium pore pressure</t>
        </is>
      </c>
      <c r="E159" s="15" t="inlineStr">
        <is>
          <t>double</t>
        </is>
      </c>
      <c r="F159" s="15" t="inlineStr">
        <is>
          <t>time</t>
        </is>
      </c>
    </row>
    <row r="160" ht="17" customHeight="1">
      <c r="A160" s="38">
        <f>IF(ISNA(VLOOKUP(B160,AssociatedElements!B$2:B781,1,FALSE)),"Not used","")</f>
        <v/>
      </c>
      <c r="B160" s="11" t="inlineStr">
        <is>
          <t>temperature</t>
        </is>
      </c>
      <c r="C160" s="15" t="inlineStr">
        <is>
          <t>Temperature</t>
        </is>
      </c>
      <c r="D160" s="14" t="inlineStr">
        <is>
          <t>Measured temperature</t>
        </is>
      </c>
      <c r="E160" s="15" t="inlineStr">
        <is>
          <t>double</t>
        </is>
      </c>
      <c r="F160" s="15" t="inlineStr">
        <is>
          <t>thermodynamic temperature</t>
        </is>
      </c>
    </row>
    <row r="161" ht="34" customHeight="1">
      <c r="A161" s="38">
        <f>IF(ISNA(VLOOKUP(B161,AssociatedElements!B$2:B782,1,FALSE)),"Not used","")</f>
        <v/>
      </c>
      <c r="B161" s="11" t="inlineStr">
        <is>
          <t>ten_percent_fines_value</t>
        </is>
      </c>
      <c r="C161" s="15" t="inlineStr">
        <is>
          <t>Ten Percent Fines Value</t>
        </is>
      </c>
      <c r="D161" s="14" t="inlineStr">
        <is>
          <t>A measure of the resistance of aggregate crushing.</t>
        </is>
      </c>
      <c r="E161" s="15" t="inlineStr">
        <is>
          <t>integer</t>
        </is>
      </c>
      <c r="F161" s="15" t="n"/>
    </row>
    <row r="162" ht="51" customHeight="1">
      <c r="A162" s="38">
        <f>IF(ISNA(VLOOKUP(B162,AssociatedElements!B$2:B783,1,FALSE)),"Not used","")</f>
        <v/>
      </c>
      <c r="B162" s="11" t="inlineStr">
        <is>
          <t>tensile_strength</t>
        </is>
      </c>
      <c r="C162" s="11" t="inlineStr">
        <is>
          <t>Tensile strength</t>
        </is>
      </c>
      <c r="D162" s="38" t="inlineStr">
        <is>
          <t>The maximum stress a material can withstand before breaking under tensile (pulling) forces</t>
        </is>
      </c>
      <c r="E162" s="11" t="inlineStr">
        <is>
          <t>double</t>
        </is>
      </c>
      <c r="F162" s="11" t="inlineStr">
        <is>
          <t>pressure</t>
        </is>
      </c>
    </row>
    <row r="163" ht="17" customHeight="1">
      <c r="A163" s="38">
        <f>IF(ISNA(VLOOKUP(B163,AssociatedElements!B$2:B784,1,FALSE)),"Not used","")</f>
        <v/>
      </c>
      <c r="B163" s="11" t="inlineStr">
        <is>
          <t>thrust</t>
        </is>
      </c>
      <c r="C163" s="15" t="inlineStr">
        <is>
          <t>Thrust</t>
        </is>
      </c>
      <c r="D163" s="14" t="inlineStr">
        <is>
          <t>Thrust force required to advance the dilatometer to the test depth. This force is exclusive of soil or other friction along the push rods. This thrust is referred to as qd.</t>
        </is>
      </c>
      <c r="E163" s="15" t="inlineStr">
        <is>
          <t>double</t>
        </is>
      </c>
      <c r="F163" s="15" t="inlineStr">
        <is>
          <t>force</t>
        </is>
      </c>
    </row>
    <row r="164" ht="34" customHeight="1">
      <c r="A164" s="38">
        <f>IF(ISNA(VLOOKUP(B164,AssociatedElements!B$2:B785,1,FALSE)),"Not used","")</f>
        <v/>
      </c>
      <c r="B164" s="11" t="inlineStr">
        <is>
          <t>time</t>
        </is>
      </c>
      <c r="C164" s="15" t="inlineStr">
        <is>
          <t>Time</t>
        </is>
      </c>
      <c r="D164" s="14" t="inlineStr">
        <is>
          <t>Time instant of measurement</t>
        </is>
      </c>
      <c r="E164" s="15" t="inlineStr">
        <is>
          <t>time</t>
        </is>
      </c>
      <c r="F164" s="15" t="inlineStr">
        <is>
          <t>time</t>
        </is>
      </c>
    </row>
    <row r="165" ht="17" customHeight="1">
      <c r="A165" s="38">
        <f>IF(ISNA(VLOOKUP(B165,AssociatedElements!B$2:B786,1,FALSE)),"Not used","")</f>
        <v/>
      </c>
      <c r="B165" s="11" t="inlineStr">
        <is>
          <t>tip_resistance</t>
        </is>
      </c>
      <c r="C165" s="15" t="inlineStr">
        <is>
          <t>Tip Resistance</t>
        </is>
      </c>
      <c r="D165" s="14" t="inlineStr">
        <is>
          <t>A measure of stress measured at tip of cone during penetration</t>
        </is>
      </c>
      <c r="E165" s="15" t="inlineStr">
        <is>
          <t>double</t>
        </is>
      </c>
      <c r="F165" s="15" t="inlineStr">
        <is>
          <t>pressure</t>
        </is>
      </c>
    </row>
    <row r="166" ht="17" customHeight="1">
      <c r="A166" s="38">
        <f>IF(ISNA(VLOOKUP(B166,AssociatedElements!B$2:B787,1,FALSE)),"Not used","")</f>
        <v/>
      </c>
      <c r="B166" s="11" t="inlineStr">
        <is>
          <t>tip_resistance_corrected</t>
        </is>
      </c>
      <c r="C166" s="15" t="inlineStr">
        <is>
          <t>Corrected Tip Resistance</t>
        </is>
      </c>
      <c r="D166" s="14" t="inlineStr">
        <is>
          <t>Tip resistance corrected for u2 pore pressure measurement</t>
        </is>
      </c>
      <c r="E166" s="15" t="inlineStr">
        <is>
          <t>double</t>
        </is>
      </c>
      <c r="F166" s="15" t="inlineStr">
        <is>
          <t>pressure</t>
        </is>
      </c>
    </row>
    <row r="167" ht="17" customHeight="1">
      <c r="A167" s="38">
        <f>IF(ISNA(VLOOKUP(B167,AssociatedElements!B$2:B788,1,FALSE)),"Not used","")</f>
        <v/>
      </c>
      <c r="B167" s="38" t="inlineStr">
        <is>
          <t>torque</t>
        </is>
      </c>
      <c r="C167" s="24" t="inlineStr">
        <is>
          <t>Torque</t>
        </is>
      </c>
      <c r="D167" s="24" t="inlineStr">
        <is>
          <t>Torque: The rotational force applied by the drill rig.</t>
        </is>
      </c>
      <c r="E167" s="38" t="inlineStr">
        <is>
          <t>double</t>
        </is>
      </c>
      <c r="F167" s="38" t="inlineStr">
        <is>
          <t>moment of force</t>
        </is>
      </c>
    </row>
    <row r="168" ht="34" customHeight="1">
      <c r="A168" s="38">
        <f>IF(ISNA(VLOOKUP(B168,AssociatedElements!B$2:B789,1,FALSE)),"Not used","")</f>
        <v/>
      </c>
      <c r="B168" s="38" t="inlineStr">
        <is>
          <t>transducer_pressure</t>
        </is>
      </c>
      <c r="C168" s="38" t="inlineStr">
        <is>
          <t>Transducer Pressure</t>
        </is>
      </c>
      <c r="D168" s="31" t="inlineStr">
        <is>
          <t>Pressure measured with a transducer</t>
        </is>
      </c>
      <c r="E168" s="38" t="inlineStr">
        <is>
          <t>double</t>
        </is>
      </c>
      <c r="F168" s="38" t="inlineStr">
        <is>
          <t>pressure</t>
        </is>
      </c>
    </row>
    <row r="169" ht="68" customHeight="1">
      <c r="A169" s="38">
        <f>IF(ISNA(VLOOKUP(B169,AssociatedElements!B$2:B790,1,FALSE)),"Not used","")</f>
        <v/>
      </c>
      <c r="B169" s="11" t="inlineStr">
        <is>
          <t>u50</t>
        </is>
      </c>
      <c r="C169" s="15" t="inlineStr">
        <is>
          <t>U50</t>
        </is>
      </c>
      <c r="D169" s="14" t="inlineStr">
        <is>
          <t>Pore pressure midway between dynamic pore pressure and equilibrium pore pressure</t>
        </is>
      </c>
      <c r="E169" s="15" t="inlineStr">
        <is>
          <t>double</t>
        </is>
      </c>
      <c r="F169" s="15" t="inlineStr">
        <is>
          <t>pressure</t>
        </is>
      </c>
    </row>
    <row r="170" ht="51" customHeight="1">
      <c r="A170" s="38">
        <f>IF(ISNA(VLOOKUP(B170,AssociatedElements!B$2:B791,1,FALSE)),"Not used","")</f>
        <v/>
      </c>
      <c r="B170" s="38" t="inlineStr">
        <is>
          <t>uscs_group_name</t>
        </is>
      </c>
      <c r="C170" s="38" t="inlineStr">
        <is>
          <t>USCS Group Name</t>
        </is>
      </c>
      <c r="D170" s="38" t="inlineStr">
        <is>
          <t xml:space="preserve">The Unified Soil Classification group name, including any modifiers as defined in Figures 1,2 and 3 of ASTM D2487 or Figures 1 and 2 of ASTM D2488, eg "Silty sand" or "Gravelly silt with sand". </t>
        </is>
      </c>
      <c r="E170" s="38" t="inlineStr">
        <is>
          <t>string</t>
        </is>
      </c>
    </row>
    <row r="171" ht="34" customHeight="1">
      <c r="A171" s="38">
        <f>IF(ISNA(VLOOKUP(B171,AssociatedElements!B$2:B792,1,FALSE)),"Not used","")</f>
        <v/>
      </c>
      <c r="B171" s="11" t="inlineStr">
        <is>
          <t>uscs_symbol</t>
        </is>
      </c>
      <c r="C171" s="15" t="inlineStr">
        <is>
          <t>USCS Group Symbol</t>
        </is>
      </c>
      <c r="D171" s="14" t="inlineStr">
        <is>
          <t xml:space="preserve">The two-letter symbol of soil type of the Unified Soil Classification System, used in engineering and geology to describe the texture and grain size of a soil. </t>
        </is>
      </c>
      <c r="E171" s="15" t="inlineStr">
        <is>
          <t>string</t>
        </is>
      </c>
      <c r="F171" s="15" t="n"/>
    </row>
    <row r="172" ht="51" customHeight="1">
      <c r="A172" s="38">
        <f>IF(ISNA(VLOOKUP(B172,AssociatedElements!B$2:B793,1,FALSE)),"Not used","")</f>
        <v/>
      </c>
      <c r="B172" s="11" t="inlineStr">
        <is>
          <t>uscs_symbol_425</t>
        </is>
      </c>
      <c r="C172" s="15" t="inlineStr">
        <is>
          <t>USCS Symbol Passing 425 Screen</t>
        </is>
      </c>
      <c r="D172" s="14" t="inlineStr">
        <is>
          <t>The two letter symbol of soil type of the Unified Soil Classification System of material passing 425 micron screen</t>
        </is>
      </c>
      <c r="E172" s="15" t="inlineStr">
        <is>
          <t>string</t>
        </is>
      </c>
      <c r="F172" s="15" t="n"/>
    </row>
    <row r="173" ht="17" customHeight="1">
      <c r="A173" s="38">
        <f>IF(ISNA(VLOOKUP(B173,AssociatedElements!B$2:B794,1,FALSE)),"Not used","")</f>
        <v/>
      </c>
      <c r="B173" s="11" t="inlineStr">
        <is>
          <t>vertical_stress_total</t>
        </is>
      </c>
      <c r="C173" s="15" t="inlineStr">
        <is>
          <t>Total Vertical Stress</t>
        </is>
      </c>
      <c r="D173" s="14" t="inlineStr">
        <is>
          <t>Total vertical stress at the center of the membrane before the insertion of the DMT blade, generally calculated from unit weights estimated using the DMT results.</t>
        </is>
      </c>
      <c r="E173" s="15" t="inlineStr">
        <is>
          <t>double</t>
        </is>
      </c>
      <c r="F173" s="15" t="inlineStr">
        <is>
          <t>pressure</t>
        </is>
      </c>
    </row>
    <row r="174" ht="17" customHeight="1">
      <c r="A174" s="38">
        <f>IF(ISNA(VLOOKUP(B174,AssociatedElements!B$2:B795,1,FALSE)),"Not used","")</f>
        <v/>
      </c>
      <c r="B174" s="38" t="inlineStr">
        <is>
          <t>volume</t>
        </is>
      </c>
      <c r="C174" s="38" t="inlineStr">
        <is>
          <t>Volume</t>
        </is>
      </c>
      <c r="D174" s="38" t="inlineStr">
        <is>
          <t>The amount of material observed</t>
        </is>
      </c>
      <c r="E174" s="38" t="inlineStr">
        <is>
          <t>double</t>
        </is>
      </c>
      <c r="F174" s="38" t="inlineStr">
        <is>
          <t>volume</t>
        </is>
      </c>
    </row>
    <row r="175" ht="68" customHeight="1">
      <c r="A175" s="38">
        <f>IF(ISNA(VLOOKUP(B175,AssociatedElements!B$2:B796,1,FALSE)),"Not used","")</f>
        <v/>
      </c>
      <c r="B175" s="38" t="inlineStr">
        <is>
          <t>volume_loss</t>
        </is>
      </c>
      <c r="C175" s="24" t="inlineStr">
        <is>
          <t>Volume Loss</t>
        </is>
      </c>
      <c r="D175" s="24" t="inlineStr">
        <is>
          <t>The amount of volume reduced between observation steps</t>
        </is>
      </c>
      <c r="E175" s="38" t="inlineStr">
        <is>
          <t>double</t>
        </is>
      </c>
      <c r="F175" s="38" t="inlineStr">
        <is>
          <t>volume</t>
        </is>
      </c>
    </row>
    <row r="176" ht="17" customHeight="1">
      <c r="A176" s="38">
        <f>IF(ISNA(VLOOKUP(B176,AssociatedElements!B$2:B797,1,FALSE)),"Not used","")</f>
        <v/>
      </c>
      <c r="B176" s="11" t="inlineStr">
        <is>
          <t>volumetric_shrinkage</t>
        </is>
      </c>
      <c r="C176" s="15" t="inlineStr">
        <is>
          <t>Volumetric Shrinkage</t>
        </is>
      </c>
      <c r="D176" s="28" t="inlineStr">
        <is>
          <t>The decrease in volume of a soil mass when the water content is reduced from a given percentage to the shrinkage limit and which is expressed as percentage of dry volume of the soil mass.</t>
        </is>
      </c>
      <c r="E176" s="35" t="inlineStr">
        <is>
          <t>integer</t>
        </is>
      </c>
      <c r="F176" s="28" t="inlineStr">
        <is>
          <t>volume per volume</t>
        </is>
      </c>
      <c r="J176" s="38" t="inlineStr">
        <is>
          <t>x</t>
        </is>
      </c>
    </row>
    <row r="177" ht="68" customHeight="1">
      <c r="A177" s="38">
        <f>IF(ISNA(VLOOKUP(B177,AssociatedElements!B$2:B798,1,FALSE)),"Not used","")</f>
        <v/>
      </c>
      <c r="B177" s="11" t="inlineStr">
        <is>
          <t>washout_result</t>
        </is>
      </c>
      <c r="C177" s="15" t="inlineStr">
        <is>
          <t>Washout Result</t>
        </is>
      </c>
      <c r="D177" s="28" t="inlineStr">
        <is>
          <t>Descriptive result of a washout test</t>
        </is>
      </c>
      <c r="E177" s="35" t="inlineStr">
        <is>
          <t>string</t>
        </is>
      </c>
      <c r="F177" s="35" t="n"/>
    </row>
    <row r="178" ht="102" customHeight="1">
      <c r="A178" s="38">
        <f>IF(ISNA(VLOOKUP(B178,AssociatedElements!B$2:B799,1,FALSE)),"Not used","")</f>
        <v/>
      </c>
      <c r="B178" s="11" t="inlineStr">
        <is>
          <t>water_content_natural</t>
        </is>
      </c>
      <c r="C178" s="20" t="inlineStr">
        <is>
          <t>Natural Water Content</t>
        </is>
      </c>
      <c r="D178" s="36" t="inlineStr">
        <is>
          <t>Also referred to as moisture content, this is the mass of water divided by the mass of the solids, expressed as a percentage. Use of this parameter is for natural conditions. Determined in a laboratory or via sensor.</t>
        </is>
      </c>
      <c r="E178" s="35" t="inlineStr">
        <is>
          <t>double</t>
        </is>
      </c>
      <c r="F178" s="28" t="inlineStr">
        <is>
          <t>mass per mass</t>
        </is>
      </c>
      <c r="J178" s="38" t="inlineStr">
        <is>
          <t>x</t>
        </is>
      </c>
    </row>
    <row r="179" ht="34" customHeight="1">
      <c r="A179" s="38">
        <f>IF(ISNA(VLOOKUP(B179,AssociatedElements!B$2:B800,1,FALSE)),"Not used","")</f>
        <v/>
      </c>
      <c r="B179" s="11" t="inlineStr">
        <is>
          <t>water_content_optimum</t>
        </is>
      </c>
      <c r="C179" s="15" t="inlineStr">
        <is>
          <t>Optimum Water Content</t>
        </is>
      </c>
      <c r="D179" s="28" t="inlineStr">
        <is>
          <t xml:space="preserve">This is a result of a compaction test. It is defined as the moisture content at the maximum dry unit weight as measured when a specific type and amount of energy is used for the compaction test. This is also the value of the compaction moisture content when the soils achieves the maximum dry unit weight. </t>
        </is>
      </c>
      <c r="E179" s="35" t="inlineStr">
        <is>
          <t>double</t>
        </is>
      </c>
      <c r="F179" s="28" t="inlineStr">
        <is>
          <t>mass per mass</t>
        </is>
      </c>
      <c r="J179" s="38" t="inlineStr">
        <is>
          <t>x</t>
        </is>
      </c>
    </row>
    <row r="180" ht="34" customHeight="1">
      <c r="A180" s="38">
        <f>IF(ISNA(VLOOKUP(B180,AssociatedElements!B$2:B801,1,FALSE)),"Not used","")</f>
        <v/>
      </c>
      <c r="B180" s="11" t="inlineStr">
        <is>
          <t>water_depth</t>
        </is>
      </c>
      <c r="C180" s="11" t="inlineStr">
        <is>
          <t>Water Depth</t>
        </is>
      </c>
      <c r="D180" s="38" t="inlineStr">
        <is>
          <t>Measured depth to water below datum, typically directly observed or computed from a pressure transducer</t>
        </is>
      </c>
      <c r="E180" s="11" t="inlineStr">
        <is>
          <t>double</t>
        </is>
      </c>
      <c r="F180" s="11" t="inlineStr">
        <is>
          <t>length</t>
        </is>
      </c>
    </row>
    <row r="181" ht="34" customHeight="1">
      <c r="A181" s="38">
        <f>IF(ISNA(VLOOKUP(B181,AssociatedElements!B$2:B802,1,FALSE)),"Not used","")</f>
        <v/>
      </c>
      <c r="B181" s="11" t="inlineStr">
        <is>
          <t>water_elev</t>
        </is>
      </c>
      <c r="C181" s="11" t="inlineStr">
        <is>
          <t>Water Elevation</t>
        </is>
      </c>
      <c r="D181" s="38" t="inlineStr">
        <is>
          <t>Measured elevation of water level, typically directly observed or computed from a pressure transducer.</t>
        </is>
      </c>
      <c r="E181" s="11" t="inlineStr">
        <is>
          <t>double</t>
        </is>
      </c>
      <c r="F181" s="11" t="inlineStr">
        <is>
          <t>length</t>
        </is>
      </c>
    </row>
    <row r="182" ht="34" customHeight="1">
      <c r="A182" s="38">
        <f>IF(ISNA(VLOOKUP(B182,AssociatedElements!B$2:B803,1,FALSE)),"Not used","")</f>
        <v/>
      </c>
      <c r="B182" s="38" t="inlineStr">
        <is>
          <t>easily_oxidized_carbon</t>
        </is>
      </c>
      <c r="C182" s="38" t="inlineStr">
        <is>
          <t>Easily Oxidized Carbon</t>
        </is>
      </c>
      <c r="D182" s="38" t="inlineStr">
        <is>
          <t>Amount of carbon (as a percent) in a soil that is easily oxidized as defined in AASHTO Standard T 194.</t>
        </is>
      </c>
      <c r="E182" s="38" t="inlineStr">
        <is>
          <t>double</t>
        </is>
      </c>
      <c r="F182" s="38" t="inlineStr">
        <is>
          <t>mass per mass</t>
        </is>
      </c>
    </row>
    <row r="183" ht="34" customHeight="1">
      <c r="A183" s="38">
        <f>IF(ISNA(VLOOKUP(B183,AssociatedElements!B$2:B804,1,FALSE)),"Not used","")</f>
        <v/>
      </c>
      <c r="B183" s="38" t="inlineStr">
        <is>
          <t>total_carbon</t>
        </is>
      </c>
      <c r="C183" s="38" t="inlineStr">
        <is>
          <t>Total Carbon</t>
        </is>
      </c>
      <c r="D183" s="38" t="inlineStr">
        <is>
          <t>Amount of carbon in a soil (as a percent) as defined in AASHTO Standard T 194.</t>
        </is>
      </c>
      <c r="E183" s="38" t="inlineStr">
        <is>
          <t>double</t>
        </is>
      </c>
      <c r="F183" s="38" t="inlineStr">
        <is>
          <t>mass per mass</t>
        </is>
      </c>
    </row>
    <row r="184" ht="34" customHeight="1">
      <c r="A184" s="38">
        <f>IF(ISNA(VLOOKUP(B184,AssociatedElements!B$2:B805,1,FALSE)),"Not used","")</f>
        <v/>
      </c>
      <c r="B184" s="38" t="inlineStr">
        <is>
          <t>easily_oxidized_matter</t>
        </is>
      </c>
      <c r="C184" s="38" t="inlineStr">
        <is>
          <t>Easily Oxidized Organic Matter</t>
        </is>
      </c>
      <c r="D184" s="38" t="inlineStr">
        <is>
          <t>Amount of easily oxidized organic matter (as a percent) in a soil  as defined in AASHTO Standard T 194.</t>
        </is>
      </c>
      <c r="E184" s="38" t="inlineStr">
        <is>
          <t>double</t>
        </is>
      </c>
      <c r="F184" s="38" t="inlineStr">
        <is>
          <t>mass per mass</t>
        </is>
      </c>
    </row>
    <row r="185" ht="51" customHeight="1">
      <c r="A185" s="38">
        <f>IF(ISNA(VLOOKUP(B185,AssociatedElements!B$2:B806,1,FALSE)),"Not used","")</f>
        <v/>
      </c>
      <c r="B185" s="38" t="inlineStr">
        <is>
          <t>total_organic_matter</t>
        </is>
      </c>
      <c r="C185" s="38" t="inlineStr">
        <is>
          <t>Total Organic Matter</t>
        </is>
      </c>
      <c r="D185" s="38" t="inlineStr">
        <is>
          <t>Amount of organic matter (as a percent) in a soil as defined in AASHTO Standard T 194.</t>
        </is>
      </c>
      <c r="E185" s="38" t="inlineStr">
        <is>
          <t>double</t>
        </is>
      </c>
      <c r="F185" s="38" t="inlineStr">
        <is>
          <t>mass per mass</t>
        </is>
      </c>
    </row>
    <row r="186" ht="34" customHeight="1">
      <c r="A186" s="38">
        <f>IF(ISNA(VLOOKUP(B186,AssociatedElements!B$2:B807,1,FALSE)),"Not used","")</f>
        <v/>
      </c>
      <c r="B186" s="38" t="inlineStr">
        <is>
          <t>free_swell_value</t>
        </is>
      </c>
      <c r="C186" s="38" t="inlineStr">
        <is>
          <t>Free Swell Value</t>
        </is>
      </c>
      <c r="D186" s="38" t="inlineStr">
        <is>
          <t>Determined by a one-dimensional swell or collapse test, this is the swell strain corresponding to a vertical stress of 1 kPa (20 lbf/ft2).</t>
        </is>
      </c>
      <c r="E186" s="38" t="inlineStr">
        <is>
          <t>double</t>
        </is>
      </c>
      <c r="F186" s="38" t="inlineStr">
        <is>
          <t>length per length</t>
        </is>
      </c>
    </row>
    <row r="187" ht="51" customHeight="1">
      <c r="A187" s="38">
        <f>IF(ISNA(VLOOKUP(B187,AssociatedElements!B$2:B808,1,FALSE)),"Not used","")</f>
        <v/>
      </c>
      <c r="B187" s="38" t="inlineStr">
        <is>
          <t>swell_pressure</t>
        </is>
      </c>
      <c r="C187" s="38" t="inlineStr">
        <is>
          <t>Swell Pressure</t>
        </is>
      </c>
      <c r="D187" s="38" t="inlineStr">
        <is>
          <t>Determined by a one-dimensional swell or collapse test, this is stress corresponding to zero strain.</t>
        </is>
      </c>
      <c r="E187" s="38" t="inlineStr">
        <is>
          <t>double</t>
        </is>
      </c>
      <c r="F187" s="38" t="inlineStr">
        <is>
          <t>pressure</t>
        </is>
      </c>
    </row>
    <row r="188" ht="34" customHeight="1">
      <c r="A188" s="38">
        <f>IF(ISNA(VLOOKUP(B188,AssociatedElements!B$2:B809,1,FALSE)),"Not used","")</f>
        <v/>
      </c>
      <c r="B188" s="38" t="inlineStr">
        <is>
          <t>d_value</t>
        </is>
      </c>
      <c r="C188" s="38" t="inlineStr">
        <is>
          <t>D Value</t>
        </is>
      </c>
      <c r="D188" s="37" t="inlineStr">
        <is>
          <t>The rapid method equivalent of percent compaction; the comparison of in-place density to laboratory derived maximum density.</t>
        </is>
      </c>
      <c r="E188" s="38" t="inlineStr">
        <is>
          <t>double</t>
        </is>
      </c>
      <c r="F188" s="38" t="inlineStr">
        <is>
          <t>dimensionless</t>
        </is>
      </c>
    </row>
    <row r="189" ht="34" customHeight="1">
      <c r="A189" s="38">
        <f>IF(ISNA(VLOOKUP(B189,AssociatedElements!B$2:B810,1,FALSE)),"Not used","")</f>
        <v/>
      </c>
      <c r="B189" s="38" t="inlineStr">
        <is>
          <t>c_value</t>
        </is>
      </c>
      <c r="C189" s="38" t="inlineStr">
        <is>
          <t>C Value</t>
        </is>
      </c>
      <c r="D189" s="38" t="inlineStr">
        <is>
          <t>The comparison of field compactive effort to standard laboratory compactive effort.</t>
        </is>
      </c>
      <c r="E189" s="38" t="inlineStr">
        <is>
          <t>double</t>
        </is>
      </c>
      <c r="F189" s="38" t="inlineStr">
        <is>
          <t>dimensionless</t>
        </is>
      </c>
    </row>
    <row r="190" ht="34" customHeight="1">
      <c r="A190" s="38">
        <f>IF(ISNA(VLOOKUP(B190,AssociatedElements!B$2:B811,1,FALSE)),"Not used","")</f>
        <v/>
      </c>
      <c r="B190" s="38" t="inlineStr">
        <is>
          <t>water_content_difference</t>
        </is>
      </c>
      <c r="C190" s="38" t="inlineStr">
        <is>
          <t>Water Content Difference</t>
        </is>
      </c>
      <c r="D190" s="38" t="inlineStr">
        <is>
          <t>The difference in water content between the field and the optimum water content of a soil.</t>
        </is>
      </c>
      <c r="E190" s="38" t="inlineStr">
        <is>
          <t>double</t>
        </is>
      </c>
      <c r="F190" s="38" t="inlineStr">
        <is>
          <t>mass per mass</t>
        </is>
      </c>
    </row>
    <row r="191" ht="34" customHeight="1">
      <c r="A191" s="38">
        <f>IF(ISNA(VLOOKUP(B191,AssociatedElements!B$2:B812,1,FALSE)),"Not used","")</f>
        <v/>
      </c>
      <c r="B191" s="38" t="inlineStr">
        <is>
          <t>d84</t>
        </is>
      </c>
      <c r="C191" s="38" t="inlineStr">
        <is>
          <t>d84</t>
        </is>
      </c>
      <c r="D191" s="38" t="inlineStr">
        <is>
          <t>Grain diameter corresponding to 84 percent passing.  Intermediate value used to report other results.</t>
        </is>
      </c>
      <c r="E191" s="38" t="inlineStr">
        <is>
          <t>double</t>
        </is>
      </c>
      <c r="F191" s="38" t="inlineStr">
        <is>
          <t>length</t>
        </is>
      </c>
    </row>
    <row r="192" ht="34" customHeight="1">
      <c r="A192" s="38">
        <f>IF(ISNA(VLOOKUP(B192,AssociatedElements!B$2:B813,1,FALSE)),"Not used","")</f>
        <v/>
      </c>
      <c r="B192" s="38" t="inlineStr">
        <is>
          <t>d90</t>
        </is>
      </c>
      <c r="C192" s="38" t="inlineStr">
        <is>
          <t>d90</t>
        </is>
      </c>
      <c r="D192" s="38" t="inlineStr">
        <is>
          <t>Grain diameter corresponding to 90 percent passing.  Intermediate value used to report other results.</t>
        </is>
      </c>
      <c r="E192" s="38" t="inlineStr">
        <is>
          <t>double</t>
        </is>
      </c>
      <c r="F192" s="38" t="inlineStr">
        <is>
          <t>length</t>
        </is>
      </c>
    </row>
    <row r="193" ht="34" customHeight="1">
      <c r="A193" s="38">
        <f>IF(ISNA(VLOOKUP(B193,AssociatedElements!B$2:B814,1,FALSE)),"Not used","")</f>
        <v/>
      </c>
      <c r="B193" s="38" t="inlineStr">
        <is>
          <t>percent_coarse_gravel</t>
        </is>
      </c>
      <c r="C193" s="38" t="inlineStr">
        <is>
          <t>percent coarse gravel</t>
        </is>
      </c>
      <c r="D193" s="38" t="inlineStr">
        <is>
          <t>The percentage of particles that pass the 75 mm sieve and are retained on the 19mm sieve (&lt;75 mm and &gt;19mm).</t>
        </is>
      </c>
      <c r="E193" s="38" t="inlineStr">
        <is>
          <t>double</t>
        </is>
      </c>
      <c r="F193" s="38" t="inlineStr">
        <is>
          <t>mass per mass</t>
        </is>
      </c>
    </row>
    <row r="194" ht="34" customHeight="1">
      <c r="A194" s="38">
        <f>IF(ISNA(VLOOKUP(B194,AssociatedElements!B$2:B815,1,FALSE)),"Not used","")</f>
        <v/>
      </c>
      <c r="B194" s="38" t="inlineStr">
        <is>
          <t>percent_fine_gravel</t>
        </is>
      </c>
      <c r="C194" s="38" t="inlineStr">
        <is>
          <t>percent fine gravel</t>
        </is>
      </c>
      <c r="D194" s="38" t="inlineStr">
        <is>
          <t>The percentage of particles that pass the 19 mm sieve and are retained on the 4.75mm sieve (&lt;19 mm and &gt;4.75mm).</t>
        </is>
      </c>
      <c r="E194" s="38" t="inlineStr">
        <is>
          <t>double</t>
        </is>
      </c>
      <c r="F194" s="38" t="inlineStr">
        <is>
          <t>mass per mass</t>
        </is>
      </c>
    </row>
    <row r="195" ht="34" customHeight="1">
      <c r="A195" s="38">
        <f>IF(ISNA(VLOOKUP(B195,AssociatedElements!B$2:B816,1,FALSE)),"Not used","")</f>
        <v/>
      </c>
      <c r="B195" s="38" t="inlineStr">
        <is>
          <t>percent_coarse_sand</t>
        </is>
      </c>
      <c r="C195" s="38" t="inlineStr">
        <is>
          <t>percent coarse sand</t>
        </is>
      </c>
      <c r="D195" s="38" t="inlineStr">
        <is>
          <t>The percentage of particles thatpass the #4 sieve and are retained on the #10 sieve (&lt;4.75 mm and &gt;2 mm).</t>
        </is>
      </c>
      <c r="E195" s="38" t="inlineStr">
        <is>
          <t>double</t>
        </is>
      </c>
      <c r="F195" s="38" t="inlineStr">
        <is>
          <t>mass per mass</t>
        </is>
      </c>
    </row>
    <row r="196" ht="34" customHeight="1">
      <c r="A196" s="38">
        <f>IF(ISNA(VLOOKUP(B196,AssociatedElements!B$2:B817,1,FALSE)),"Not used","")</f>
        <v/>
      </c>
      <c r="B196" s="38" t="inlineStr">
        <is>
          <t>percent_medium_sand</t>
        </is>
      </c>
      <c r="C196" s="38" t="inlineStr">
        <is>
          <t>percent medium sand</t>
        </is>
      </c>
      <c r="D196" s="38" t="inlineStr">
        <is>
          <t>The percentage of particles thatpass the #10 sieve and are retained on the #40 sieve (&lt;2 mm and &gt;0.425 mm).</t>
        </is>
      </c>
      <c r="E196" s="38" t="inlineStr">
        <is>
          <t>double</t>
        </is>
      </c>
      <c r="F196" s="38" t="inlineStr">
        <is>
          <t>mass per mass</t>
        </is>
      </c>
    </row>
    <row r="197" ht="34" customHeight="1">
      <c r="A197" s="38">
        <f>IF(ISNA(VLOOKUP(B197,AssociatedElements!B$2:B818,1,FALSE)),"Not used","")</f>
        <v/>
      </c>
      <c r="B197" s="38" t="inlineStr">
        <is>
          <t>percent_fine_sand</t>
        </is>
      </c>
      <c r="C197" s="38" t="inlineStr">
        <is>
          <t>percent fine sand</t>
        </is>
      </c>
      <c r="D197" s="38" t="inlineStr">
        <is>
          <t>The percentage of particles thatpass the #40 sieve and are retained on the #200 sieve (&lt;0.425 mm and &gt;0.075 mm).</t>
        </is>
      </c>
      <c r="E197" s="38" t="inlineStr">
        <is>
          <t>double</t>
        </is>
      </c>
      <c r="F197" s="38" t="inlineStr">
        <is>
          <t>mass per mass</t>
        </is>
      </c>
    </row>
    <row r="198" ht="34" customHeight="1">
      <c r="A198" s="38">
        <f>IF(ISNA(VLOOKUP(B198,AssociatedElements!B$2:B819,1,FALSE)),"Not used","")</f>
        <v/>
      </c>
      <c r="B198" s="38" t="inlineStr">
        <is>
          <t>aashto_percent_gravel</t>
        </is>
      </c>
      <c r="C198" s="38" t="inlineStr">
        <is>
          <t>percent gravel aashto</t>
        </is>
      </c>
      <c r="D198" s="38" t="inlineStr">
        <is>
          <t>The percentage of particles that pass the 75mm sieve and are retained on the #10 sieve (&lt;75 mm and &gt;0.075 mm).</t>
        </is>
      </c>
      <c r="E198" s="38" t="inlineStr">
        <is>
          <t>double</t>
        </is>
      </c>
      <c r="F198" s="38" t="inlineStr">
        <is>
          <t>mass per mass</t>
        </is>
      </c>
    </row>
    <row r="199" ht="34" customHeight="1">
      <c r="A199" s="38">
        <f>IF(ISNA(VLOOKUP(B199,AssociatedElements!B$2:B820,1,FALSE)),"Not used","")</f>
        <v/>
      </c>
      <c r="B199" s="38" t="inlineStr">
        <is>
          <t>aashto_percent_coarse_sand</t>
        </is>
      </c>
      <c r="C199" s="38" t="inlineStr">
        <is>
          <t>percent coarse sand aashto</t>
        </is>
      </c>
      <c r="D199" s="38" t="inlineStr">
        <is>
          <t>The percentage of particles that pass the #10 sieve and are retained on the #40 sieve (&lt;2 mm and &gt;0.425 mm).</t>
        </is>
      </c>
      <c r="E199" s="38" t="inlineStr">
        <is>
          <t>double</t>
        </is>
      </c>
      <c r="F199" s="38" t="inlineStr">
        <is>
          <t>mass per mass</t>
        </is>
      </c>
    </row>
    <row r="200" ht="34" customHeight="1">
      <c r="A200" s="38">
        <f>IF(ISNA(VLOOKUP(B200,AssociatedElements!B$2:B821,1,FALSE)),"Not used","")</f>
        <v/>
      </c>
      <c r="B200" s="38" t="inlineStr">
        <is>
          <t>aashto_percent_fine_sand</t>
        </is>
      </c>
      <c r="C200" s="38" t="inlineStr">
        <is>
          <t>percent fine sand aashto</t>
        </is>
      </c>
      <c r="D200" s="38" t="inlineStr">
        <is>
          <t>The percentage of particles that pass the #40 sieve and are retained on the #200 sieve (&lt;0.425 mm and &gt;0.075 mm).</t>
        </is>
      </c>
      <c r="E200" s="38" t="inlineStr">
        <is>
          <t>double</t>
        </is>
      </c>
      <c r="F200" s="38" t="inlineStr">
        <is>
          <t>mass per mass</t>
        </is>
      </c>
    </row>
    <row r="201" ht="153" customHeight="1">
      <c r="A201" s="38">
        <f>IF(ISNA(VLOOKUP(B201,AssociatedElements!B$2:B822,1,FALSE)),"Not used","")</f>
        <v/>
      </c>
      <c r="B201" s="38" t="inlineStr">
        <is>
          <t>settlement</t>
        </is>
      </c>
      <c r="C201" s="38" t="inlineStr">
        <is>
          <t>Settlement</t>
        </is>
      </c>
      <c r="D201" s="38" t="inlineStr">
        <is>
          <t>Downward vertical displacement of a point on the ground surface, within the ground, or on a supported structure, measured against a stated datum and reference time. Positive downward. The single measured quantity behind post-construction settlement monitoring, the measured half of a measured-versus-predicted comparison, and the subject of a settlement acceptance criterion; its predicted counterpart is the typed diggs:PredictedSettlement object, which this does not duplicate.</t>
        </is>
      </c>
      <c r="E201" s="38" t="inlineStr">
        <is>
          <t>double</t>
        </is>
      </c>
      <c r="F201" s="38" t="inlineStr">
        <is>
          <t>length</t>
        </is>
      </c>
    </row>
    <row r="202" ht="102" customHeight="1">
      <c r="A202" s="38">
        <f>IF(ISNA(VLOOKUP(B202,AssociatedElements!B$2:B823,1,FALSE)),"Not used","")</f>
        <v/>
      </c>
      <c r="B202" s="38" t="inlineStr">
        <is>
          <t>differential_settlement</t>
        </is>
      </c>
      <c r="C202" s="38" t="inlineStr">
        <is>
          <t>Differential settlement</t>
        </is>
      </c>
      <c r="D202" s="38" t="inlineStr">
        <is>
          <t>The difference in settlement between two points, measured. The separation the difference is taken over is not part of this value: where a criterion expresses the limit as a gradient or angular distortion, the criterion's own basis and baseLength carry it, exactly as they do for the predicted form on diggs:DesignRITreatedAreaType.</t>
        </is>
      </c>
      <c r="E202" s="38" t="inlineStr">
        <is>
          <t>double</t>
        </is>
      </c>
      <c r="F202" s="38" t="inlineStr">
        <is>
          <t>length</t>
        </is>
      </c>
    </row>
    <row r="203" ht="136" customHeight="1">
      <c r="A203" s="38">
        <f>IF(ISNA(VLOOKUP(B203,AssociatedElements!B$2:B824,1,FALSE)),"Not used","")</f>
        <v/>
      </c>
      <c r="B203" s="38" t="inlineStr">
        <is>
          <t>settlement_reduction_ratio</t>
        </is>
      </c>
      <c r="C203" s="38" t="inlineStr">
        <is>
          <t>Settlement reduction ratio (measured)</t>
        </is>
      </c>
      <c r="D203" s="38" t="inlineStr">
        <is>
          <t>Measured settlement of the treated ground divided by the settlement of the equivalent untreated ground. The measured counterpart of diggs:DesignRITreatedAreaType/settlementEfficacy; which definition of the ratio is in use is stated by that design element's settlementEfficacyDefinition, since a measured value is only comparable against the prediction under the same definition.</t>
        </is>
      </c>
      <c r="E203" s="38" t="inlineStr">
        <is>
          <t>double</t>
        </is>
      </c>
      <c r="F203" s="38" t="inlineStr">
        <is>
          <t>dimensionless</t>
        </is>
      </c>
    </row>
    <row r="204" ht="102" customHeight="1">
      <c r="A204" s="38">
        <f>IF(ISNA(VLOOKUP(B204,AssociatedElements!B$2:B825,1,FALSE)),"Not used","")</f>
        <v/>
      </c>
      <c r="B204" s="38" t="inlineStr">
        <is>
          <t>pore_pressure</t>
        </is>
      </c>
      <c r="C204" s="38" t="inlineStr">
        <is>
          <t>Pore water pressure (monitored)</t>
        </is>
      </c>
      <c r="D204" s="38" t="inlineStr">
        <is>
          <t>Pore water pressure measured by an installed piezometer over time. Deliberately distinct from the pore_pressure_u1/_u2/_u3 and pore_pressure_est/_equil entries in this dictionary, all of which are cone-penetration dissipation-stage labels tied to a transducer position on a CPT tip and meaningless for a standalone instrument.</t>
        </is>
      </c>
      <c r="E204" s="38" t="inlineStr">
        <is>
          <t>double</t>
        </is>
      </c>
      <c r="F204" s="38" t="inlineStr">
        <is>
          <t>pressure</t>
        </is>
      </c>
    </row>
    <row r="205" ht="85" customHeight="1">
      <c r="A205" s="38">
        <f>IF(ISNA(VLOOKUP(B205,AssociatedElements!B$2:B826,1,FALSE)),"Not used","")</f>
        <v/>
      </c>
      <c r="B205" s="38" t="inlineStr">
        <is>
          <t>reinforcement_load_fraction</t>
        </is>
      </c>
      <c r="C205" s="38" t="inlineStr">
        <is>
          <t>Reinforcement load fraction</t>
        </is>
      </c>
      <c r="D205" s="38" t="inlineStr">
        <is>
          <t>The fraction of total applied load carried by the reinforcement rather than by the surrounding soil. Dimensionless, 0 to 1. Named by a diggs:PerformanceCriterion stating a minimum, which is how a design requirement on load sharing is expressed.</t>
        </is>
      </c>
      <c r="E205" s="38" t="inlineStr">
        <is>
          <t>double</t>
        </is>
      </c>
      <c r="F205" s="38" t="inlineStr">
        <is>
          <t>dimensionless</t>
        </is>
      </c>
    </row>
    <row r="206" ht="102" customHeight="1">
      <c r="A206" s="38">
        <f>IF(ISNA(VLOOKUP(B206,AssociatedElements!B$2:B827,1,FALSE)),"Not used","")</f>
        <v/>
      </c>
      <c r="B206" s="38" t="inlineStr">
        <is>
          <t>critical_creep_load</t>
        </is>
      </c>
      <c r="C206" s="38" t="inlineStr">
        <is>
          <t>Critical Creep Load</t>
        </is>
      </c>
      <c r="D206" s="38" t="inlineStr">
        <is>
          <t>The load at which the rate of settlement under sustained load becomes unacceptably large - conventionally the load level above which the rate of creep settlement increases sharply with each load increment, taken from a static load test loading schedule that includes sustained-load (creep) readings at one or more increments. A result of diggs:StaticLoadTest.</t>
        </is>
      </c>
      <c r="E206" s="38" t="inlineStr">
        <is>
          <t>double</t>
        </is>
      </c>
      <c r="F206" s="38" t="inlineStr">
        <is>
          <t>force</t>
        </is>
      </c>
    </row>
    <row r="207" ht="68" customHeight="1">
      <c r="A207" s="38">
        <f>IF(ISNA(VLOOKUP(B207,AssociatedElements!B$2:B828,1,FALSE)),"Not used","")</f>
        <v/>
      </c>
      <c r="B207" s="38" t="inlineStr">
        <is>
          <t>modulus_of_subgrade_reaction</t>
        </is>
      </c>
      <c r="C207" s="38" t="inlineStr">
        <is>
          <t>Modulus of Subgrade Reaction</t>
        </is>
      </c>
      <c r="D207" s="38" t="inlineStr">
        <is>
          <t>The ratio of applied bearing pressure to plate settlement (k) derived from a plate-bearing load test - ASTM D1195/D1196's characteristic output. Force per unit volume (pressure/deflection), reported in units such as kN/m3 or pci.</t>
        </is>
      </c>
      <c r="E207" s="38" t="inlineStr">
        <is>
          <t>double</t>
        </is>
      </c>
      <c r="F207" s="38" t="inlineStr">
        <is>
          <t>force per volume</t>
        </is>
      </c>
    </row>
    <row r="208" ht="85" customHeight="1">
      <c r="A208" s="38">
        <f>IF(ISNA(VLOOKUP(B208,AssociatedElements!B$2:B829,1,FALSE)),"Not used","")</f>
        <v/>
      </c>
      <c r="B208" s="38" t="inlineStr">
        <is>
          <t>deformation_modulus_first_load</t>
        </is>
      </c>
      <c r="C208" s="38" t="inlineStr">
        <is>
          <t>Deformation Modulus, First Load (Ev1)</t>
        </is>
      </c>
      <c r="D208" s="38" t="inlineStr">
        <is>
          <t>The deformation modulus derived from the load-settlement curve of the FIRST loading cycle of a two-cycle plate-bearing load test, per DIN 18134. Reflects the initial condition of the ground or platform material, including particle rearrangement and closure of air voids.</t>
        </is>
      </c>
      <c r="E208" s="38" t="inlineStr">
        <is>
          <t>double</t>
        </is>
      </c>
      <c r="F208" s="38" t="inlineStr">
        <is>
          <t>pressure</t>
        </is>
      </c>
    </row>
    <row r="209" ht="119" customHeight="1">
      <c r="A209" s="38">
        <f>IF(ISNA(VLOOKUP(B209,AssociatedElements!B$2:B830,1,FALSE)),"Not used","")</f>
        <v/>
      </c>
      <c r="B209" s="38" t="inlineStr">
        <is>
          <t>deformation_modulus_second_load</t>
        </is>
      </c>
      <c r="C209" s="38" t="inlineStr">
        <is>
          <t>Deformation Modulus, Second Load (Ev2)</t>
        </is>
      </c>
      <c r="D209" s="38" t="inlineStr">
        <is>
          <t>The deformation modulus derived from the load-settlement curve of the SECOND loading cycle of a two-cycle plate-bearing load test, per DIN 18134. Primarily reflects the repeatable elastic behaviour of the ground or platform material after the first cycle's initial compression. The ratio Ev2/Ev1 (see #deformation_modulus_first_load) is DIN 18134's own reported indicator of the degree of compaction achieved.</t>
        </is>
      </c>
      <c r="E209" s="38" t="inlineStr">
        <is>
          <t>double</t>
        </is>
      </c>
      <c r="F209" s="38" t="inlineStr">
        <is>
          <t>pressure</t>
        </is>
      </c>
    </row>
    <row r="210" ht="102" customHeight="1">
      <c r="A210" s="38">
        <f>IF(ISNA(VLOOKUP(B210,AssociatedElements!B$2:B831,1,FALSE)),"Not used","")</f>
        <v/>
      </c>
      <c r="B210" s="38" t="inlineStr">
        <is>
          <t>defect_depth</t>
        </is>
      </c>
      <c r="C210" s="38" t="inlineStr">
        <is>
          <t>Defect Depth</t>
        </is>
      </c>
      <c r="D210" s="38" t="inlineStr">
        <is>
          <t>The depth from the pile/element head to an interpreted discontinuity, void, necking, or other change in cross-section identified from a low-strain integrity test record. Absent where the test found no defect and the reflection at the recorded travel time is interpreted as the pile toe instead. A result of diggs:LowStrainIntegrityTest.</t>
        </is>
      </c>
      <c r="E210" s="38" t="inlineStr">
        <is>
          <t>double</t>
        </is>
      </c>
      <c r="F210" s="38" t="inlineStr">
        <is>
          <t>length</t>
        </is>
      </c>
    </row>
    <row r="211" ht="119" customHeight="1">
      <c r="A211" s="38">
        <f>IF(ISNA(VLOOKUP(B211,AssociatedElements!B$2:B832,1,FALSE)),"Not used","")</f>
        <v/>
      </c>
      <c r="B211" s="38" t="inlineStr">
        <is>
          <t>effective_radius</t>
        </is>
      </c>
      <c r="C211" s="38" t="inlineStr">
        <is>
          <t>Effective Radius</t>
        </is>
      </c>
      <c r="D211" s="38" t="inlineStr">
        <is>
          <t>The as-built effective radius (or equivalent cross-sectional dimension) at a given depth, interpreted from a thermal integrity profiling temperature record by comparing the measured heat signature against the response expected for the design cross-section - a reduction indicates necking or a concrete deficiency, an increase indicates bulging. A result of diggs:ThermalIntegrityProfiling.</t>
        </is>
      </c>
      <c r="E211" s="38" t="inlineStr">
        <is>
          <t>double</t>
        </is>
      </c>
      <c r="F211" s="38" t="inlineStr">
        <is>
          <t>length</t>
        </is>
      </c>
    </row>
    <row r="212" ht="85" customHeight="1">
      <c r="A212" s="38">
        <f>IF(ISNA(VLOOKUP(B212,AssociatedElements!B$2:B833,1,FALSE)),"Not used","")</f>
        <v/>
      </c>
      <c r="B212" s="38" t="inlineStr">
        <is>
          <t>lateral_deflection</t>
        </is>
      </c>
      <c r="C212" s="38" t="inlineStr">
        <is>
          <t>Lateral Deflection</t>
        </is>
      </c>
      <c r="D212" s="38" t="inlineStr">
        <is>
          <t>Horizontal displacement of the load application point (or another stated gauge point) on a deep foundation element under a static lateral load test, measured against a stated datum. Distinct from properties.xml#settlement, which is explicitly vertical. A result of diggs:LateralLoadTest.</t>
        </is>
      </c>
      <c r="E212" s="38" t="inlineStr">
        <is>
          <t>double</t>
        </is>
      </c>
      <c r="F212" s="38" t="inlineStr">
        <is>
          <t>length</t>
        </is>
      </c>
    </row>
    <row r="213" ht="153" customHeight="1">
      <c r="A213" s="38">
        <f>IF(ISNA(VLOOKUP(B213,AssociatedElements!B$2:B834,1,FALSE)),"Not used","")</f>
        <v/>
      </c>
      <c r="B213" s="38" t="inlineStr">
        <is>
          <t>magnesium_content</t>
        </is>
      </c>
      <c r="C213" s="38" t="inlineStr">
        <is>
          <t>Magnesium Content</t>
        </is>
      </c>
      <c r="D213" s="38" t="inlineStr">
        <is>
          <t>Magnesium content by lab testing (corrosivity series). Completes the chemistry set the ground-aggressivity classifications are derived from: EN 206 grades chemical attack partly on magnesium ion content, and BS 8500 derives its ACEC class from sulfate AND magnesium together via BRE Special Digest 1, so an exposureClassification could be stated without the measurement that justifies it. Added at R10 from the Jazera project record (GBL-24136), which reports 571-954 ppm alongside its sulfate, chloride and pH results. USE THIS ENTRY WHEN THE SOURCE DOES NOT STATE THE EXTRACTION BASIS, as that record does not; where it is known to be the water-soluble determination of BS 1377-3 Clause 10, prefer magnesium_water_soluble instead.</t>
        </is>
      </c>
      <c r="E213" s="38" t="inlineStr">
        <is>
          <t>double</t>
        </is>
      </c>
      <c r="F213" s="38" t="inlineStr">
        <is>
          <t>mass per mass</t>
        </is>
      </c>
    </row>
    <row r="214">
      <c r="A214">
        <f>IF(ISNA(VLOOKUP(B214,AssociatedElements!B$2:B850,1,FALSE)),"Not used","")</f>
        <v/>
      </c>
      <c r="B214" t="inlineStr">
        <is>
          <t>cbr</t>
        </is>
      </c>
      <c r="C214" t="inlineStr">
        <is>
          <t>California Bearing Ratio</t>
        </is>
      </c>
      <c r="D214" t="inlineStr">
        <is>
          <t>California Bearing Ratio (CBR), expressed as a percentage, of the measured pressure required to achieve a given penetration into a soil specimen divided by the pressure required to achieve the same penetration on a standard crushed rock material. This generic term carries no built-in compaction, density, or soaking condition - use it together with a qualifier property (eg. percent of maximum dry density, soaking condition) to state the specific condition this value was determined under. Where a common condition applies, prefer the corresponding named term instead (eg. #cbr_at_95_pct_mdd).</t>
        </is>
      </c>
      <c r="E214" t="inlineStr">
        <is>
          <t>double</t>
        </is>
      </c>
      <c r="F214" t="inlineStr">
        <is>
          <t>pressure per pressure</t>
        </is>
      </c>
    </row>
    <row r="215">
      <c r="A215">
        <f>IF(ISNA(VLOOKUP(B215,AssociatedElements!B$2:B850,1,FALSE)),"Not used","")</f>
        <v/>
      </c>
      <c r="B215" t="inlineStr">
        <is>
          <t>cbr_at_95_pct_mdd</t>
        </is>
      </c>
      <c r="C215" t="inlineStr">
        <is>
          <t>CBR at 95% Maximum Dry Density</t>
        </is>
      </c>
      <c r="D215" t="inlineStr">
        <is>
          <t>California Bearing Ratio (CBR), expressed as a percentage, interpolated at 95% of the maximum dry density (MDD) established by an associated compaction test (eg. ASTM D1557, Modified Proctor), from a series of specimens compacted at different efforts and, where soaking is specified by the test method, soaked prior to penetration testing.</t>
        </is>
      </c>
      <c r="E215" t="inlineStr">
        <is>
          <t>double</t>
        </is>
      </c>
      <c r="F215" t="inlineStr">
        <is>
          <t>pressure per pressure</t>
        </is>
      </c>
    </row>
    <row r="216">
      <c r="A216">
        <f>IF(ISNA(VLOOKUP(B216,AssociatedElements!B$2:B850,1,FALSE)),"Not used","")</f>
        <v/>
      </c>
      <c r="B216" t="inlineStr">
        <is>
          <t>cbr_at_90_pct_mdd</t>
        </is>
      </c>
      <c r="C216" t="inlineStr">
        <is>
          <t>CBR at 90% Maximum Dry Density</t>
        </is>
      </c>
      <c r="D216" t="inlineStr">
        <is>
          <t>California Bearing Ratio (CBR), expressed as a percentage, interpolated at 90% of the maximum dry density (MDD) established by an associated compaction test (eg. ASTM D1557, Modified Proctor), from a series of specimens compacted at different efforts and, where soaking is specified by the test method, soaked prior to penetration testing.</t>
        </is>
      </c>
      <c r="E216" t="inlineStr">
        <is>
          <t>double</t>
        </is>
      </c>
      <c r="F216" t="inlineStr">
        <is>
          <t>pressure per pressure</t>
        </is>
      </c>
    </row>
    <row r="217">
      <c r="A217">
        <f>IF(ISNA(VLOOKUP(B217,AssociatedElements!B$2:B850,1,FALSE)),"Not used","")</f>
        <v/>
      </c>
      <c r="B217" t="inlineStr">
        <is>
          <t>cbr_at_98_100_pct_mdd</t>
        </is>
      </c>
      <c r="C217" t="inlineStr">
        <is>
          <t>CBR at 98-100% Maximum Dry Density</t>
        </is>
      </c>
      <c r="D217" t="inlineStr">
        <is>
          <t>California Bearing Ratio (CBR), expressed as a percentage, interpolated over the 98-100% band of the maximum dry density (MDD) established by an associated compaction test (eg. ASTM D1557, Modified Proctor), from a series of specimens compacted at different efforts and, where soaking is specified by the test method, soaked prior to penetration testing.</t>
        </is>
      </c>
      <c r="E217" t="inlineStr">
        <is>
          <t>double</t>
        </is>
      </c>
      <c r="F217" t="inlineStr">
        <is>
          <t>pressure per pressure</t>
        </is>
      </c>
    </row>
    <row r="218">
      <c r="A218">
        <f>IF(ISNA(VLOOKUP(B218,AssociatedElements!B$2:B850,1,FALSE)),"Not used","")</f>
        <v/>
      </c>
      <c r="B218" t="inlineStr">
        <is>
          <t>cbr_as_compacted</t>
        </is>
      </c>
      <c r="C218" t="inlineStr">
        <is>
          <t>CBR As Compacted (Unsoaked)</t>
        </is>
      </c>
      <c r="D218" t="inlineStr">
        <is>
          <t>California Bearing Ratio (CBR), expressed as a percentage, of a specimen tested at its as-compacted (100% of maximum dry density) density and moisture content without soaking, representing as-built or short-term strength rather than the soaked design condition standard test methods normally specify.</t>
        </is>
      </c>
      <c r="E218" t="inlineStr">
        <is>
          <t>double</t>
        </is>
      </c>
      <c r="F218" t="inlineStr">
        <is>
          <t>pressure per pressure</t>
        </is>
      </c>
    </row>
    <row r="219">
      <c r="A219">
        <f>IF(ISNA(VLOOKUP(B219,AssociatedElements!B$2:B850,1,FALSE)),"Not used","")</f>
        <v/>
      </c>
      <c r="B219" t="inlineStr">
        <is>
          <t>apparent_resistivity_min</t>
        </is>
      </c>
      <c r="C219" t="inlineStr">
        <is>
          <t>Minimum Apparent Resistivity</t>
        </is>
      </c>
      <c r="D219" t="inlineStr">
        <is>
          <t>The minimum apparent resistivity value among the readings taken during an in-situ electrical resistivity test at a station, used together with the maximum apparent resistivity to characterize the resistivity range for a corrosivity classification (eg. Palmer, 1974).</t>
        </is>
      </c>
      <c r="E219" t="inlineStr">
        <is>
          <t>double</t>
        </is>
      </c>
      <c r="F219" t="inlineStr">
        <is>
          <t>electrical resistivity</t>
        </is>
      </c>
    </row>
    <row r="220">
      <c r="A220">
        <f>IF(ISNA(VLOOKUP(B220,AssociatedElements!B$2:B850,1,FALSE)),"Not used","")</f>
        <v/>
      </c>
      <c r="B220" t="inlineStr">
        <is>
          <t>apparent_resistivity_max</t>
        </is>
      </c>
      <c r="C220" t="inlineStr">
        <is>
          <t>Maximum Apparent Resistivity</t>
        </is>
      </c>
      <c r="D220" t="inlineStr">
        <is>
          <t>The maximum apparent resistivity value among the readings taken during an in-situ electrical resistivity test at a station, used together with the minimum apparent resistivity to characterize the resistivity range for a corrosivity classification (eg. Palmer, 1974).</t>
        </is>
      </c>
      <c r="E220" t="inlineStr">
        <is>
          <t>double</t>
        </is>
      </c>
      <c r="F220" t="inlineStr">
        <is>
          <t>electrical resistivity</t>
        </is>
      </c>
    </row>
    <row r="221">
      <c r="A221">
        <f>IF(ISNA(VLOOKUP(B221,AssociatedElements!B$2:B850,1,FALSE)),"Not used","")</f>
        <v/>
      </c>
      <c r="B221" t="inlineStr">
        <is>
          <t>corrosivity_classification_palmer</t>
        </is>
      </c>
      <c r="C221" t="inlineStr">
        <is>
          <t>Corrosivity Classification (Palmer, 1974)</t>
        </is>
      </c>
      <c r="D221" t="inlineStr">
        <is>
          <t>A qualitative soil corrosivity rating for buried metal, assigned from the apparent resistivity range measured by an in-situ electrical resistivity test according to the correlation published by Palmer (1974): 0-10 ohm.m Very Severe, 11-20 Severe, 21-50 Moderate, 51-100 Mild, 101+ Very Mild.</t>
        </is>
      </c>
      <c r="E221" t="inlineStr">
        <is>
          <t>string</t>
        </is>
      </c>
      <c r="G221" t="inlineStr">
        <is>
          <t>J.D. Palmer</t>
        </is>
      </c>
      <c r="H221" t="inlineStr">
        <is>
          <t>Palmer, J.D. (1974). Soil Resistivity - Measurement and Analysis. Material Performance, Vol. 13.</t>
        </is>
      </c>
    </row>
    <row r="222">
      <c r="B222" t="inlineStr">
        <is>
          <t>thermal_conductivity</t>
        </is>
      </c>
      <c r="C222" t="inlineStr">
        <is>
          <t>Thermal Conductivity</t>
        </is>
      </c>
      <c r="D222" t="inlineStr">
        <is>
          <t>A material's ability to conduct heat, determined for soil or soft rock by the thermal needle probe method (ASTM D5334, IEEE Std 442).</t>
        </is>
      </c>
      <c r="E222" t="inlineStr">
        <is>
          <t>double</t>
        </is>
      </c>
      <c r="F222" t="inlineStr">
        <is>
          <t>thermal conductivity</t>
        </is>
      </c>
    </row>
    <row r="223">
      <c r="B223" t="inlineStr">
        <is>
          <t>thermal_resistivity</t>
        </is>
      </c>
      <c r="C223" t="inlineStr">
        <is>
          <t>Thermal Resistivity</t>
        </is>
      </c>
      <c r="D223" t="inlineStr">
        <is>
          <t>The reciprocal of thermal conductivity - a material's opposition to heat flow per unit length - determined for soil or soft rock by the thermal needle probe method (ASTM D5334, IEEE Std 442).</t>
        </is>
      </c>
      <c r="E223" t="inlineStr">
        <is>
          <t>double</t>
        </is>
      </c>
      <c r="F223" t="inlineStr">
        <is>
          <t>thermal resistivity</t>
        </is>
      </c>
    </row>
    <row r="224">
      <c r="B224" t="inlineStr">
        <is>
          <t>sulfate_water_soluble</t>
        </is>
      </c>
      <c r="C224" t="inlineStr">
        <is>
          <t>Sulfate Content, Water-Soluble</t>
        </is>
      </c>
      <c r="D224" t="inlineStr">
        <is>
          <t>Water-soluble sulfate content of soil or groundwater - the fraction released by a water extract, conventionally the 2:1 water:soil extract of BS 1377-3 Clause 7, and the quantity determined by ASTM C1580 and AASHTO T 290. Use in preference to the generic sulfate_content whenever the source states that the determination was water-soluble. Distinguish from sulfate_acid_soluble: the two can differ by an order of magnitude on the same material, and BS 8500 / BRE Special Digest 1 ACEC classification depends on which was measured.</t>
        </is>
      </c>
      <c r="E224" t="inlineStr">
        <is>
          <t>double</t>
        </is>
      </c>
      <c r="F224" t="inlineStr">
        <is>
          <t>mass per mass</t>
        </is>
      </c>
    </row>
    <row r="225">
      <c r="B225" t="inlineStr">
        <is>
          <t>sulfate_acid_soluble</t>
        </is>
      </c>
      <c r="C225" t="inlineStr">
        <is>
          <t>Sulfate Content, Acid-Soluble</t>
        </is>
      </c>
      <c r="D225" t="inlineStr">
        <is>
          <t>Acid-soluble sulfate content of soil - the fraction released by acid digestion, per BS 1377-3 Clause 7, and generally the larger of the two determinations because it mobilises sparingly-soluble sulfate minerals such as gypsum that a water extract leaves behind. Use in preference to the generic sulfate_content whenever the source states that the determination was acid-soluble. Distinct again from total sulfur and from the sulfide determinations of the same clause, which are different analytes rather than different extractions.</t>
        </is>
      </c>
      <c r="E225" t="inlineStr">
        <is>
          <t>double</t>
        </is>
      </c>
      <c r="F225" t="inlineStr">
        <is>
          <t>mass per mass</t>
        </is>
      </c>
    </row>
    <row r="226">
      <c r="B226" t="inlineStr">
        <is>
          <t>chloride_water_soluble</t>
        </is>
      </c>
      <c r="C226" t="inlineStr">
        <is>
          <t>Chloride Content, Water-Soluble</t>
        </is>
      </c>
      <c r="D226" t="inlineStr">
        <is>
          <t>Water-soluble chloride content of soil or groundwater - the fraction released by a water extract, per BS 1377-3 Clause 9 and AASHTO T 291. Use in preference to the generic chloride_content whenever the source states that the determination was water-soluble.</t>
        </is>
      </c>
      <c r="E226" t="inlineStr">
        <is>
          <t>double</t>
        </is>
      </c>
      <c r="F226" t="inlineStr">
        <is>
          <t>mass per mass</t>
        </is>
      </c>
    </row>
    <row r="227">
      <c r="B227" t="inlineStr">
        <is>
          <t>chloride_acid_soluble</t>
        </is>
      </c>
      <c r="C227" t="inlineStr">
        <is>
          <t>Chloride Content, Acid-Soluble</t>
        </is>
      </c>
      <c r="D227" t="inlineStr">
        <is>
          <t>Acid-soluble chloride content of soil - the fraction released by acid digestion, per BS 1377-3 Clause 9. Use in preference to the generic chloride_content whenever the source states that the determination was acid-soluble.</t>
        </is>
      </c>
      <c r="E227" t="inlineStr">
        <is>
          <t>double</t>
        </is>
      </c>
      <c r="F227" t="inlineStr">
        <is>
          <t>mass per mass</t>
        </is>
      </c>
    </row>
    <row r="228">
      <c r="B228" t="inlineStr">
        <is>
          <t>magnesium_water_soluble</t>
        </is>
      </c>
      <c r="C228" t="inlineStr">
        <is>
          <t>Magnesium Content, Water-Soluble</t>
        </is>
      </c>
      <c r="D228" t="inlineStr">
        <is>
          <t>Water-soluble magnesium content of soil or groundwater, per BS 1377-3 Clause 10 - which specifies the water-soluble determination only, so for magnesium this is the basis a BS 1377-3 result will normally be on even when the report does not say so. Use in preference to the generic magnesium_content whenever the source confirms it. Magnesium matters because BS 8500 derives its ACEC class from sulfate and magnesium together via BRE Special Digest 1, and EN 206 grades chemical attack partly on magnesium ion content.</t>
        </is>
      </c>
      <c r="E228" t="inlineStr">
        <is>
          <t>double</t>
        </is>
      </c>
      <c r="F228" t="inlineStr">
        <is>
          <t>mass per mass</t>
        </is>
      </c>
    </row>
    <row r="229">
      <c r="B229" t="inlineStr">
        <is>
          <t>total_organic_carbon</t>
        </is>
      </c>
      <c r="C229" t="inlineStr">
        <is>
          <t>Total Organic Carbon</t>
        </is>
      </c>
      <c r="D229" t="inlineStr">
        <is>
          <t>Total organic carbon (TOC) content of soil, per BS 1377-3 Clause 5 - the carbon held in organic compounds, determined after removing carbonate carbon. Distinct from total_carbon and easily_oxidized_carbon, which are the AASHTO T 194 wet-combustion determinations bound to OrganicMatterByWetCombustionTest, and distinct again from LOI (loss on ignition, Clause 6) and total_organic_matter, which measure organic MATTER rather than the carbon within it.</t>
        </is>
      </c>
      <c r="E229" t="inlineStr">
        <is>
          <t>double</t>
        </is>
      </c>
      <c r="F229" t="inlineStr">
        <is>
          <t>mass per mass</t>
        </is>
      </c>
    </row>
    <row r="230">
      <c r="B230" t="inlineStr">
        <is>
          <t>carbonate_content</t>
        </is>
      </c>
      <c r="C230" t="inlineStr">
        <is>
          <t>Carbonate Content</t>
        </is>
      </c>
      <c r="D230" t="inlineStr">
        <is>
          <t>Carbonate content of soil, per BS 1377-3 Clause 8, usually expressed as equivalent calcium carbonate. Relevant both to ground aggressivity - carbonate buffers acidity and moderates the pH a corrosion assessment reads - and to the identification of calcareous and cemented soils. The Jazera site's sabkha and calcareous sands are exactly the materials for which this is normally reported, though this determination is not in the project record.</t>
        </is>
      </c>
      <c r="E230" t="inlineStr">
        <is>
          <t>double</t>
        </is>
      </c>
      <c r="F230" t="inlineStr">
        <is>
          <t>mass per mass</t>
        </is>
      </c>
    </row>
    <row r="231">
      <c r="B231" t="inlineStr">
        <is>
          <t>total_sulfur</t>
        </is>
      </c>
      <c r="C231" t="inlineStr">
        <is>
          <t>Total Sulfur</t>
        </is>
      </c>
      <c r="D231" t="inlineStr">
        <is>
          <t>Total sulfur content of soil, per BS 1377-3 Clause 7 - all sulfur present, in every oxidation state, not only that recoverable as sulfate. The upper bound on sulfate that could develop if reduced sulfur compounds oxidise, which is why it is reported for pyritic and sabkha ground. A DIFFERENT ANALYTE from sulfate_content and its water- and acid-soluble variants, not another extraction of the same one.</t>
        </is>
      </c>
      <c r="E231" t="inlineStr">
        <is>
          <t>double</t>
        </is>
      </c>
      <c r="F231" t="inlineStr">
        <is>
          <t>mass per mass</t>
        </is>
      </c>
    </row>
    <row r="232">
      <c r="B232" t="inlineStr">
        <is>
          <t>total_sulfide</t>
        </is>
      </c>
      <c r="C232" t="inlineStr">
        <is>
          <t>Total Sulfide</t>
        </is>
      </c>
      <c r="D232" t="inlineStr">
        <is>
          <t>Total sulfide content of soil, also called total reduced sulfur, per BS 1377-3 Clause 7 - sulfur held in reduced form, which on exposure to air can oxidise to sulfate and acidify the ground. Reported where pyrite or organic-rich anaerobic deposits are suspected. Distinct from sulfide_acid_soluble, which recovers only the monosulfide fraction.</t>
        </is>
      </c>
      <c r="E232" t="inlineStr">
        <is>
          <t>double</t>
        </is>
      </c>
      <c r="F232" t="inlineStr">
        <is>
          <t>mass per mass</t>
        </is>
      </c>
    </row>
    <row r="233">
      <c r="B233" t="inlineStr">
        <is>
          <t>sulfide_acid_soluble</t>
        </is>
      </c>
      <c r="C233" t="inlineStr">
        <is>
          <t>Sulfide Content, Acid-Soluble</t>
        </is>
      </c>
      <c r="D233" t="inlineStr">
        <is>
          <t>Acid-soluble sulfide content of soil - the monosulfide fraction released by acid digestion, per BS 1377-3 Clause 7. A subset of total_sulfide: it does not recover disulfides such as pyrite, so the two differ substantially in pyritic ground and should not be used interchangeably.</t>
        </is>
      </c>
      <c r="E233" t="inlineStr">
        <is>
          <t>double</t>
        </is>
      </c>
      <c r="F233" t="inlineStr">
        <is>
          <t>mass per mass</t>
        </is>
      </c>
    </row>
    <row r="234">
      <c r="B234" t="inlineStr">
        <is>
          <t>total_dissolved_solids</t>
        </is>
      </c>
      <c r="C234" t="inlineStr">
        <is>
          <t>Total Dissolved Solids</t>
        </is>
      </c>
      <c r="D234" t="inlineStr">
        <is>
          <t>Total dissolved solids (TDS) of groundwater, per BS 1377-3 Clause 11 - the mass of dissolved material remaining after evaporation of a filtered sample. A summary measure of groundwater salinity, read alongside the individual ion determinations (sulfate, chloride, magnesium) rather than in place of them.</t>
        </is>
      </c>
      <c r="E234" t="inlineStr">
        <is>
          <t>double</t>
        </is>
      </c>
      <c r="F234" t="inlineStr">
        <is>
          <t>mass per mass</t>
        </is>
      </c>
    </row>
    <row r="235">
      <c r="B235" t="inlineStr">
        <is>
          <t>bulk_unit_weight</t>
        </is>
      </c>
      <c r="C235" t="inlineStr">
        <is>
          <t>Unit Weight, Bulk (Natural)</t>
        </is>
      </c>
      <c r="D235" t="inlineStr">
        <is>
          <t xml:space="preserve"> Total weight (of solids and water) divided by total volume of material, representing natural conditions. Parallels bulk_density, but reported strictly as a force per volume (unit weight) rather than interchangeably as mass per volume.</t>
        </is>
      </c>
      <c r="E235" t="inlineStr">
        <is>
          <t>double</t>
        </is>
      </c>
      <c r="F235" t="inlineStr">
        <is>
          <t>force per volume</t>
        </is>
      </c>
    </row>
    <row r="236">
      <c r="B236" t="inlineStr">
        <is>
          <t>dry_unit_weight</t>
        </is>
      </c>
      <c r="C236" t="inlineStr">
        <is>
          <t>Unit Weight, Dry</t>
        </is>
      </c>
      <c r="D236" t="inlineStr">
        <is>
          <t xml:space="preserve"> Weight of solids divided by total volume. Parallels dry_density, but reported strictly as a force per volume (unit weight) rather than interchangeably as mass per volume.</t>
        </is>
      </c>
      <c r="E236" t="inlineStr">
        <is>
          <t>double</t>
        </is>
      </c>
      <c r="F236" t="inlineStr">
        <is>
          <t>force per volume</t>
        </is>
      </c>
    </row>
    <row r="237">
      <c r="B237" t="inlineStr">
        <is>
          <t>unit_weight_max</t>
        </is>
      </c>
      <c r="C237" t="inlineStr">
        <is>
          <t>Maximum Unit Weight</t>
        </is>
      </c>
      <c r="D237" t="inlineStr">
        <is>
          <t xml:space="preserve"> This is a result of a compaction test. It is defined as the maximum dry unit weight that is measured when a specific type and amount of energy is used for the compaction test. This is also the value of the compacted dry unit weight when the soil is at the optimum moisture content. Parallels dry_density_max, but reported strictly as a force per volume (unit weight) rather than interchangeably as mass per volume.</t>
        </is>
      </c>
      <c r="E237" t="inlineStr">
        <is>
          <t>double</t>
        </is>
      </c>
      <c r="F237" t="inlineStr">
        <is>
          <t>force per volume</t>
        </is>
      </c>
    </row>
    <row r="238">
      <c r="B238" t="inlineStr">
        <is>
          <t>maximum_axial_load</t>
        </is>
      </c>
      <c r="C238" t="inlineStr">
        <is>
          <t>Maximum axial load</t>
        </is>
      </c>
      <c r="D238" t="inlineStr">
        <is>
          <t>The maximum compressive force carried by a specimen during an unconfined compressive strength test - the force from which the compressive strength is calculated, as that force divided by the cross-sectional area of the specimen.</t>
        </is>
      </c>
      <c r="E238" t="inlineStr">
        <is>
          <t>double</t>
        </is>
      </c>
      <c r="F238" t="inlineStr">
        <is>
          <t>force</t>
        </is>
      </c>
      <c r="G238" t="inlineStr">
        <is>
          <t>DIGGS</t>
        </is>
      </c>
      <c r="H238" t="inlineStr">
        <is>
          <t>https://diggsml.org/def/registry/DIGGS/0/specifications.xml#astm_c39</t>
        </is>
      </c>
    </row>
    <row r="239">
      <c r="B239" t="inlineStr">
        <is>
          <t>deformation_modulus_e50</t>
        </is>
      </c>
      <c r="C239" t="inlineStr">
        <is>
          <t>Deformation modulus E50</t>
        </is>
      </c>
      <c r="D239" t="inlineStr">
        <is>
          <t>The secant modulus of a specimen at half its unconfined compressive strength: E50 is half the unconfined compressive strength divided by the axial strain at which the compressive stress reaches that half value. Where the start of the stress-strain curve has an inflection from specimen seating, the strain origin is corrected before E50 is taken.</t>
        </is>
      </c>
      <c r="E239" t="inlineStr">
        <is>
          <t>double</t>
        </is>
      </c>
      <c r="F239" t="inlineStr">
        <is>
          <t>pressure</t>
        </is>
      </c>
      <c r="G239" t="inlineStr">
        <is>
          <t>DIGGS</t>
        </is>
      </c>
      <c r="H239" t="inlineStr">
        <is>
          <t>https://diggsml.org/def/registry/DIGGS/0/specifications.xml#jis_a_1216</t>
        </is>
      </c>
    </row>
    <row r="240">
      <c r="B240" t="inlineStr">
        <is>
          <t>length_diameter_correction_factor</t>
        </is>
      </c>
      <c r="C240" t="inlineStr">
        <is>
          <t>Length-to-diameter correction factor</t>
        </is>
      </c>
      <c r="D240" t="inlineStr">
        <is>
          <t>The factor by which the measured compressive strength of a cylindrical specimen is multiplied where its length-to-diameter ratio is 1.75 or less, interpolated between tabulated ratios. The 2009 edition of ASTM C39 gives 0.98 at a ratio of 1.75, 0.96 at 1.50, 0.93 at 1.25 and 0.87 at 1.00.</t>
        </is>
      </c>
      <c r="E240" t="inlineStr">
        <is>
          <t>double</t>
        </is>
      </c>
      <c r="F240" t="inlineStr">
        <is>
          <t>dimensionless</t>
        </is>
      </c>
      <c r="G240" t="inlineStr">
        <is>
          <t>DIGGS</t>
        </is>
      </c>
      <c r="H240" t="inlineStr">
        <is>
          <t>https://diggsml.org/def/registry/DIGGS/0/specifications.xml#astm_c39</t>
        </is>
      </c>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611"/>
  <sheetViews>
    <sheetView zoomScale="146" zoomScaleNormal="146" workbookViewId="0">
      <pane ySplit="1" topLeftCell="A311" activePane="bottomLeft" state="frozen"/>
      <selection pane="bottomLeft" activeCell="C331" sqref="C331"/>
    </sheetView>
  </sheetViews>
  <sheetFormatPr baseColWidth="10" defaultColWidth="10.83203125" defaultRowHeight="16"/>
  <cols>
    <col width="6.83203125" customWidth="1" min="1" max="1"/>
    <col width="31.6640625" customWidth="1" min="2" max="2"/>
    <col width="62" customWidth="1" style="4" min="3" max="3"/>
    <col width="93" customWidth="1" style="21" min="4" max="4"/>
  </cols>
  <sheetData>
    <row r="1" customFormat="1" s="7">
      <c r="A1" s="5" t="inlineStr">
        <is>
          <t>Start</t>
        </is>
      </c>
      <c r="B1" s="5" t="inlineStr">
        <is>
          <t>ID</t>
        </is>
      </c>
      <c r="C1" s="6" t="inlineStr">
        <is>
          <t>SourceElement</t>
        </is>
      </c>
      <c r="D1" s="21" t="inlineStr">
        <is>
          <t>ConditionalElement</t>
        </is>
      </c>
    </row>
    <row r="2" ht="17" customHeight="1">
      <c r="A2">
        <f>IF(ISNA(VLOOKUP(B2,Definitions!B$2:B$1604,1,FALSE)),"Not listed","")</f>
        <v/>
      </c>
      <c r="B2" s="26" t="inlineStr">
        <is>
          <t>a_pressure</t>
        </is>
      </c>
      <c r="C2" s="21" t="inlineStr">
        <is>
          <t>//diggs:propertyClass</t>
        </is>
      </c>
      <c r="D2" s="21" t="inlineStr">
        <is>
          <t>ancestor::diggs:measurement//diggs:procedure/diggs:FlatPlateDilatometerTest</t>
        </is>
      </c>
    </row>
    <row r="3" ht="17" customHeight="1">
      <c r="A3">
        <f>IF(ISNA(VLOOKUP(B3,Definitions!B$2:B$1604,1,FALSE)),"Not listed","")</f>
        <v/>
      </c>
      <c r="B3" s="38" t="inlineStr">
        <is>
          <t>aashto_group_index</t>
        </is>
      </c>
      <c r="C3" s="4" t="inlineStr">
        <is>
          <t>//diggs:propertyClass</t>
        </is>
      </c>
      <c r="D3" s="21" t="inlineStr">
        <is>
          <t>ancestor::diggs:measurement//diggs:procedure/diggs:ParticleSizeTest</t>
        </is>
      </c>
    </row>
    <row r="4" ht="17" customHeight="1">
      <c r="A4">
        <f>IF(ISNA(VLOOKUP(B4,Definitions!B$2:B$1604,1,FALSE)),"Not listed","")</f>
        <v/>
      </c>
      <c r="B4" s="38" t="inlineStr">
        <is>
          <t>aashto_symbol</t>
        </is>
      </c>
      <c r="C4" s="4" t="inlineStr">
        <is>
          <t>//diggs:propertyClass</t>
        </is>
      </c>
      <c r="D4" s="21" t="inlineStr">
        <is>
          <t>ancestor::diggs:measurement//diggs:procedure/diggs:ParticleSizeTest</t>
        </is>
      </c>
    </row>
    <row r="5">
      <c r="A5">
        <f>IF(ISNA(VLOOKUP(B5,Definitions!B$2:B$1604,1,FALSE)),"Not listed","")</f>
        <v/>
      </c>
      <c r="B5" t="inlineStr">
        <is>
          <t>aggregate_abrasion_value</t>
        </is>
      </c>
      <c r="C5" s="4" t="inlineStr">
        <is>
          <t>//diggs:propertyClass</t>
        </is>
      </c>
      <c r="D5" s="21" t="inlineStr">
        <is>
          <t>ancestor::diggs:measurement//diggs:procedure/diggs:AggregateAbrasionValueTest</t>
        </is>
      </c>
    </row>
    <row r="6">
      <c r="A6">
        <f>IF(ISNA(VLOOKUP(B6,Definitions!B$2:B$1604,1,FALSE)),"Not listed","")</f>
        <v/>
      </c>
      <c r="B6" t="inlineStr">
        <is>
          <t>aggregate_crushing_value</t>
        </is>
      </c>
      <c r="C6" s="4" t="inlineStr">
        <is>
          <t>//diggs:propertyClass</t>
        </is>
      </c>
      <c r="D6" s="21" t="inlineStr">
        <is>
          <t>ancestor::diggs:measurement//diggs:procedure/diggs:AggregateCrushingValueTest</t>
        </is>
      </c>
    </row>
    <row r="7">
      <c r="A7">
        <f>IF(ISNA(VLOOKUP(B7,Definitions!B$2:B$1604,1,FALSE)),"Not listed","")</f>
        <v/>
      </c>
      <c r="B7" t="inlineStr">
        <is>
          <t>aggregate_elongation_index</t>
        </is>
      </c>
      <c r="C7" s="4" t="inlineStr">
        <is>
          <t>//diggs:propertyClass</t>
        </is>
      </c>
      <c r="D7" s="21" t="inlineStr">
        <is>
          <t>ancestor::diggs:measurement//diggs:procedure/diggs:AggregateElongationIndexTest</t>
        </is>
      </c>
    </row>
    <row r="8">
      <c r="A8">
        <f>IF(ISNA(VLOOKUP(B8,Definitions!B$2:B$1604,1,FALSE)),"Not listed","")</f>
        <v/>
      </c>
      <c r="B8" t="inlineStr">
        <is>
          <t>aggregate_flakiness_index</t>
        </is>
      </c>
      <c r="C8" s="4" t="inlineStr">
        <is>
          <t>//diggs:propertyClass</t>
        </is>
      </c>
      <c r="D8" s="21" t="inlineStr">
        <is>
          <t>ancestor::diggs:measurement//diggs:procedure/diggs:AggregateFlakinessIndexTest</t>
        </is>
      </c>
    </row>
    <row r="9">
      <c r="A9">
        <f>IF(ISNA(VLOOKUP(B9,Definitions!B$2:B$1604,1,FALSE)),"Not listed","")</f>
        <v/>
      </c>
      <c r="B9" t="inlineStr">
        <is>
          <t>aggregate_impact_value</t>
        </is>
      </c>
      <c r="C9" s="4" t="inlineStr">
        <is>
          <t>//diggs:propertyClass</t>
        </is>
      </c>
      <c r="D9" s="21" t="inlineStr">
        <is>
          <t>ancestor::diggs:measurement//diggs:procedure/diggs:AggregateImpactValueTest</t>
        </is>
      </c>
    </row>
    <row r="10">
      <c r="A10">
        <f>IF(ISNA(VLOOKUP(B10,Definitions!B$2:B$1604,1,FALSE)),"Not listed","")</f>
        <v/>
      </c>
      <c r="B10" t="inlineStr">
        <is>
          <t>aggregate_LA_abrasion_loss</t>
        </is>
      </c>
      <c r="C10" s="4" t="inlineStr">
        <is>
          <t>//diggs:propertyClass</t>
        </is>
      </c>
      <c r="D10" s="21" t="inlineStr">
        <is>
          <t>ancestor::diggs:measurement//diggs:procedure/diggs:LosAngelesAbrasionTest</t>
        </is>
      </c>
    </row>
    <row r="11">
      <c r="A11">
        <f>IF(ISNA(VLOOKUP(B11,Definitions!B$2:B$1604,1,FALSE)),"Not listed","")</f>
        <v/>
      </c>
      <c r="B11" t="inlineStr">
        <is>
          <t>aggregate_la_coefficient</t>
        </is>
      </c>
      <c r="C11" s="4" t="inlineStr">
        <is>
          <t>//diggs:propertyClass</t>
        </is>
      </c>
      <c r="D11" s="21" t="inlineStr">
        <is>
          <t>ancestor::diggs:measurement//diggs:procedure/diggs:LosAngelesAbrasionTest</t>
        </is>
      </c>
    </row>
    <row r="12">
      <c r="A12">
        <f>IF(ISNA(VLOOKUP(B12,Definitions!B$2:B$1604,1,FALSE)),"Not listed","")</f>
        <v/>
      </c>
      <c r="B12" t="inlineStr">
        <is>
          <t>aggregate_la_wear_ratio</t>
        </is>
      </c>
      <c r="C12" s="4" t="inlineStr">
        <is>
          <t>//diggs:propertyClass</t>
        </is>
      </c>
      <c r="D12" s="21" t="inlineStr">
        <is>
          <t>ancestor::diggs:measurement//diggs:procedure/diggs:LosAngelesAbrasionTest</t>
        </is>
      </c>
    </row>
    <row r="13">
      <c r="A13">
        <f>IF(ISNA(VLOOKUP(B13,Definitions!B$2:B$1604,1,FALSE)),"Not listed","")</f>
        <v/>
      </c>
      <c r="B13" t="inlineStr">
        <is>
          <t>aggregate_polished_stone_value</t>
        </is>
      </c>
      <c r="C13" s="4" t="inlineStr">
        <is>
          <t>//diggs:propertyClass</t>
        </is>
      </c>
      <c r="D13" s="21" t="inlineStr">
        <is>
          <t>ancestor::diggs:measurement//diggs:procedure/diggs:AggregatePolishedStoneValueTest</t>
        </is>
      </c>
    </row>
    <row r="14" ht="17" customHeight="1">
      <c r="A14">
        <f>IF(ISNA(VLOOKUP(B14,Definitions!B$2:B$1604,1,FALSE)),"Not listed","")</f>
        <v/>
      </c>
      <c r="B14" s="38" t="inlineStr">
        <is>
          <t>aggregate_soundness_value</t>
        </is>
      </c>
      <c r="C14" s="4" t="inlineStr">
        <is>
          <t>//diggs:propertyClass</t>
        </is>
      </c>
      <c r="D14" s="21" t="inlineStr">
        <is>
          <t>ancestor::diggs:measurement//diggs:procedure/diggs:AggregateSoundnessTest</t>
        </is>
      </c>
    </row>
    <row r="15">
      <c r="A15">
        <f>IF(ISNA(VLOOKUP(B15,Definitions!B$2:B$1604,1,FALSE)),"Not listed","")</f>
        <v/>
      </c>
      <c r="B15" t="inlineStr">
        <is>
          <t>aggregate_water_absorption</t>
        </is>
      </c>
      <c r="C15" s="4" t="inlineStr">
        <is>
          <t>//diggs:propertyClass</t>
        </is>
      </c>
      <c r="D15" s="21" t="inlineStr">
        <is>
          <t>ancestor::diggs:measurement//diggs:procedure/diggs:AggregateWaterAbsorptionTest</t>
        </is>
      </c>
    </row>
    <row r="16" ht="17" customHeight="1">
      <c r="A16">
        <f>IF(ISNA(VLOOKUP(B16,Definitions!B$2:B$1604,1,FALSE)),"Not listed","")</f>
        <v/>
      </c>
      <c r="B16" s="26" t="inlineStr">
        <is>
          <t>b_pressure</t>
        </is>
      </c>
      <c r="C16" s="21" t="inlineStr">
        <is>
          <t>//diggs:propertyClass</t>
        </is>
      </c>
      <c r="D16" s="21" t="inlineStr">
        <is>
          <t>ancestor::diggs:measurement//diggs:procedure/diggs:FlatPlateDilatometerTest</t>
        </is>
      </c>
    </row>
    <row r="17">
      <c r="A17">
        <f>IF(ISNA(VLOOKUP(B17,Definitions!B$2:B$1604,1,FALSE)),"Not listed","")</f>
        <v/>
      </c>
      <c r="B17" t="inlineStr">
        <is>
          <t>bleed</t>
        </is>
      </c>
      <c r="C17" s="4" t="inlineStr">
        <is>
          <t>//diggs:propertyClass</t>
        </is>
      </c>
      <c r="D17" s="21" t="inlineStr">
        <is>
          <t>ancestor::diggs:measurement//diggs:procedure/diggs:BleedTest</t>
        </is>
      </c>
    </row>
    <row r="18" ht="17" customHeight="1">
      <c r="A18">
        <f>IF(ISNA(VLOOKUP(B18,Definitions!B$2:B$1604,1,FALSE)),"Not listed","")</f>
        <v/>
      </c>
      <c r="B18" s="26" t="inlineStr">
        <is>
          <t>blow_count</t>
        </is>
      </c>
      <c r="C18" s="21" t="inlineStr">
        <is>
          <t>//diggs:propertyClass</t>
        </is>
      </c>
      <c r="D18" s="21" t="inlineStr">
        <is>
          <t>ancestor::diggs:measurement//diggs:procedure/diggs:DynamicProbeTest</t>
        </is>
      </c>
    </row>
    <row r="19" ht="17" customHeight="1">
      <c r="A19">
        <f>IF(ISNA(VLOOKUP(B19,Definitions!B$2:B$1604,1,FALSE)),"Not listed","")</f>
        <v/>
      </c>
      <c r="B19" s="26" t="inlineStr">
        <is>
          <t>bulk_density</t>
        </is>
      </c>
      <c r="C19" s="21" t="inlineStr">
        <is>
          <t>//diggs:propertyClass</t>
        </is>
      </c>
      <c r="D19" s="21" t="inlineStr">
        <is>
          <t>ancestor::diggs:measurement//diggs:procedure/diggs:InsituCBRTest</t>
        </is>
      </c>
    </row>
    <row r="20">
      <c r="A20">
        <f>IF(ISNA(VLOOKUP(B20,Definitions!B$2:B$1604,1,FALSE)),"Not listed","")</f>
        <v/>
      </c>
      <c r="B20" t="inlineStr">
        <is>
          <t>bulk_density</t>
        </is>
      </c>
      <c r="C20" s="4" t="inlineStr">
        <is>
          <t>//diggs:propertyClass</t>
        </is>
      </c>
      <c r="D20" s="21" t="inlineStr">
        <is>
          <t>ancestor::diggs:measurement//diggs:procedure/diggs:InsituDensityTest</t>
        </is>
      </c>
    </row>
    <row r="21" ht="17" customHeight="1">
      <c r="A21">
        <f>IF(ISNA(VLOOKUP(B21,Definitions!B$2:B$1604,1,FALSE)),"Not listed","")</f>
        <v/>
      </c>
      <c r="B21" s="26" t="inlineStr">
        <is>
          <t>bulk_density</t>
        </is>
      </c>
      <c r="C21" s="21" t="inlineStr">
        <is>
          <t>//diggs:propertyClass</t>
        </is>
      </c>
      <c r="D21" s="21" t="inlineStr">
        <is>
          <t>ancestor::diggs:measurement//diggs:procedure/diggs:LabCBRTest</t>
        </is>
      </c>
    </row>
    <row r="22" ht="17" customHeight="1">
      <c r="A22">
        <f>IF(ISNA(VLOOKUP(B22,Definitions!B$2:B$1604,1,FALSE)),"Not listed","")</f>
        <v/>
      </c>
      <c r="B22" s="26" t="inlineStr">
        <is>
          <t>bulk_density</t>
        </is>
      </c>
      <c r="C22" s="21" t="inlineStr">
        <is>
          <t>//diggs:propertyClass</t>
        </is>
      </c>
      <c r="D22" s="21" t="inlineStr">
        <is>
          <t>ancestor::diggs:measurement//diggs:procedure/diggs:LabDensityTest</t>
        </is>
      </c>
    </row>
    <row r="23" ht="17" customHeight="1">
      <c r="A23">
        <f>IF(ISNA(VLOOKUP([1]AssociatedElements!B279,Definitions!B$2:B$1604,1,FALSE)),"Not listed","")</f>
        <v/>
      </c>
      <c r="B23" s="11" t="inlineStr">
        <is>
          <t>bulk_density_true</t>
        </is>
      </c>
      <c r="C23" s="4" t="inlineStr">
        <is>
          <t>//diggs:propertyClass</t>
        </is>
      </c>
      <c r="D23" s="21" t="inlineStr">
        <is>
          <t>ancestor::diggs:measurement//diggs:procedure/diggs:InsituCBRTest</t>
        </is>
      </c>
    </row>
    <row r="24" ht="17" customHeight="1">
      <c r="A24">
        <f>IF(ISNA(VLOOKUP([1]AssociatedElements!B280,Definitions!B$2:B$1604,1,FALSE)),"Not listed","")</f>
        <v/>
      </c>
      <c r="B24" s="11" t="inlineStr">
        <is>
          <t>bulk_density_true</t>
        </is>
      </c>
      <c r="C24" s="4" t="inlineStr">
        <is>
          <t>//diggs:propertyClass</t>
        </is>
      </c>
      <c r="D24" s="21" t="inlineStr">
        <is>
          <t>ancestor::diggs:measurement//diggs:procedure/diggs:InsituDensityTest</t>
        </is>
      </c>
    </row>
    <row r="25" ht="17" customHeight="1">
      <c r="A25">
        <f>IF(ISNA(VLOOKUP([1]AssociatedElements!B281,Definitions!B$2:B$1604,1,FALSE)),"Not listed","")</f>
        <v/>
      </c>
      <c r="B25" s="11" t="inlineStr">
        <is>
          <t>bulk_density_true</t>
        </is>
      </c>
      <c r="C25" s="4" t="inlineStr">
        <is>
          <t>//diggs:propertyClass</t>
        </is>
      </c>
      <c r="D25" s="21" t="inlineStr">
        <is>
          <t>ancestor::diggs:measurement//diggs:procedure/diggs:LabCBRTest</t>
        </is>
      </c>
    </row>
    <row r="26" ht="17" customHeight="1">
      <c r="A26">
        <f>IF(ISNA(VLOOKUP([1]AssociatedElements!B282,Definitions!B$2:B$1604,1,FALSE)),"Not listed","")</f>
        <v/>
      </c>
      <c r="B26" s="11" t="inlineStr">
        <is>
          <t>bulk_density_true</t>
        </is>
      </c>
      <c r="C26" s="4" t="inlineStr">
        <is>
          <t>//diggs:propertyClass</t>
        </is>
      </c>
      <c r="D26" s="21" t="inlineStr">
        <is>
          <t>ancestor::diggs:measurement//diggs:procedure/diggs:LabDensityTest</t>
        </is>
      </c>
    </row>
    <row r="27" ht="17" customHeight="1">
      <c r="A27">
        <f>IF(ISNA(VLOOKUP(B27,Definitions!B$2:B$1604,1,FALSE)),"Not listed","")</f>
        <v/>
      </c>
      <c r="B27" s="26" t="inlineStr">
        <is>
          <t>c_pressure</t>
        </is>
      </c>
      <c r="C27" s="21" t="inlineStr">
        <is>
          <t>//diggs:propertyClass</t>
        </is>
      </c>
      <c r="D27" s="21" t="inlineStr">
        <is>
          <t>ancestor::diggs:measurement//diggs:procedure/diggs:FlatPlateDilatometerTest</t>
        </is>
      </c>
    </row>
    <row r="28" ht="17" customHeight="1">
      <c r="A28">
        <f>IF(ISNA(VLOOKUP([1]AssociatedElements!B289,Definitions!B$2:B$1604,1,FALSE)),"Not listed","")</f>
        <v/>
      </c>
      <c r="B28" s="38" t="inlineStr">
        <is>
          <t>c_value</t>
        </is>
      </c>
      <c r="C28" s="4" t="inlineStr">
        <is>
          <t>//diggs:propertyClass</t>
        </is>
      </c>
      <c r="D28" s="21" t="inlineStr">
        <is>
          <t>ancestor::diggs:measurement//diggs:procedure/diggs:LabCompactionTest</t>
        </is>
      </c>
    </row>
    <row r="29" ht="17" customHeight="1">
      <c r="A29">
        <f>IF(ISNA(VLOOKUP(B29,Definitions!B$2:B$1604,1,FALSE)),"Not listed","")</f>
        <v/>
      </c>
      <c r="B29" s="26" t="inlineStr">
        <is>
          <t>cbr_0.1</t>
        </is>
      </c>
      <c r="C29" s="21" t="inlineStr">
        <is>
          <t>//diggs:propertyClass</t>
        </is>
      </c>
      <c r="D29" s="21" t="inlineStr">
        <is>
          <t>ancestor::diggs:measurement//diggs:procedure/diggs:InsituCBRTest</t>
        </is>
      </c>
    </row>
    <row r="30" ht="17" customHeight="1">
      <c r="A30">
        <f>IF(ISNA(VLOOKUP(B30,Definitions!B$2:B$1604,1,FALSE)),"Not listed","")</f>
        <v/>
      </c>
      <c r="B30" s="26" t="inlineStr">
        <is>
          <t>cbr_0.1</t>
        </is>
      </c>
      <c r="C30" s="21" t="inlineStr">
        <is>
          <t>//diggs:propertyClass</t>
        </is>
      </c>
      <c r="D30" s="21" t="inlineStr">
        <is>
          <t>ancestor::diggs:measurement//diggs:procedure/diggs:LabCBRTest</t>
        </is>
      </c>
    </row>
    <row r="31" ht="17" customHeight="1">
      <c r="A31">
        <f>IF(ISNA(VLOOKUP(B31,Definitions!B$2:B$1604,1,FALSE)),"Not listed","")</f>
        <v/>
      </c>
      <c r="B31" s="26" t="inlineStr">
        <is>
          <t>cbr_0.2</t>
        </is>
      </c>
      <c r="C31" s="21" t="inlineStr">
        <is>
          <t>//diggs:propertyClass</t>
        </is>
      </c>
      <c r="D31" s="21" t="inlineStr">
        <is>
          <t>ancestor::diggs:measurement//diggs:procedure/diggs:InsituCBRTest</t>
        </is>
      </c>
    </row>
    <row r="32" ht="17" customHeight="1">
      <c r="A32">
        <f>IF(ISNA(VLOOKUP(B32,Definitions!B$2:B$1604,1,FALSE)),"Not listed","")</f>
        <v/>
      </c>
      <c r="B32" s="26" t="inlineStr">
        <is>
          <t>cbr_0.2</t>
        </is>
      </c>
      <c r="C32" s="21" t="inlineStr">
        <is>
          <t>//diggs:propertyClass</t>
        </is>
      </c>
      <c r="D32" s="21" t="inlineStr">
        <is>
          <t>ancestor::diggs:measurement//diggs:procedure/diggs:LabCBRTest</t>
        </is>
      </c>
    </row>
    <row r="33">
      <c r="A33">
        <f>IF(ISNA(VLOOKUP(B33,Definitions!B$2:B$1604,1,FALSE)),"Not listed","")</f>
        <v/>
      </c>
      <c r="B33" t="inlineStr">
        <is>
          <t>chalk_crushing_value</t>
        </is>
      </c>
      <c r="C33" s="4" t="inlineStr">
        <is>
          <t>//diggs:propertyClass</t>
        </is>
      </c>
      <c r="D33" s="21" t="inlineStr">
        <is>
          <t>ancestor::diggs:measurement//diggs:procedure/diggs:ChalkCrushingValueTest</t>
        </is>
      </c>
    </row>
    <row r="34" ht="17" customHeight="1">
      <c r="A34">
        <f>IF(ISNA(VLOOKUP(B34,Definitions!B$2:B$1604,1,FALSE)),"Not listed","")</f>
        <v/>
      </c>
      <c r="B34" s="26" t="inlineStr">
        <is>
          <t>chloride_content</t>
        </is>
      </c>
      <c r="C34" s="21" t="inlineStr">
        <is>
          <t>//diggs:propertyClass</t>
        </is>
      </c>
      <c r="D34" s="21" t="inlineStr">
        <is>
          <t>ancestor::diggs:measurement//diggs:procedure/diggs:LabChemicalTest</t>
        </is>
      </c>
    </row>
    <row r="35" ht="17" customHeight="1">
      <c r="A35">
        <f>IF(ISNA(VLOOKUP(B35,Definitions!B$2:B$1604,1,FALSE)),"Not listed","")</f>
        <v/>
      </c>
      <c r="B35" s="26" t="inlineStr">
        <is>
          <t>clay_percent_2_micron</t>
        </is>
      </c>
      <c r="C35" s="21" t="inlineStr">
        <is>
          <t>//diggs:propertyClass</t>
        </is>
      </c>
      <c r="D35" s="21" t="inlineStr">
        <is>
          <t>ancestor::diggs:measurement//diggs:procedure/diggs:ParticleSizeTest</t>
        </is>
      </c>
    </row>
    <row r="36" ht="17" customHeight="1">
      <c r="A36">
        <f>IF(ISNA(VLOOKUP(B36,Definitions!B$2:B$1604,1,FALSE)),"Not listed","")</f>
        <v/>
      </c>
      <c r="B36" s="26" t="inlineStr">
        <is>
          <t>clay_percent_5_micron</t>
        </is>
      </c>
      <c r="C36" s="21" t="inlineStr">
        <is>
          <t>//diggs:propertyClass</t>
        </is>
      </c>
      <c r="D36" s="21" t="inlineStr">
        <is>
          <t>ancestor::diggs:measurement//diggs:procedure/diggs:ParticleSizeTest</t>
        </is>
      </c>
    </row>
    <row r="37" ht="17" customHeight="1">
      <c r="A37">
        <f>IF(ISNA(VLOOKUP(B37,Definitions!B$2:B$1604,1,FALSE)),"Not listed","")</f>
        <v/>
      </c>
      <c r="B37" s="26" t="inlineStr">
        <is>
          <t>coef_consolidation_horiz</t>
        </is>
      </c>
      <c r="C37" s="21" t="inlineStr">
        <is>
          <t>//diggs:propertyClass</t>
        </is>
      </c>
      <c r="D37" s="21" t="inlineStr">
        <is>
          <t>ancestor::diggs:measurement//diggs:procedure/diggs:FlatPlateDilatometerTest</t>
        </is>
      </c>
    </row>
    <row r="38" ht="17" customHeight="1">
      <c r="A38">
        <f>IF(ISNA(VLOOKUP(B38,Definitions!B$2:B$1604,1,FALSE)),"Not listed","")</f>
        <v/>
      </c>
      <c r="B38" s="26" t="inlineStr">
        <is>
          <t>coef_consolidation_horiz</t>
        </is>
      </c>
      <c r="C38" s="21" t="inlineStr">
        <is>
          <t>//diggs:propertyClass</t>
        </is>
      </c>
      <c r="D38" s="21" t="inlineStr">
        <is>
          <t>ancestor::diggs:measurement//diggs:procedure/diggs:PorePressureDissipationTest</t>
        </is>
      </c>
    </row>
    <row r="39" ht="17" customHeight="1">
      <c r="A39">
        <f>IF(ISNA(VLOOKUP(B39,Definitions!B$2:B$1604,1,FALSE)),"Not listed","")</f>
        <v/>
      </c>
      <c r="B39" s="26" t="inlineStr">
        <is>
          <t>coef_consolidation_vertical</t>
        </is>
      </c>
      <c r="C39" s="21" t="inlineStr">
        <is>
          <t>//diggs:propertyClass</t>
        </is>
      </c>
      <c r="D39" s="21" t="inlineStr">
        <is>
          <t>ancestor::diggs:measurement//diggs:procedure/diggs:ConsolidationTest</t>
        </is>
      </c>
    </row>
    <row r="40" ht="17" customHeight="1">
      <c r="A40">
        <f>IF(ISNA(VLOOKUP(B40,Definitions!B$2:B$1604,1,FALSE)),"Not listed","")</f>
        <v/>
      </c>
      <c r="B40" s="26" t="inlineStr">
        <is>
          <t>coef_curvature</t>
        </is>
      </c>
      <c r="C40" s="21" t="inlineStr">
        <is>
          <t>//diggs:propertyClass</t>
        </is>
      </c>
      <c r="D40" s="21" t="inlineStr">
        <is>
          <t>ancestor::diggs:measurement//diggs:procedure/diggs:MaterialGradationTest</t>
        </is>
      </c>
    </row>
    <row r="41" ht="17" customHeight="1">
      <c r="A41">
        <f>IF(ISNA(VLOOKUP(B41,Definitions!B$2:B$1604,1,FALSE)),"Not listed","")</f>
        <v/>
      </c>
      <c r="B41" s="26" t="inlineStr">
        <is>
          <t>coef_curvature</t>
        </is>
      </c>
      <c r="C41" s="21" t="inlineStr">
        <is>
          <t>//diggs:propertyClass</t>
        </is>
      </c>
      <c r="D41" s="21" t="inlineStr">
        <is>
          <t>ancestor::diggs:measurement//diggs:procedure/diggs:ParticleSizeTest</t>
        </is>
      </c>
    </row>
    <row r="42" ht="17" customHeight="1">
      <c r="A42">
        <f>IF(ISNA(VLOOKUP(B42,Definitions!B$2:B$1604,1,FALSE)),"Not listed","")</f>
        <v/>
      </c>
      <c r="B42" s="26" t="inlineStr">
        <is>
          <t>coef_earth_pressure</t>
        </is>
      </c>
      <c r="C42" s="21" t="inlineStr">
        <is>
          <t>//diggs:propertyClass</t>
        </is>
      </c>
      <c r="D42" s="21" t="inlineStr">
        <is>
          <t>ancestor::diggs:measurement//diggs:procedure/diggs:FlatPlateDilatometerTest</t>
        </is>
      </c>
    </row>
    <row r="43">
      <c r="A43">
        <f>IF(ISNA(VLOOKUP(B43,Definitions!B$2:B$1604,1,FALSE)),"Not listed","")</f>
        <v/>
      </c>
      <c r="B43" t="inlineStr">
        <is>
          <t>coef_earth_pressure</t>
        </is>
      </c>
      <c r="C43" s="4" t="inlineStr">
        <is>
          <t>//diggs:propertyClass</t>
        </is>
      </c>
      <c r="D43" s="21" t="inlineStr">
        <is>
          <t>ancestor::diggs:measurement//diggs:procedure/diggs:PressuremeterTest</t>
        </is>
      </c>
    </row>
    <row r="44">
      <c r="A44">
        <f>IF(ISNA(VLOOKUP(B44,Definitions!B$2:B$1604,1,FALSE)),"Not listed","")</f>
        <v/>
      </c>
      <c r="B44" t="inlineStr">
        <is>
          <t>coef_permeability</t>
        </is>
      </c>
      <c r="C44" s="4" t="inlineStr">
        <is>
          <t>//diggs:propertyClass</t>
        </is>
      </c>
      <c r="D44" s="21" t="inlineStr">
        <is>
          <t>ancestor::diggs:measurement//diggs:procedure/diggs:InsituPermeabilityTest</t>
        </is>
      </c>
    </row>
    <row r="45" ht="17" customHeight="1">
      <c r="A45">
        <f>IF(ISNA(VLOOKUP(B45,Definitions!B$2:B$1604,1,FALSE)),"Not listed","")</f>
        <v/>
      </c>
      <c r="B45" s="26" t="inlineStr">
        <is>
          <t>coef_permeability</t>
        </is>
      </c>
      <c r="C45" s="21" t="inlineStr">
        <is>
          <t>//diggs:propertyClass</t>
        </is>
      </c>
      <c r="D45" s="21" t="inlineStr">
        <is>
          <t>ancestor::diggs:measurement//diggs:procedure/diggs:LabPermeabilityTest</t>
        </is>
      </c>
    </row>
    <row r="46">
      <c r="A46">
        <f>IF(ISNA(VLOOKUP(B46,Definitions!B$2:B$1604,1,FALSE)),"Not listed","")</f>
        <v/>
      </c>
      <c r="B46" t="inlineStr">
        <is>
          <t>coef_permeability</t>
        </is>
      </c>
      <c r="C46" s="4" t="inlineStr">
        <is>
          <t>//diggs:propertyClass</t>
        </is>
      </c>
      <c r="D46" s="21" t="inlineStr">
        <is>
          <t>ancestor::diggs:measurement//diggs:procedure/diggs:PumpingTest</t>
        </is>
      </c>
    </row>
    <row r="47" ht="17" customHeight="1">
      <c r="A47">
        <f>IF(ISNA(VLOOKUP(B47,Definitions!B$2:B$1604,1,FALSE)),"Not listed","")</f>
        <v/>
      </c>
      <c r="B47" s="26" t="inlineStr">
        <is>
          <t>coef_permeability</t>
        </is>
      </c>
      <c r="C47" s="21" t="inlineStr">
        <is>
          <t>//diggs:propertyClass</t>
        </is>
      </c>
      <c r="D47" s="21" t="inlineStr">
        <is>
          <t>ancestor::diggs:measurement//diggs:procedure/diggs:StaticConePenetrationTest</t>
        </is>
      </c>
    </row>
    <row r="48" ht="17" customHeight="1">
      <c r="A48">
        <f>IF(ISNA(VLOOKUP(B48,Definitions!B$2:B$1604,1,FALSE)),"Not listed","")</f>
        <v/>
      </c>
      <c r="B48" s="26" t="inlineStr">
        <is>
          <t>coef_permeability_corrected</t>
        </is>
      </c>
      <c r="C48" s="21" t="inlineStr">
        <is>
          <t>//diggs:propertyClass</t>
        </is>
      </c>
      <c r="D48" s="21" t="inlineStr">
        <is>
          <t>ancestor::diggs:measurement//diggs:procedure/diggs:LabPermeabilityTest</t>
        </is>
      </c>
    </row>
    <row r="49">
      <c r="A49">
        <f>IF(ISNA(VLOOKUP(B49,Definitions!B$2:B$1604,1,FALSE)),"Not listed","")</f>
        <v/>
      </c>
      <c r="B49" t="inlineStr">
        <is>
          <t>coef_permeability_horiz</t>
        </is>
      </c>
      <c r="C49" s="4" t="inlineStr">
        <is>
          <t>//diggs:propertyClass</t>
        </is>
      </c>
      <c r="D49" s="21" t="inlineStr">
        <is>
          <t>ancestor::diggs:measurement//diggs:procedure/diggs:InsituPermeabilityTest</t>
        </is>
      </c>
    </row>
    <row r="50" ht="17" customHeight="1">
      <c r="A50">
        <f>IF(ISNA(VLOOKUP(B50,Definitions!B$2:B$1604,1,FALSE)),"Not listed","")</f>
        <v/>
      </c>
      <c r="B50" s="26" t="inlineStr">
        <is>
          <t>coef_permeability_horiz</t>
        </is>
      </c>
      <c r="C50" s="21" t="inlineStr">
        <is>
          <t>//diggs:propertyClass</t>
        </is>
      </c>
      <c r="D50" s="21" t="inlineStr">
        <is>
          <t>ancestor::diggs:measurement//diggs:procedure/diggs:LabPermeabilityTest</t>
        </is>
      </c>
    </row>
    <row r="51" ht="17" customHeight="1">
      <c r="A51">
        <f>IF(ISNA(VLOOKUP(B51,Definitions!B$2:B$1604,1,FALSE)),"Not listed","")</f>
        <v/>
      </c>
      <c r="B51" s="26" t="inlineStr">
        <is>
          <t>coef_permeability_horiz</t>
        </is>
      </c>
      <c r="C51" s="21" t="inlineStr">
        <is>
          <t>//diggs:propertyClass</t>
        </is>
      </c>
      <c r="D51" s="21" t="inlineStr">
        <is>
          <t>ancestor::diggs:measurement//diggs:procedure/diggs:PorePressureDissipationTest</t>
        </is>
      </c>
    </row>
    <row r="52">
      <c r="A52">
        <f>IF(ISNA(VLOOKUP(B52,Definitions!B$2:B$1604,1,FALSE)),"Not listed","")</f>
        <v/>
      </c>
      <c r="B52" t="inlineStr">
        <is>
          <t>coef_permeability_horiz</t>
        </is>
      </c>
      <c r="C52" s="4" t="inlineStr">
        <is>
          <t>//diggs:propertyClass</t>
        </is>
      </c>
      <c r="D52" s="21" t="inlineStr">
        <is>
          <t>ancestor::diggs:measurement//diggs:procedure/diggs:PumpingTest</t>
        </is>
      </c>
    </row>
    <row r="53" ht="17" customHeight="1">
      <c r="A53">
        <f>IF(ISNA(VLOOKUP(B53,Definitions!B$2:B$1604,1,FALSE)),"Not listed","")</f>
        <v/>
      </c>
      <c r="B53" s="26" t="inlineStr">
        <is>
          <t>coef_permeability_horiz</t>
        </is>
      </c>
      <c r="C53" s="21" t="inlineStr">
        <is>
          <t>//diggs:propertyClass</t>
        </is>
      </c>
      <c r="D53" s="21" t="inlineStr">
        <is>
          <t>ancestor::diggs:measurement//diggs:procedure/diggs:StaticConePenetrationTest</t>
        </is>
      </c>
    </row>
    <row r="54">
      <c r="A54">
        <f>IF(ISNA(VLOOKUP(B54,Definitions!B$2:B$1604,1,FALSE)),"Not listed","")</f>
        <v/>
      </c>
      <c r="B54" t="inlineStr">
        <is>
          <t>coef_permeability_vert</t>
        </is>
      </c>
      <c r="C54" s="4" t="inlineStr">
        <is>
          <t>//diggs:propertyClass</t>
        </is>
      </c>
      <c r="D54" s="21" t="inlineStr">
        <is>
          <t>ancestor::diggs:measurement//diggs:procedure/diggs:InsituPermeabilityTest</t>
        </is>
      </c>
    </row>
    <row r="55" ht="17" customHeight="1">
      <c r="A55">
        <f>IF(ISNA(VLOOKUP(B55,Definitions!B$2:B$1604,1,FALSE)),"Not listed","")</f>
        <v/>
      </c>
      <c r="B55" s="26" t="inlineStr">
        <is>
          <t>coef_permeability_vert</t>
        </is>
      </c>
      <c r="C55" s="21" t="inlineStr">
        <is>
          <t>//diggs:propertyClass</t>
        </is>
      </c>
      <c r="D55" s="21" t="inlineStr">
        <is>
          <t>ancestor::diggs:measurement//diggs:procedure/diggs:LabPermeabilityTest</t>
        </is>
      </c>
    </row>
    <row r="56">
      <c r="A56">
        <f>IF(ISNA(VLOOKUP(B56,Definitions!B$2:B$1604,1,FALSE)),"Not listed","")</f>
        <v/>
      </c>
      <c r="B56" t="inlineStr">
        <is>
          <t>coef_permeability_vert</t>
        </is>
      </c>
      <c r="C56" s="4" t="inlineStr">
        <is>
          <t>//diggs:propertyClass</t>
        </is>
      </c>
      <c r="D56" s="21" t="inlineStr">
        <is>
          <t>ancestor::diggs:measurement//diggs:procedure/diggs:PumpingTest</t>
        </is>
      </c>
    </row>
    <row r="57" ht="17" customHeight="1">
      <c r="A57">
        <f>IF(ISNA(VLOOKUP(B57,Definitions!B$2:B$1604,1,FALSE)),"Not listed","")</f>
        <v/>
      </c>
      <c r="B57" s="26" t="inlineStr">
        <is>
          <t>coef_permeability_vert</t>
        </is>
      </c>
      <c r="C57" s="21" t="inlineStr">
        <is>
          <t>//diggs:propertyClass</t>
        </is>
      </c>
      <c r="D57" s="21" t="inlineStr">
        <is>
          <t>ancestor::diggs:measurement//diggs:procedure/diggs:StaticConePenetrationTest</t>
        </is>
      </c>
    </row>
    <row r="58" ht="17" customHeight="1">
      <c r="A58">
        <f>IF(ISNA(VLOOKUP(B58,Definitions!B$2:B$1604,1,FALSE)),"Not listed","")</f>
        <v/>
      </c>
      <c r="B58" s="26" t="inlineStr">
        <is>
          <t>coef_uniformity</t>
        </is>
      </c>
      <c r="C58" s="21" t="inlineStr">
        <is>
          <t>//diggs:propertyClass</t>
        </is>
      </c>
      <c r="D58" s="21" t="inlineStr">
        <is>
          <t>ancestor::diggs:measurement//diggs:procedure/diggs:MaterialGradationTest</t>
        </is>
      </c>
    </row>
    <row r="59" ht="17" customHeight="1">
      <c r="A59">
        <f>IF(ISNA(VLOOKUP(B59,Definitions!B$2:B$1604,1,FALSE)),"Not listed","")</f>
        <v/>
      </c>
      <c r="B59" s="26" t="inlineStr">
        <is>
          <t>coef_uniformity</t>
        </is>
      </c>
      <c r="C59" s="21" t="inlineStr">
        <is>
          <t>//diggs:propertyClass</t>
        </is>
      </c>
      <c r="D59" s="21" t="inlineStr">
        <is>
          <t>ancestor::diggs:measurement//diggs:procedure/diggs:ParticleSizeTest</t>
        </is>
      </c>
    </row>
    <row r="60" ht="17" customHeight="1">
      <c r="A60">
        <f>IF(ISNA(VLOOKUP(B60,Definitions!B$2:B$1604,1,FALSE)),"Not listed","")</f>
        <v/>
      </c>
      <c r="B60" s="26" t="inlineStr">
        <is>
          <t>cohesion_peak</t>
        </is>
      </c>
      <c r="C60" s="21" t="inlineStr">
        <is>
          <t>//diggs:propertyClass</t>
        </is>
      </c>
      <c r="D60" s="21" t="inlineStr">
        <is>
          <t>ancestor::diggs:measurement//diggs:procedure/diggs:DirectShearTest</t>
        </is>
      </c>
    </row>
    <row r="61" ht="17" customHeight="1">
      <c r="A61">
        <f>IF(ISNA(VLOOKUP(B61,Definitions!B$2:B$1604,1,FALSE)),"Not listed","")</f>
        <v/>
      </c>
      <c r="B61" t="inlineStr">
        <is>
          <t>cohesion_peak</t>
        </is>
      </c>
      <c r="C61" t="inlineStr">
        <is>
          <t>//diggs:propertyClass</t>
        </is>
      </c>
      <c r="D61" t="inlineStr">
        <is>
          <t>ancestor::diggs:measurement//diggs:procedure/diggs:TriaxialTest</t>
        </is>
      </c>
    </row>
    <row r="62" ht="17" customHeight="1">
      <c r="A62">
        <f>IF(ISNA(VLOOKUP(B61,Definitions!B$2:B$1604,1,FALSE)),"Not listed","")</f>
        <v/>
      </c>
      <c r="B62" s="26" t="inlineStr">
        <is>
          <t>cohesion_residual</t>
        </is>
      </c>
      <c r="C62" s="21" t="inlineStr">
        <is>
          <t>//diggs:propertyClass</t>
        </is>
      </c>
      <c r="D62" s="21" t="inlineStr">
        <is>
          <t>ancestor::diggs:measurement//diggs:procedure/diggs:DirectShearTest</t>
        </is>
      </c>
    </row>
    <row r="63" ht="17" customHeight="1">
      <c r="A63">
        <f>IF(ISNA(VLOOKUP(B62,Definitions!B$2:B$1604,1,FALSE)),"Not listed","")</f>
        <v/>
      </c>
      <c r="B63" t="inlineStr">
        <is>
          <t>cohesion_residual</t>
        </is>
      </c>
      <c r="C63" t="inlineStr">
        <is>
          <t>//diggs:propertyClass</t>
        </is>
      </c>
      <c r="D63" t="inlineStr">
        <is>
          <t>ancestor::diggs:measurement//diggs:procedure/diggs:TriaxialTest</t>
        </is>
      </c>
    </row>
    <row r="64" ht="17" customHeight="1">
      <c r="A64">
        <f>IF(ISNA(VLOOKUP(B62,Definitions!B$2:B$1604,1,FALSE)),"Not listed","")</f>
        <v/>
      </c>
      <c r="B64" s="26" t="inlineStr">
        <is>
          <t>colloid_percent</t>
        </is>
      </c>
      <c r="C64" s="21" t="inlineStr">
        <is>
          <t>//diggs:propertyClass</t>
        </is>
      </c>
      <c r="D64" s="21" t="inlineStr">
        <is>
          <t>ancestor::diggs:measurement//diggs:procedure/diggs:ParticleSizeTest</t>
        </is>
      </c>
    </row>
    <row r="65" ht="17" customHeight="1">
      <c r="A65">
        <f>IF(ISNA(VLOOKUP(B63,Definitions!B$2:B$1604,1,FALSE)),"Not listed","")</f>
        <v/>
      </c>
      <c r="B65" s="26" t="inlineStr">
        <is>
          <t>compression_index</t>
        </is>
      </c>
      <c r="C65" s="21" t="inlineStr">
        <is>
          <t>//diggs:propertyClass</t>
        </is>
      </c>
      <c r="D65" s="21" t="inlineStr">
        <is>
          <t>ancestor::diggs:measurement//diggs:procedure/diggs:ConsolidationTest</t>
        </is>
      </c>
    </row>
    <row r="66" ht="17" customHeight="1">
      <c r="A66">
        <f>IF(ISNA(VLOOKUP(B64,Definitions!B$2:B$1604,1,FALSE)),"Not listed","")</f>
        <v/>
      </c>
      <c r="B66" s="38" t="inlineStr">
        <is>
          <t>compressive_strength_unconfined</t>
        </is>
      </c>
      <c r="C66" s="4" t="inlineStr">
        <is>
          <t>//diggs:propertyClass</t>
        </is>
      </c>
      <c r="D66" s="21" t="inlineStr">
        <is>
          <t>ancestor::diggs:measurement//diggs:procedure/diggs:InSituPenetrometerTest</t>
        </is>
      </c>
    </row>
    <row r="67" ht="17" customHeight="1">
      <c r="A67">
        <f>IF(ISNA(VLOOKUP(B65,Definitions!B$2:B$1604,1,FALSE)),"Not listed","")</f>
        <v/>
      </c>
      <c r="B67" t="inlineStr">
        <is>
          <t>compressive_strength_unconfined</t>
        </is>
      </c>
      <c r="C67" s="4" t="inlineStr">
        <is>
          <t>//diggs:propertyClass</t>
        </is>
      </c>
      <c r="D67" s="21" t="inlineStr">
        <is>
          <t>ancestor::diggs:measurement//diggs:procedure/diggs:LabPenetrometerTest</t>
        </is>
      </c>
    </row>
    <row r="68" ht="17" customHeight="1">
      <c r="A68">
        <f>IF(ISNA(VLOOKUP(B66,Definitions!B$2:B$1604,1,FALSE)),"Not listed","")</f>
        <v/>
      </c>
      <c r="B68" s="26" t="inlineStr">
        <is>
          <t>compressive_strength_unconfined</t>
        </is>
      </c>
      <c r="C68" s="21" t="inlineStr">
        <is>
          <t>//diggs:propertyClass</t>
        </is>
      </c>
      <c r="D68" s="30" t="inlineStr">
        <is>
          <t>ancestor::diggs:measurement//diggs:procedure/diggs:PocketPenetrometerTest</t>
        </is>
      </c>
    </row>
    <row r="69" ht="17" customHeight="1">
      <c r="A69">
        <f>IF(ISNA(VLOOKUP(B67,Definitions!B$2:B$1604,1,FALSE)),"Not listed","")</f>
        <v/>
      </c>
      <c r="B69" s="26" t="inlineStr">
        <is>
          <t>compressive_strength_unconfined</t>
        </is>
      </c>
      <c r="C69" s="21" t="inlineStr">
        <is>
          <t>//diggs:propertyClass</t>
        </is>
      </c>
      <c r="D69" s="21" t="inlineStr">
        <is>
          <t>ancestor::diggs:measurement//diggs:procedure/diggs:UnconfinedCompressiveStrengthTest</t>
        </is>
      </c>
    </row>
    <row r="70" ht="17" customHeight="1">
      <c r="A70">
        <f>IF(ISNA(VLOOKUP(B68,Definitions!B$2:B$1604,1,FALSE)),"Not listed","")</f>
        <v/>
      </c>
      <c r="B70" s="26" t="inlineStr">
        <is>
          <t>conductivity</t>
        </is>
      </c>
      <c r="C70" s="21" t="inlineStr">
        <is>
          <t>//diggs:propertyClass</t>
        </is>
      </c>
      <c r="D70" s="21" t="inlineStr">
        <is>
          <t>ancestor::diggs:measurement//diggs:procedure/diggs:StaticConePenetrationTest</t>
        </is>
      </c>
    </row>
    <row r="71" ht="17" customHeight="1">
      <c r="A71">
        <f>IF(ISNA(VLOOKUP(B69,Definitions!B$2:B$1604,1,FALSE)),"Not listed","")</f>
        <v/>
      </c>
      <c r="B71" s="26" t="inlineStr">
        <is>
          <t>consistency_index</t>
        </is>
      </c>
      <c r="C71" s="21" t="inlineStr">
        <is>
          <t>//diggs:propertyClass</t>
        </is>
      </c>
      <c r="D71" s="21" t="inlineStr">
        <is>
          <t>ancestor::diggs:measurement//diggs:procedure/diggs:AtterbergLimitsTest</t>
        </is>
      </c>
    </row>
    <row r="72" ht="17" customHeight="1">
      <c r="A72">
        <f>IF(ISNA(VLOOKUP(B70,Definitions!B$2:B$1604,1,FALSE)),"Not listed","")</f>
        <v/>
      </c>
      <c r="B72" s="26" t="inlineStr">
        <is>
          <t>consistency_index</t>
        </is>
      </c>
      <c r="C72" s="21" t="inlineStr">
        <is>
          <t>//diggs:propertyClass</t>
        </is>
      </c>
      <c r="D72" s="21" t="inlineStr">
        <is>
          <t>ancestor::diggs:measurement//diggs:procedure/diggs:WaterContentTest</t>
        </is>
      </c>
    </row>
    <row r="73" ht="17" customHeight="1">
      <c r="A73">
        <f>IF(ISNA(VLOOKUP(B71,Definitions!B$2:B$1604,1,FALSE)),"Not listed","")</f>
        <v/>
      </c>
      <c r="B73" s="26" t="inlineStr">
        <is>
          <t>constrained_vert_modulus</t>
        </is>
      </c>
      <c r="C73" s="21" t="inlineStr">
        <is>
          <t>//diggs:propertyClass</t>
        </is>
      </c>
      <c r="D73" s="21" t="inlineStr">
        <is>
          <t>ancestor::diggs:measurement//diggs:procedure/diggs:ConsolidationTest</t>
        </is>
      </c>
    </row>
    <row r="74" ht="17" customHeight="1">
      <c r="A74">
        <f>IF(ISNA(VLOOKUP(B72,Definitions!B$2:B$1604,1,FALSE)),"Not listed","")</f>
        <v/>
      </c>
      <c r="B74" s="26" t="inlineStr">
        <is>
          <t>constrained_vert_modulus</t>
        </is>
      </c>
      <c r="C74" s="21" t="inlineStr">
        <is>
          <t>//diggs:propertyClass</t>
        </is>
      </c>
      <c r="D74" s="21" t="inlineStr">
        <is>
          <t>ancestor::diggs:measurement//diggs:procedure/diggs:FlatPlateDilatometerTest</t>
        </is>
      </c>
    </row>
    <row r="75" ht="17" customHeight="1">
      <c r="A75">
        <f>IF(ISNA(VLOOKUP([1]AssociatedElements!B288,Definitions!B$2:B$1604,1,FALSE)),"Not listed","")</f>
        <v/>
      </c>
      <c r="B75" s="38" t="inlineStr">
        <is>
          <t>d_value</t>
        </is>
      </c>
      <c r="C75" s="4" t="inlineStr">
        <is>
          <t>//diggs:propertyClass</t>
        </is>
      </c>
      <c r="D75" s="21" t="inlineStr">
        <is>
          <t>ancestor::diggs:measurement//diggs:procedure/diggs:LabCompactionTest</t>
        </is>
      </c>
    </row>
    <row r="76" ht="17" customHeight="1">
      <c r="A76">
        <f>IF(ISNA(VLOOKUP(B74,Definitions!B$2:B$1604,1,FALSE)),"Not listed","")</f>
        <v/>
      </c>
      <c r="B76" s="26" t="inlineStr">
        <is>
          <t>d10</t>
        </is>
      </c>
      <c r="C76" s="21" t="inlineStr">
        <is>
          <t>//diggs:propertyClass</t>
        </is>
      </c>
      <c r="D76" s="21" t="inlineStr">
        <is>
          <t>ancestor::diggs:measurement//diggs:procedure/diggs:MaterialGradationTest</t>
        </is>
      </c>
    </row>
    <row r="77" ht="17" customHeight="1">
      <c r="A77">
        <f>IF(ISNA(VLOOKUP(B75,Definitions!B$2:B$1604,1,FALSE)),"Not listed","")</f>
        <v/>
      </c>
      <c r="B77" s="26" t="inlineStr">
        <is>
          <t>d10</t>
        </is>
      </c>
      <c r="C77" s="21" t="inlineStr">
        <is>
          <t>//diggs:propertyClass</t>
        </is>
      </c>
      <c r="D77" s="21" t="inlineStr">
        <is>
          <t>ancestor::diggs:measurement//diggs:procedure/diggs:ParticleSizeTest</t>
        </is>
      </c>
    </row>
    <row r="78" ht="17" customHeight="1">
      <c r="A78">
        <f>IF(ISNA(VLOOKUP(B76,Definitions!B$2:B$1604,1,FALSE)),"Not listed","")</f>
        <v/>
      </c>
      <c r="B78" s="26" t="inlineStr">
        <is>
          <t>d15</t>
        </is>
      </c>
      <c r="C78" s="21" t="inlineStr">
        <is>
          <t>//diggs:propertyClass</t>
        </is>
      </c>
      <c r="D78" s="21" t="inlineStr">
        <is>
          <t>ancestor::diggs:measurement//diggs:procedure/diggs:MaterialGradationTest</t>
        </is>
      </c>
    </row>
    <row r="79" ht="17" customHeight="1">
      <c r="A79">
        <f>IF(ISNA(VLOOKUP(B77,Definitions!B$2:B$1604,1,FALSE)),"Not listed","")</f>
        <v/>
      </c>
      <c r="B79" s="26" t="inlineStr">
        <is>
          <t>d15</t>
        </is>
      </c>
      <c r="C79" s="21" t="inlineStr">
        <is>
          <t>//diggs:propertyClass</t>
        </is>
      </c>
      <c r="D79" s="21" t="inlineStr">
        <is>
          <t>ancestor::diggs:measurement//diggs:procedure/diggs:ParticleSizeTest</t>
        </is>
      </c>
    </row>
    <row r="80" ht="17" customHeight="1">
      <c r="A80">
        <f>IF(ISNA(VLOOKUP(B78,Definitions!B$2:B$1604,1,FALSE)),"Not listed","")</f>
        <v/>
      </c>
      <c r="B80" s="26" t="inlineStr">
        <is>
          <t>d30</t>
        </is>
      </c>
      <c r="C80" s="21" t="inlineStr">
        <is>
          <t>//diggs:propertyClass</t>
        </is>
      </c>
      <c r="D80" s="21" t="inlineStr">
        <is>
          <t>ancestor::diggs:measurement//diggs:procedure/diggs:MaterialGradationTest</t>
        </is>
      </c>
    </row>
    <row r="81" ht="17" customHeight="1">
      <c r="A81">
        <f>IF(ISNA(VLOOKUP(B79,Definitions!B$2:B$1604,1,FALSE)),"Not listed","")</f>
        <v/>
      </c>
      <c r="B81" s="26" t="inlineStr">
        <is>
          <t>d30</t>
        </is>
      </c>
      <c r="C81" s="21" t="inlineStr">
        <is>
          <t>//diggs:propertyClass</t>
        </is>
      </c>
      <c r="D81" s="21" t="inlineStr">
        <is>
          <t>ancestor::diggs:measurement//diggs:procedure/diggs:ParticleSizeTest</t>
        </is>
      </c>
    </row>
    <row r="82" ht="17" customHeight="1">
      <c r="A82">
        <f>IF(ISNA(VLOOKUP(B80,Definitions!B$2:B$1604,1,FALSE)),"Not listed","")</f>
        <v/>
      </c>
      <c r="B82" s="26" t="inlineStr">
        <is>
          <t>d50</t>
        </is>
      </c>
      <c r="C82" s="21" t="inlineStr">
        <is>
          <t>//diggs:propertyClass</t>
        </is>
      </c>
      <c r="D82" s="21" t="inlineStr">
        <is>
          <t>ancestor::diggs:measurement//diggs:procedure/diggs:MaterialGradationTest</t>
        </is>
      </c>
    </row>
    <row r="83" ht="17" customHeight="1">
      <c r="A83">
        <f>IF(ISNA(VLOOKUP(B81,Definitions!B$2:B$1604,1,FALSE)),"Not listed","")</f>
        <v/>
      </c>
      <c r="B83" s="26" t="inlineStr">
        <is>
          <t>d50</t>
        </is>
      </c>
      <c r="C83" s="21" t="inlineStr">
        <is>
          <t>//diggs:propertyClass</t>
        </is>
      </c>
      <c r="D83" s="21" t="inlineStr">
        <is>
          <t>ancestor::diggs:measurement//diggs:procedure/diggs:ParticleSizeTest</t>
        </is>
      </c>
    </row>
    <row r="84" ht="17" customHeight="1">
      <c r="A84">
        <f>IF(ISNA(VLOOKUP(B82,Definitions!B$2:B$1604,1,FALSE)),"Not listed","")</f>
        <v/>
      </c>
      <c r="B84" s="26" t="inlineStr">
        <is>
          <t>d60</t>
        </is>
      </c>
      <c r="C84" s="21" t="inlineStr">
        <is>
          <t>//diggs:propertyClass</t>
        </is>
      </c>
      <c r="D84" s="21" t="inlineStr">
        <is>
          <t>ancestor::diggs:measurement//diggs:procedure/diggs:MaterialGradationTest</t>
        </is>
      </c>
    </row>
    <row r="85" ht="17" customHeight="1">
      <c r="A85">
        <f>IF(ISNA(VLOOKUP(B83,Definitions!B$2:B$1604,1,FALSE)),"Not listed","")</f>
        <v/>
      </c>
      <c r="B85" s="26" t="inlineStr">
        <is>
          <t>d60</t>
        </is>
      </c>
      <c r="C85" s="21" t="inlineStr">
        <is>
          <t>//diggs:propertyClass</t>
        </is>
      </c>
      <c r="D85" s="21" t="inlineStr">
        <is>
          <t>ancestor::diggs:measurement//diggs:procedure/diggs:ParticleSizeTest</t>
        </is>
      </c>
    </row>
    <row r="86" ht="17" customHeight="1">
      <c r="A86">
        <f>IF(ISNA(VLOOKUP(B84,Definitions!B$2:B$1604,1,FALSE)),"Not listed","")</f>
        <v/>
      </c>
      <c r="B86" s="26" t="inlineStr">
        <is>
          <t>d85</t>
        </is>
      </c>
      <c r="C86" s="21" t="inlineStr">
        <is>
          <t>//diggs:propertyClass</t>
        </is>
      </c>
      <c r="D86" s="21" t="inlineStr">
        <is>
          <t>ancestor::diggs:measurement//diggs:procedure/diggs:MaterialGradationTest</t>
        </is>
      </c>
    </row>
    <row r="87" ht="17" customHeight="1">
      <c r="A87">
        <f>IF(ISNA(VLOOKUP(B85,Definitions!B$2:B$1604,1,FALSE)),"Not listed","")</f>
        <v/>
      </c>
      <c r="B87" s="26" t="inlineStr">
        <is>
          <t>d85</t>
        </is>
      </c>
      <c r="C87" s="21" t="inlineStr">
        <is>
          <t>//diggs:propertyClass</t>
        </is>
      </c>
      <c r="D87" s="21" t="inlineStr">
        <is>
          <t>ancestor::diggs:measurement//diggs:procedure/diggs:ParticleSizeTest</t>
        </is>
      </c>
    </row>
    <row r="88" ht="17" customHeight="1">
      <c r="A88">
        <f>IF(ISNA(VLOOKUP(B86,Definitions!B$2:B$1604,1,FALSE)),"Not listed","")</f>
        <v/>
      </c>
      <c r="B88" s="26" t="inlineStr">
        <is>
          <t>degree_of_saturation</t>
        </is>
      </c>
      <c r="C88" s="21" t="inlineStr">
        <is>
          <t>//diggs:propertyClass</t>
        </is>
      </c>
      <c r="D88" s="21" t="inlineStr">
        <is>
          <t>ancestor::diggs:measurement//diggs:procedure/diggs:WaterContentTest</t>
        </is>
      </c>
    </row>
    <row r="89" ht="17" customHeight="1">
      <c r="A89">
        <f>IF(ISNA(VLOOKUP(B87,Definitions!B$2:B$1604,1,FALSE)),"Not listed","")</f>
        <v/>
      </c>
      <c r="B89" s="26" t="inlineStr">
        <is>
          <t>delay</t>
        </is>
      </c>
      <c r="C89" s="21" t="inlineStr">
        <is>
          <t>//diggs:propertyClass</t>
        </is>
      </c>
      <c r="D89" s="21" t="inlineStr">
        <is>
          <t>ancestor::diggs:measurement//diggs:procedure/diggs:DynamicProbeTest</t>
        </is>
      </c>
    </row>
    <row r="90" ht="17" customHeight="1">
      <c r="A90">
        <f>IF(ISNA(VLOOKUP(B88,Definitions!B$2:B$1604,1,FALSE)),"Not listed","")</f>
        <v/>
      </c>
      <c r="B90" s="38" t="inlineStr">
        <is>
          <t>depth</t>
        </is>
      </c>
      <c r="C90" s="4" t="inlineStr">
        <is>
          <t>//diggs:propertyClass</t>
        </is>
      </c>
      <c r="D90" s="21" t="inlineStr">
        <is>
          <t>ancestor::diggs:TemporalResult</t>
        </is>
      </c>
    </row>
    <row r="91" ht="17" customHeight="1">
      <c r="A91">
        <f>IF(ISNA(VLOOKUP(B89,Definitions!B$2:B$1604,1,FALSE)),"Not listed","")</f>
        <v/>
      </c>
      <c r="B91" s="38" t="inlineStr">
        <is>
          <t>depth</t>
        </is>
      </c>
      <c r="C91" s="4" t="inlineStr">
        <is>
          <t>//diggs:propertyClass</t>
        </is>
      </c>
      <c r="D91" s="21" t="inlineStr">
        <is>
          <t>ancestor::diggs:TemporalResult</t>
        </is>
      </c>
    </row>
    <row r="92" ht="17" customHeight="1">
      <c r="A92">
        <f>IF(ISNA(VLOOKUP(B90,Definitions!B$2:B$1604,1,FALSE)),"Not listed","")</f>
        <v/>
      </c>
      <c r="B92" t="inlineStr">
        <is>
          <t>dilation_angle</t>
        </is>
      </c>
      <c r="C92" s="4" t="inlineStr">
        <is>
          <t>//diggs:propertyClass</t>
        </is>
      </c>
      <c r="D92" s="21" t="inlineStr">
        <is>
          <t>ancestor::diggs:measurement//diggs:procedure/diggs:PressuremeterTest</t>
        </is>
      </c>
    </row>
    <row r="93" ht="17" customHeight="1">
      <c r="A93">
        <f>IF(ISNA(VLOOKUP(B91,Definitions!B$2:B$1604,1,FALSE)),"Not listed","")</f>
        <v/>
      </c>
      <c r="B93" s="26" t="inlineStr">
        <is>
          <t>dilatometer_modulus</t>
        </is>
      </c>
      <c r="C93" s="21" t="inlineStr">
        <is>
          <t>//diggs:propertyClass</t>
        </is>
      </c>
      <c r="D93" s="21" t="inlineStr">
        <is>
          <t>ancestor::diggs:measurement//diggs:procedure/diggs:FlatPlateDilatometerTest</t>
        </is>
      </c>
    </row>
    <row r="94" ht="17" customHeight="1">
      <c r="A94">
        <f>IF(ISNA(VLOOKUP(B92,Definitions!B$2:B$1604,1,FALSE)),"Not listed","")</f>
        <v/>
      </c>
      <c r="B94" s="26" t="inlineStr">
        <is>
          <t>dmt_tip_bearing</t>
        </is>
      </c>
      <c r="C94" s="21" t="inlineStr">
        <is>
          <t>//diggs:propertyClass</t>
        </is>
      </c>
      <c r="D94" s="21" t="inlineStr">
        <is>
          <t>ancestor::diggs:measurement//diggs:procedure/diggs:FlatPlateDilatometerTest</t>
        </is>
      </c>
    </row>
    <row r="95" ht="17" customHeight="1">
      <c r="A95">
        <f>IF(ISNA(VLOOKUP(B93,Definitions!B$2:B$1604,1,FALSE)),"Not listed","")</f>
        <v/>
      </c>
      <c r="B95" s="26" t="inlineStr">
        <is>
          <t>dry_density</t>
        </is>
      </c>
      <c r="C95" s="21" t="inlineStr">
        <is>
          <t>//diggs:propertyClass</t>
        </is>
      </c>
      <c r="D95" s="21" t="inlineStr">
        <is>
          <t>ancestor::diggs:measurement//diggs:procedure/diggs:LabDensityTest</t>
        </is>
      </c>
    </row>
    <row r="96" ht="17" customHeight="1">
      <c r="A96">
        <f>IF(ISNA(VLOOKUP(B94,Definitions!B$2:B$1604,1,FALSE)),"Not listed","")</f>
        <v/>
      </c>
      <c r="B96" s="26" t="inlineStr">
        <is>
          <t>dry_density_max</t>
        </is>
      </c>
      <c r="C96" s="21" t="inlineStr">
        <is>
          <t>//diggs:propertyClass</t>
        </is>
      </c>
      <c r="D96" s="21" t="inlineStr">
        <is>
          <t>ancestor::diggs:measurement//diggs:procedure/diggs:LabCompactionTest</t>
        </is>
      </c>
    </row>
    <row r="97" ht="17" customHeight="1">
      <c r="A97">
        <f>IF(ISNA(VLOOKUP([1]AssociatedElements!B284,Definitions!B$2:B$1604,1,FALSE)),"Not listed","")</f>
        <v/>
      </c>
      <c r="B97" s="38" t="inlineStr">
        <is>
          <t>dry_density_max_true</t>
        </is>
      </c>
      <c r="C97" s="21" t="inlineStr">
        <is>
          <t>//diggs:propertyClass</t>
        </is>
      </c>
      <c r="D97" s="21" t="inlineStr">
        <is>
          <t>ancestor::diggs:measurement//diggs:procedure/diggs:LabCompactionTest</t>
        </is>
      </c>
    </row>
    <row r="98" ht="17" customHeight="1">
      <c r="A98">
        <f>IF(ISNA(VLOOKUP([1]AssociatedElements!B283,Definitions!B$2:B$1604,1,FALSE)),"Not listed","")</f>
        <v/>
      </c>
      <c r="B98" s="11" t="inlineStr">
        <is>
          <t>dry_density_true</t>
        </is>
      </c>
      <c r="C98" s="21" t="inlineStr">
        <is>
          <t>//diggs:propertyClass</t>
        </is>
      </c>
      <c r="D98" s="21" t="inlineStr">
        <is>
          <t>ancestor::diggs:measurement//diggs:procedure/diggs:LabDensityTest</t>
        </is>
      </c>
    </row>
    <row r="99" ht="17" customHeight="1">
      <c r="B99" s="38" t="inlineStr">
        <is>
          <t>easily_oxidized_carbon</t>
        </is>
      </c>
      <c r="C99" s="4" t="inlineStr">
        <is>
          <t>//diggs:propertyClass</t>
        </is>
      </c>
      <c r="D99" s="21" t="inlineStr">
        <is>
          <t>ancestor::diggs:measurement//diggs:procedure/diggs:OrganicMatterByWetCombustionTest</t>
        </is>
      </c>
    </row>
    <row r="100" ht="17" customHeight="1">
      <c r="A100">
        <f>IF(ISNA(VLOOKUP([1]AssociatedElements!B284,Definitions!B$2:B$1604,1,FALSE)),"Not listed","")</f>
        <v/>
      </c>
      <c r="B100" s="38" t="inlineStr">
        <is>
          <t>easily_oxidized_matter</t>
        </is>
      </c>
      <c r="C100" s="4" t="inlineStr">
        <is>
          <t>//diggs:propertyClass</t>
        </is>
      </c>
      <c r="D100" s="21" t="inlineStr">
        <is>
          <t>ancestor::diggs:measurement//diggs:procedure/diggs:OrganicMatterByWetCombustionTest</t>
        </is>
      </c>
    </row>
    <row r="101" ht="17" customHeight="1">
      <c r="A101">
        <f>IF(ISNA(VLOOKUP(B99,Definitions!B$2:B$1604,1,FALSE)),"Not listed","")</f>
        <v/>
      </c>
      <c r="B101" s="26" t="inlineStr">
        <is>
          <t>effective_stress_vertical</t>
        </is>
      </c>
      <c r="C101" s="21" t="inlineStr">
        <is>
          <t>//diggs:propertyClass</t>
        </is>
      </c>
      <c r="D101" s="21" t="inlineStr">
        <is>
          <t>ancestor::diggs:measurement//diggs:procedure/diggs:FlatPlateDilatometerTest</t>
        </is>
      </c>
    </row>
    <row r="102" ht="17" customHeight="1">
      <c r="A102">
        <f>IF(ISNA(VLOOKUP(B100,Definitions!B$2:B$1604,1,FALSE)),"Not listed","")</f>
        <v/>
      </c>
      <c r="B102" s="38" t="inlineStr">
        <is>
          <t>elapsed_time</t>
        </is>
      </c>
      <c r="C102" s="4" t="inlineStr">
        <is>
          <t>//diggs:propertyClass</t>
        </is>
      </c>
      <c r="D102" s="29" t="inlineStr">
        <is>
          <t>ancestor::diggs:dissipationTimeSeries</t>
        </is>
      </c>
    </row>
    <row r="103" ht="17" customHeight="1">
      <c r="A103">
        <f>IF(ISNA(VLOOKUP(B101,Definitions!B$2:B$1604,1,FALSE)),"Not listed","")</f>
        <v/>
      </c>
      <c r="B103" s="38" t="inlineStr">
        <is>
          <t>elapsed_time</t>
        </is>
      </c>
      <c r="C103" s="4" t="inlineStr">
        <is>
          <t>//diggs:propertyClass</t>
        </is>
      </c>
      <c r="D103" s="21" t="inlineStr">
        <is>
          <t>ancestor::diggs:lugeonStepTimeSeries</t>
        </is>
      </c>
    </row>
    <row r="104" ht="17" customHeight="1">
      <c r="A104">
        <f>IF(ISNA(VLOOKUP(B102,Definitions!B$2:B$1604,1,FALSE)),"Not listed","")</f>
        <v/>
      </c>
      <c r="B104" s="38" t="inlineStr">
        <is>
          <t>elapsed_time</t>
        </is>
      </c>
      <c r="C104" s="4" t="inlineStr">
        <is>
          <t>//diggs:propertyClass</t>
        </is>
      </c>
      <c r="D104" s="21" t="inlineStr">
        <is>
          <t>ancestor::diggs:measurement//diggs:procedure/diggs:StaticConePenetrationTest</t>
        </is>
      </c>
    </row>
    <row r="105" ht="17" customHeight="1">
      <c r="A105">
        <f>IF(ISNA(VLOOKUP(B103,Definitions!B$2:B$1604,1,FALSE)),"Not listed","")</f>
        <v/>
      </c>
      <c r="B105" s="38" t="inlineStr">
        <is>
          <t>elapsed_time</t>
        </is>
      </c>
      <c r="C105" s="4" t="inlineStr">
        <is>
          <t>//diggs:propertyClass</t>
        </is>
      </c>
      <c r="D105" s="21" t="inlineStr">
        <is>
          <t>ancestor::diggs:syneresisTimeSeries</t>
        </is>
      </c>
    </row>
    <row r="106" ht="17" customHeight="1">
      <c r="A106">
        <f>IF(ISNA(VLOOKUP(B104,Definitions!B$2:B$1604,1,FALSE)),"Not listed","")</f>
        <v/>
      </c>
      <c r="B106" t="inlineStr">
        <is>
          <t>filtrate_volume</t>
        </is>
      </c>
      <c r="C106" s="4" t="inlineStr">
        <is>
          <t>//diggs:propertyClass</t>
        </is>
      </c>
      <c r="D106" s="21" t="inlineStr">
        <is>
          <t>ancestor::diggs:measurement//diggs:procedure/diggs:PressureFiltrationTest</t>
        </is>
      </c>
    </row>
    <row r="107" ht="17" customHeight="1">
      <c r="A107">
        <f>IF(ISNA(VLOOKUP(B105,Definitions!B$2:B$1604,1,FALSE)),"Not listed","")</f>
        <v/>
      </c>
      <c r="B107" s="26" t="inlineStr">
        <is>
          <t>flame_ionization_measurement</t>
        </is>
      </c>
      <c r="C107" s="21" t="inlineStr">
        <is>
          <t>//diggs:propertyClass</t>
        </is>
      </c>
      <c r="D107" s="21" t="inlineStr">
        <is>
          <t>ancestor::diggs:measurement//diggs:procedure/diggs:EnvironmentalScreeningTest</t>
        </is>
      </c>
    </row>
    <row r="108" ht="17" customHeight="1">
      <c r="A108">
        <f>IF(ISNA(VLOOKUP(B106,Definitions!B$2:B$1604,1,FALSE)),"Not listed","")</f>
        <v/>
      </c>
      <c r="B108" s="26" t="inlineStr">
        <is>
          <t>flame_ionization_measurement</t>
        </is>
      </c>
      <c r="C108" s="21" t="inlineStr">
        <is>
          <t>//diggs:propertyClass</t>
        </is>
      </c>
      <c r="D108" s="21" t="inlineStr">
        <is>
          <t>ancestor::diggs:measurement//diggs:procedure/diggs:FlameIonizationDetectorTest</t>
        </is>
      </c>
    </row>
    <row r="109" ht="17" customHeight="1">
      <c r="A109">
        <f>IF(ISNA(VLOOKUP(B107,Definitions!B$2:B$1604,1,FALSE)),"Not listed","")</f>
        <v/>
      </c>
      <c r="B109" t="inlineStr">
        <is>
          <t>flow_cone_time</t>
        </is>
      </c>
      <c r="C109" s="4" t="inlineStr">
        <is>
          <t>//diggs:propertyClass</t>
        </is>
      </c>
      <c r="D109" s="21" t="inlineStr">
        <is>
          <t>ancestor::diggs:measurement//diggs:procedure/diggs:FlowConeTest</t>
        </is>
      </c>
    </row>
    <row r="110" ht="17" customHeight="1">
      <c r="A110">
        <f>IF(ISNA(VLOOKUP(B108,Definitions!B$2:B$1604,1,FALSE)),"Not listed","")</f>
        <v/>
      </c>
      <c r="B110" s="38" t="inlineStr">
        <is>
          <t>flow_mass_rate</t>
        </is>
      </c>
      <c r="C110" s="4" t="inlineStr">
        <is>
          <t>//diggs:propertyClass</t>
        </is>
      </c>
      <c r="D110" s="21" t="inlineStr">
        <is>
          <t>ancestor::diggs:lugeonStepTimeSeries</t>
        </is>
      </c>
    </row>
    <row r="111" ht="17" customHeight="1">
      <c r="A111">
        <f>IF(ISNA(VLOOKUP(B109,Definitions!B$2:B$1604,1,FALSE)),"Not listed","")</f>
        <v/>
      </c>
      <c r="B111" s="38" t="inlineStr">
        <is>
          <t>flow_volume_rate</t>
        </is>
      </c>
      <c r="C111" s="4" t="inlineStr">
        <is>
          <t>//diggs:propertyClass</t>
        </is>
      </c>
      <c r="D111" s="21" t="inlineStr">
        <is>
          <t>ancestor::diggs:lugeonStepTimeSeries</t>
        </is>
      </c>
    </row>
    <row r="112" ht="17" customHeight="1">
      <c r="A112">
        <f>IF(ISNA(VLOOKUP([1]AssociatedElements!B286,Definitions!B$2:B$1604,1,FALSE)),"Not listed","")</f>
        <v/>
      </c>
      <c r="B112" s="38" t="inlineStr">
        <is>
          <t>free_swell_value</t>
        </is>
      </c>
      <c r="C112" s="4" t="inlineStr">
        <is>
          <t>//diggs:propertyClass</t>
        </is>
      </c>
      <c r="D112" s="21" t="inlineStr">
        <is>
          <t>ancestor::diggs:measurement//diggs:procedure/diggs:SwellOrCollapseTest</t>
        </is>
      </c>
    </row>
    <row r="113" ht="17" customHeight="1">
      <c r="A113">
        <f>IF(ISNA(VLOOKUP(B111,Definitions!B$2:B$1604,1,FALSE)),"Not listed","")</f>
        <v/>
      </c>
      <c r="B113" s="26" t="inlineStr">
        <is>
          <t>friction_angle_cv</t>
        </is>
      </c>
      <c r="C113" s="21" t="inlineStr">
        <is>
          <t>//diggs:propertyClass</t>
        </is>
      </c>
      <c r="D113" s="21" t="inlineStr">
        <is>
          <t>ancestor::diggs:measurement//diggs:procedure/diggs:DirectShearTest</t>
        </is>
      </c>
    </row>
    <row r="114" ht="17" customHeight="1">
      <c r="A114">
        <f>IF(ISNA(VLOOKUP(B112,Definitions!B$2:B$1604,1,FALSE)),"Not listed","")</f>
        <v/>
      </c>
      <c r="B114" t="inlineStr">
        <is>
          <t>friction_angle_cv</t>
        </is>
      </c>
      <c r="C114" s="4" t="inlineStr">
        <is>
          <t>//diggs:propertyClass</t>
        </is>
      </c>
      <c r="D114" s="21" t="inlineStr">
        <is>
          <t>ancestor::diggs:measurement//diggs:procedure/diggs:PressuremeterTest</t>
        </is>
      </c>
    </row>
    <row r="115">
      <c r="A115">
        <f>IF(ISNA(VLOOKUP(B113,Definitions!B$2:B$1604,1,FALSE)),"Not listed","")</f>
        <v/>
      </c>
      <c r="B115" t="inlineStr">
        <is>
          <t>friction_angle_cv</t>
        </is>
      </c>
      <c r="C115" t="inlineStr">
        <is>
          <t>//diggs:propertyClass</t>
        </is>
      </c>
      <c r="D115" t="inlineStr">
        <is>
          <t>ancestor::diggs:measurement//diggs:procedure/diggs:TriaxialTest</t>
        </is>
      </c>
    </row>
    <row r="116" ht="17" customHeight="1">
      <c r="A116">
        <f>IF(ISNA(VLOOKUP(B113,Definitions!B$2:B$1604,1,FALSE)),"Not listed","")</f>
        <v/>
      </c>
      <c r="B116" s="26" t="inlineStr">
        <is>
          <t>friction_angle_peak</t>
        </is>
      </c>
      <c r="C116" s="21" t="inlineStr">
        <is>
          <t>//diggs:propertyClass</t>
        </is>
      </c>
      <c r="D116" s="21" t="inlineStr">
        <is>
          <t>ancestor::diggs:measurement//diggs:procedure/diggs:DirectShearTest</t>
        </is>
      </c>
    </row>
    <row r="117" ht="17" customHeight="1">
      <c r="A117">
        <f>IF(ISNA(VLOOKUP(B114,Definitions!B$2:B$1604,1,FALSE)),"Not listed","")</f>
        <v/>
      </c>
      <c r="B117" s="26" t="inlineStr">
        <is>
          <t>friction_angle_peak</t>
        </is>
      </c>
      <c r="C117" s="21" t="inlineStr">
        <is>
          <t>//diggs:propertyClass</t>
        </is>
      </c>
      <c r="D117" s="21" t="inlineStr">
        <is>
          <t>ancestor::diggs:measurement//diggs:procedure/diggs:FlatPlateDilatometerTest</t>
        </is>
      </c>
    </row>
    <row r="118" ht="17" customHeight="1">
      <c r="A118">
        <f>IF(ISNA(VLOOKUP(B115,Definitions!B$2:B$1604,1,FALSE)),"Not listed","")</f>
        <v/>
      </c>
      <c r="B118" t="inlineStr">
        <is>
          <t>friction_angle_peak</t>
        </is>
      </c>
      <c r="C118" s="4" t="inlineStr">
        <is>
          <t>//diggs:propertyClass</t>
        </is>
      </c>
      <c r="D118" s="21" t="inlineStr">
        <is>
          <t>ancestor::diggs:measurement//diggs:procedure/diggs:TriaxialTest</t>
        </is>
      </c>
    </row>
    <row r="119" ht="17" customHeight="1">
      <c r="A119">
        <f>IF(ISNA(VLOOKUP(B117,Definitions!B$2:B$1604,1,FALSE)),"Not listed","")</f>
        <v/>
      </c>
      <c r="B119" s="26" t="inlineStr">
        <is>
          <t>friction_angle_residual</t>
        </is>
      </c>
      <c r="C119" s="21" t="inlineStr">
        <is>
          <t>//diggs:propertyClass</t>
        </is>
      </c>
      <c r="D119" s="21" t="inlineStr">
        <is>
          <t>ancestor::diggs:measurement//diggs:procedure/diggs:DirectShearTest</t>
        </is>
      </c>
    </row>
    <row r="120" ht="17" customHeight="1">
      <c r="A120">
        <f>IF(ISNA(VLOOKUP(B118,Definitions!B$2:B$1604,1,FALSE)),"Not listed","")</f>
        <v/>
      </c>
      <c r="B120" s="26" t="inlineStr">
        <is>
          <t>friction_angle_residual</t>
        </is>
      </c>
      <c r="C120" s="21" t="inlineStr">
        <is>
          <t>//diggs:propertyClass</t>
        </is>
      </c>
      <c r="D120" s="21" t="inlineStr">
        <is>
          <t>ancestor::diggs:measurement//diggs:procedure/diggs:FlatPlateDilatometerTest</t>
        </is>
      </c>
    </row>
    <row r="121" ht="17" customHeight="1">
      <c r="A121">
        <f>IF(ISNA(VLOOKUP(B119,Definitions!B$2:B$1604,1,FALSE)),"Not listed","")</f>
        <v/>
      </c>
      <c r="B121" t="inlineStr">
        <is>
          <t>friction_angle_residual</t>
        </is>
      </c>
      <c r="C121" s="4" t="inlineStr">
        <is>
          <t>//diggs:propertyClass</t>
        </is>
      </c>
      <c r="D121" s="21" t="inlineStr">
        <is>
          <t>ancestor::diggs:measurement//diggs:procedure/diggs:PressuremeterTest</t>
        </is>
      </c>
    </row>
    <row r="122" ht="17" customHeight="1">
      <c r="A122">
        <f>IF(ISNA(VLOOKUP(B120,Definitions!B$2:B$1604,1,FALSE)),"Not listed","")</f>
        <v/>
      </c>
      <c r="B122" t="inlineStr">
        <is>
          <t>friction_angle_residual</t>
        </is>
      </c>
      <c r="C122" s="4" t="inlineStr">
        <is>
          <t>//diggs:propertyClass</t>
        </is>
      </c>
      <c r="D122" s="21" t="inlineStr">
        <is>
          <t>ancestor::diggs:measurement//diggs:procedure/diggs:TriaxialTest</t>
        </is>
      </c>
    </row>
    <row r="123" ht="17" customHeight="1">
      <c r="A123">
        <f>IF(ISNA(VLOOKUP(B121,Definitions!B$2:B$1604,1,FALSE)),"Not listed","")</f>
        <v/>
      </c>
      <c r="B123" s="26" t="inlineStr">
        <is>
          <t>friction_angle_residual</t>
        </is>
      </c>
      <c r="C123" s="21" t="inlineStr">
        <is>
          <t>//diggs:propertyClass</t>
        </is>
      </c>
      <c r="D123" s="21" t="inlineStr">
        <is>
          <t>ancestor::diggs:measurement//diggs:procedure/diggs:TriaxialTest</t>
        </is>
      </c>
    </row>
    <row r="124" ht="17" customHeight="1">
      <c r="A124">
        <f>IF(ISNA(VLOOKUP(B122,Definitions!B$2:B$1604,1,FALSE)),"Not listed","")</f>
        <v/>
      </c>
      <c r="B124" s="26" t="inlineStr">
        <is>
          <t>friction_ratio</t>
        </is>
      </c>
      <c r="C124" s="21" t="inlineStr">
        <is>
          <t>//diggs:propertyClass</t>
        </is>
      </c>
      <c r="D124" s="21" t="inlineStr">
        <is>
          <t>ancestor::diggs:measurement//diggs:procedure/diggs:StaticConePenetrationTest</t>
        </is>
      </c>
    </row>
    <row r="125">
      <c r="A125">
        <f>IF(ISNA(VLOOKUP(B123,Definitions!B$2:B$1604,1,FALSE)),"Not listed","")</f>
        <v/>
      </c>
      <c r="B125" t="inlineStr">
        <is>
          <t>frost_heave</t>
        </is>
      </c>
      <c r="C125" s="4" t="inlineStr">
        <is>
          <t>//diggs:propertyClass</t>
        </is>
      </c>
      <c r="D125" s="21" t="inlineStr">
        <is>
          <t>ancestor::diggs:measurement//diggs:procedure/diggs:FrostSusceptibilityTest</t>
        </is>
      </c>
    </row>
    <row r="126" ht="17" customHeight="1">
      <c r="A126">
        <f>IF(ISNA(VLOOKUP(B124,Definitions!B$2:B$1604,1,FALSE)),"Not listed","")</f>
        <v/>
      </c>
      <c r="B126" s="38" t="inlineStr">
        <is>
          <t>gauge_pressure</t>
        </is>
      </c>
      <c r="C126" s="4" t="inlineStr">
        <is>
          <t>//diggs:propertyClass</t>
        </is>
      </c>
      <c r="D126" s="21" t="inlineStr">
        <is>
          <t>ancestor::diggs:lugeonStepTimeSeries</t>
        </is>
      </c>
    </row>
    <row r="127" ht="17" customHeight="1">
      <c r="A127">
        <f>IF(ISNA(VLOOKUP(B125,Definitions!B$2:B$1604,1,FALSE)),"Not listed","")</f>
        <v/>
      </c>
      <c r="B127" t="inlineStr">
        <is>
          <t>gel_time</t>
        </is>
      </c>
      <c r="C127" s="4" t="inlineStr">
        <is>
          <t>//diggs:propertyClass</t>
        </is>
      </c>
      <c r="D127" s="21" t="inlineStr">
        <is>
          <t>ancestor::diggs:measurement//diggs:procedure/diggs:TiltCupTest</t>
        </is>
      </c>
    </row>
    <row r="128" ht="17" customHeight="1">
      <c r="A128">
        <f>IF(ISNA(VLOOKUP(B126,Definitions!B$2:B$1604,1,FALSE)),"Not listed","")</f>
        <v/>
      </c>
      <c r="B128" t="inlineStr">
        <is>
          <t>gel_time</t>
        </is>
      </c>
      <c r="C128" s="4" t="inlineStr">
        <is>
          <t>//diggs:propertyClass</t>
        </is>
      </c>
      <c r="D128" s="21" t="inlineStr">
        <is>
          <t>ancestor::diggs:measurement//diggs:procedure/diggs:ViscometerTest</t>
        </is>
      </c>
    </row>
    <row r="129" ht="17" customHeight="1">
      <c r="A129">
        <f>IF(ISNA(VLOOKUP(B127,Definitions!B$2:B$1604,1,FALSE)),"Not listed","")</f>
        <v/>
      </c>
      <c r="B129" s="26" t="inlineStr">
        <is>
          <t>HFFD</t>
        </is>
      </c>
      <c r="C129" s="21" t="inlineStr">
        <is>
          <t>//diggs:propertyClass</t>
        </is>
      </c>
      <c r="D129" s="21" t="inlineStr">
        <is>
          <t>ancestor::diggs:measurement//diggs:procedure/diggs:StaticConePenetrationTest</t>
        </is>
      </c>
    </row>
    <row r="130" ht="17" customHeight="1">
      <c r="A130">
        <f>IF(ISNA(VLOOKUP(B128,Definitions!B$2:B$1604,1,FALSE)),"Not listed","")</f>
        <v/>
      </c>
      <c r="B130" s="26" t="inlineStr">
        <is>
          <t>horiz_stress_index</t>
        </is>
      </c>
      <c r="C130" s="21" t="inlineStr">
        <is>
          <t>//diggs:propertyClass</t>
        </is>
      </c>
      <c r="D130" s="21" t="inlineStr">
        <is>
          <t>ancestor::diggs:measurement//diggs:procedure/diggs:FlatPlateDilatometerTest</t>
        </is>
      </c>
    </row>
    <row r="131" ht="17" customHeight="1">
      <c r="A131">
        <f>IF(ISNA(VLOOKUP(B129,Definitions!B$2:B$1604,1,FALSE)),"Not listed","")</f>
        <v/>
      </c>
      <c r="B131" s="26" t="inlineStr">
        <is>
          <t>inclination</t>
        </is>
      </c>
      <c r="C131" s="21" t="inlineStr">
        <is>
          <t>//diggs:propertyClass</t>
        </is>
      </c>
      <c r="D131" s="21" t="inlineStr">
        <is>
          <t>ancestor::diggs:measurement//diggs:procedure/diggs:StaticConePenetrationTest</t>
        </is>
      </c>
    </row>
    <row r="132" ht="17" customHeight="1">
      <c r="A132">
        <f>IF(ISNA(VLOOKUP(B130,Definitions!B$2:B$1604,1,FALSE)),"Not listed","")</f>
        <v/>
      </c>
      <c r="B132" s="26" t="inlineStr">
        <is>
          <t>inclination_x</t>
        </is>
      </c>
      <c r="C132" s="21" t="inlineStr">
        <is>
          <t>//diggs:propertyClass</t>
        </is>
      </c>
      <c r="D132" s="21" t="inlineStr">
        <is>
          <t>ancestor::diggs:measurement//diggs:procedure/diggs:StaticConePenetrationTest</t>
        </is>
      </c>
    </row>
    <row r="133" ht="17" customHeight="1">
      <c r="A133">
        <f>IF(ISNA(VLOOKUP(B131,Definitions!B$2:B$1604,1,FALSE)),"Not listed","")</f>
        <v/>
      </c>
      <c r="B133" s="26" t="inlineStr">
        <is>
          <t>inclination_y</t>
        </is>
      </c>
      <c r="C133" s="21" t="inlineStr">
        <is>
          <t>//diggs:propertyClass</t>
        </is>
      </c>
      <c r="D133" s="21" t="inlineStr">
        <is>
          <t>ancestor::diggs:measurement//diggs:procedure/diggs:StaticConePenetrationTest</t>
        </is>
      </c>
    </row>
    <row r="134" ht="17" customHeight="1">
      <c r="A134">
        <f>IF(ISNA(VLOOKUP(B132,Definitions!B$2:B$1604,1,FALSE)),"Not listed","")</f>
        <v/>
      </c>
      <c r="B134" t="inlineStr">
        <is>
          <t>insitu_horizontal_stress</t>
        </is>
      </c>
      <c r="C134" s="4" t="inlineStr">
        <is>
          <t>//diggs:propertyClass</t>
        </is>
      </c>
      <c r="D134" s="21" t="inlineStr">
        <is>
          <t>ancestor::diggs:measurement//diggs:procedure/diggs:PressuremeterTest</t>
        </is>
      </c>
    </row>
    <row r="135" ht="17" customHeight="1">
      <c r="A135">
        <f>IF(ISNA(VLOOKUP(B133,Definitions!B$2:B$1604,1,FALSE)),"Not listed","")</f>
        <v/>
      </c>
      <c r="B135" s="26" t="inlineStr">
        <is>
          <t>Is</t>
        </is>
      </c>
      <c r="C135" s="21" t="inlineStr">
        <is>
          <t>//diggs:propertyClass</t>
        </is>
      </c>
      <c r="D135" s="21" t="inlineStr">
        <is>
          <t>ancestor::diggs:measurement//diggs:procedure/diggs:PointLoadTest</t>
        </is>
      </c>
    </row>
    <row r="136" ht="17" customHeight="1">
      <c r="A136">
        <f>IF(ISNA(VLOOKUP(B134,Definitions!B$2:B$1604,1,FALSE)),"Not listed","")</f>
        <v/>
      </c>
      <c r="B136" s="26" t="inlineStr">
        <is>
          <t>Is50</t>
        </is>
      </c>
      <c r="C136" s="21" t="inlineStr">
        <is>
          <t>//diggs:propertyClass</t>
        </is>
      </c>
      <c r="D136" s="21" t="inlineStr">
        <is>
          <t>ancestor::diggs:measurement//diggs:procedure/diggs:PointLoadTest</t>
        </is>
      </c>
    </row>
    <row r="137" ht="17" customHeight="1">
      <c r="A137">
        <f>IF(ISNA(VLOOKUP(B135,Definitions!B$2:B$1604,1,FALSE)),"Not listed","")</f>
        <v/>
      </c>
      <c r="B137" s="26" t="inlineStr">
        <is>
          <t>LFFD</t>
        </is>
      </c>
      <c r="C137" s="21" t="inlineStr">
        <is>
          <t>//diggs:propertyClass</t>
        </is>
      </c>
      <c r="D137" s="21" t="inlineStr">
        <is>
          <t>ancestor::diggs:measurement//diggs:procedure/diggs:StaticConePenetrationTest</t>
        </is>
      </c>
    </row>
    <row r="138">
      <c r="A138">
        <f>IF(ISNA(VLOOKUP(B136,Definitions!B$2:B$1604,1,FALSE)),"Not listed","")</f>
        <v/>
      </c>
      <c r="B138" t="inlineStr">
        <is>
          <t>limit_pressure</t>
        </is>
      </c>
      <c r="C138" s="4" t="inlineStr">
        <is>
          <t>//diggs:propertyClass</t>
        </is>
      </c>
      <c r="D138" s="21" t="inlineStr">
        <is>
          <t>ancestor::diggs:measurement//diggs:procedure/diggs:PressuremeterTest</t>
        </is>
      </c>
    </row>
    <row r="139">
      <c r="A139">
        <f>IF(ISNA(VLOOKUP(B137,Definitions!B$2:B$1604,1,FALSE)),"Not listed","")</f>
        <v/>
      </c>
      <c r="B139" t="inlineStr">
        <is>
          <t>line_loss_coeff_A</t>
        </is>
      </c>
      <c r="C139" s="4" t="inlineStr">
        <is>
          <t>//diggs:propertyClass</t>
        </is>
      </c>
      <c r="D139" s="21" t="inlineStr">
        <is>
          <t>ancestor::diggs:measurement//diggs:procedure/diggs:LineLossTest</t>
        </is>
      </c>
    </row>
    <row r="140">
      <c r="A140">
        <f>IF(ISNA(VLOOKUP(B138,Definitions!B$2:B$1604,1,FALSE)),"Not listed","")</f>
        <v/>
      </c>
      <c r="B140" t="inlineStr">
        <is>
          <t>line_loss_coeff_B</t>
        </is>
      </c>
      <c r="C140" s="4" t="inlineStr">
        <is>
          <t>//diggs:propertyClass</t>
        </is>
      </c>
      <c r="D140" s="21" t="inlineStr">
        <is>
          <t>ancestor::diggs:measurement//diggs:procedure/diggs:LineLossTest</t>
        </is>
      </c>
    </row>
    <row r="141" ht="17" customHeight="1">
      <c r="A141">
        <f>IF(ISNA(VLOOKUP(B139,Definitions!B$2:B$1604,1,FALSE)),"Not listed","")</f>
        <v/>
      </c>
      <c r="B141" t="inlineStr">
        <is>
          <t>line_loss_coeff_C</t>
        </is>
      </c>
      <c r="C141" s="4" t="inlineStr">
        <is>
          <t>//diggs:propertyClass</t>
        </is>
      </c>
      <c r="D141" s="21" t="inlineStr">
        <is>
          <t>ancestor::diggs:measurement//diggs:procedure/diggs:LineLossTest</t>
        </is>
      </c>
    </row>
    <row r="142" ht="17" customHeight="1">
      <c r="A142">
        <f>IF(ISNA(VLOOKUP(B140,Definitions!B$2:B$1604,1,FALSE)),"Not listed","")</f>
        <v/>
      </c>
      <c r="B142" t="inlineStr">
        <is>
          <t>line_loss_r2</t>
        </is>
      </c>
      <c r="C142" s="4" t="inlineStr">
        <is>
          <t>//diggs:propertyClass</t>
        </is>
      </c>
      <c r="D142" s="21" t="inlineStr">
        <is>
          <t>ancestor::diggs:measurement//diggs:procedure/diggs:LineLossTest</t>
        </is>
      </c>
    </row>
    <row r="143" ht="17" customHeight="1">
      <c r="A143">
        <f>IF(ISNA(VLOOKUP(B141,Definitions!B$2:B$1604,1,FALSE)),"Not listed","")</f>
        <v/>
      </c>
      <c r="B143" s="26" t="inlineStr">
        <is>
          <t>liquid_limit</t>
        </is>
      </c>
      <c r="C143" s="21" t="inlineStr">
        <is>
          <t>//diggs:propertyClass</t>
        </is>
      </c>
      <c r="D143" s="21" t="inlineStr">
        <is>
          <t>ancestor::diggs:measurement//diggs:procedure/diggs:AtterbergLimitsTest</t>
        </is>
      </c>
    </row>
    <row r="144" ht="17" customHeight="1">
      <c r="A144">
        <f>IF(ISNA(VLOOKUP(B142,Definitions!B$2:B$1604,1,FALSE)),"Not listed","")</f>
        <v/>
      </c>
      <c r="B144" s="26" t="inlineStr">
        <is>
          <t>liquid_limit_oven_dried</t>
        </is>
      </c>
      <c r="C144" s="21" t="inlineStr">
        <is>
          <t>//diggs:propertyClass</t>
        </is>
      </c>
      <c r="D144" s="21" t="inlineStr">
        <is>
          <t>ancestor::diggs:measurement//diggs:procedure/diggs:AtterbergLimitsTest</t>
        </is>
      </c>
    </row>
    <row r="145" ht="17" customHeight="1">
      <c r="A145">
        <f>IF(ISNA(VLOOKUP(B143,Definitions!B$2:B$1604,1,FALSE)),"Not listed","")</f>
        <v/>
      </c>
      <c r="B145" s="26" t="inlineStr">
        <is>
          <t>liquidity_index</t>
        </is>
      </c>
      <c r="C145" s="21" t="inlineStr">
        <is>
          <t>//diggs:propertyClass</t>
        </is>
      </c>
      <c r="D145" s="21" t="inlineStr">
        <is>
          <t>ancestor::diggs:measurement//diggs:procedure/diggs:AtterbergLimitsTest</t>
        </is>
      </c>
    </row>
    <row r="146" ht="17" customHeight="1">
      <c r="A146">
        <f>IF(ISNA(VLOOKUP(B144,Definitions!B$2:B$1604,1,FALSE)),"Not listed","")</f>
        <v/>
      </c>
      <c r="B146" s="26" t="inlineStr">
        <is>
          <t>liquidity_index</t>
        </is>
      </c>
      <c r="C146" s="21" t="inlineStr">
        <is>
          <t>//diggs:propertyClass</t>
        </is>
      </c>
      <c r="D146" s="21" t="inlineStr">
        <is>
          <t>ancestor::diggs:measurement//diggs:procedure/diggs:WaterContentTest</t>
        </is>
      </c>
    </row>
    <row r="147" ht="17" customHeight="1">
      <c r="A147">
        <f>IF(ISNA(VLOOKUP(B145,Definitions!B$2:B$1604,1,FALSE)),"Not listed","")</f>
        <v/>
      </c>
      <c r="B147" s="26" t="inlineStr">
        <is>
          <t>LOI</t>
        </is>
      </c>
      <c r="C147" s="21" t="inlineStr">
        <is>
          <t>//diggs:propertyClass</t>
        </is>
      </c>
      <c r="D147" s="21" t="inlineStr">
        <is>
          <t>ancestor::diggs:measurement//diggs:procedure/diggs:LossOnIgnitionTest</t>
        </is>
      </c>
    </row>
    <row r="148" ht="17" customHeight="1">
      <c r="A148">
        <f>IF(ISNA(VLOOKUP(B146,Definitions!B$2:B$1604,1,FALSE)),"Not listed","")</f>
        <v/>
      </c>
      <c r="B148" t="inlineStr">
        <is>
          <t>lugeon_value</t>
        </is>
      </c>
      <c r="C148" s="4" t="inlineStr">
        <is>
          <t>//diggs:propertyClass</t>
        </is>
      </c>
      <c r="D148" s="21" t="inlineStr">
        <is>
          <t>ancestor::diggs:measurement//diggs:procedure/diggs:LugeonTest</t>
        </is>
      </c>
    </row>
    <row r="149" ht="17" customHeight="1">
      <c r="A149">
        <f>IF(ISNA(VLOOKUP(B147,Definitions!B$2:B$1604,1,FALSE)),"Not listed","")</f>
        <v/>
      </c>
      <c r="B149" t="inlineStr">
        <is>
          <t>marsh_funnel_time</t>
        </is>
      </c>
      <c r="C149" s="4" t="inlineStr">
        <is>
          <t>//diggs:propertyClass</t>
        </is>
      </c>
      <c r="D149" s="21" t="inlineStr">
        <is>
          <t>ancestor::diggs:measurement//diggs:procedure/diggs:MarshFunnelTest</t>
        </is>
      </c>
    </row>
    <row r="150" ht="17" customHeight="1">
      <c r="A150">
        <f>IF(ISNA(VLOOKUP(B148,Definitions!B$2:B$1604,1,FALSE)),"Not listed","")</f>
        <v/>
      </c>
      <c r="B150" s="38" t="inlineStr">
        <is>
          <t>mass</t>
        </is>
      </c>
      <c r="C150" s="4" t="inlineStr">
        <is>
          <t>//diggs:propertyClass</t>
        </is>
      </c>
      <c r="D150" s="21" t="inlineStr">
        <is>
          <t>ancestor::diggs:syneresisTimeSeries</t>
        </is>
      </c>
    </row>
    <row r="151" ht="17" customHeight="1">
      <c r="A151">
        <f>IF(ISNA(VLOOKUP(B149,Definitions!B$2:B$1604,1,FALSE)),"Not listed","")</f>
        <v/>
      </c>
      <c r="B151" s="38" t="inlineStr">
        <is>
          <t>mass_loss</t>
        </is>
      </c>
      <c r="C151" s="4" t="inlineStr">
        <is>
          <t>//diggs:propertyClass</t>
        </is>
      </c>
      <c r="D151" s="21" t="inlineStr">
        <is>
          <t>ancestor::diggs:syneresisTimeSeries</t>
        </is>
      </c>
    </row>
    <row r="152" ht="17" customHeight="1">
      <c r="A152">
        <f>IF(ISNA(VLOOKUP(B150,Definitions!B$2:B$1604,1,FALSE)),"Not listed","")</f>
        <v/>
      </c>
      <c r="B152" s="26" t="inlineStr">
        <is>
          <t>material_index</t>
        </is>
      </c>
      <c r="C152" s="21" t="inlineStr">
        <is>
          <t>//diggs:propertyClass</t>
        </is>
      </c>
      <c r="D152" s="21" t="inlineStr">
        <is>
          <t>ancestor::diggs:measurement//diggs:procedure/diggs:FlatPlateDilatometerTest</t>
        </is>
      </c>
    </row>
    <row r="153" ht="17" customHeight="1">
      <c r="A153">
        <f>IF(ISNA(VLOOKUP(B151,Definitions!B$2:B$1604,1,FALSE)),"Not listed","")</f>
        <v/>
      </c>
      <c r="B153" t="inlineStr">
        <is>
          <t>mcv</t>
        </is>
      </c>
      <c r="C153" s="4" t="inlineStr">
        <is>
          <t>//diggs:propertyClass</t>
        </is>
      </c>
      <c r="D153" s="21" t="inlineStr">
        <is>
          <t>ancestor::diggs:measurement//diggs:procedure/diggs:MCVTest</t>
        </is>
      </c>
    </row>
    <row r="154" ht="17" customHeight="1">
      <c r="A154">
        <f>IF(ISNA(VLOOKUP(B152,Definitions!B$2:B$1604,1,FALSE)),"Not listed","")</f>
        <v/>
      </c>
      <c r="B154" s="38" t="inlineStr">
        <is>
          <t>mean_micro_deval_dry</t>
        </is>
      </c>
      <c r="C154" s="4" t="inlineStr">
        <is>
          <t>//diggs:propertyClass</t>
        </is>
      </c>
      <c r="D154" s="21" t="inlineStr">
        <is>
          <t>ancestor::diggs:measurement//diggs:procedure/diggs:MicroDevalTest</t>
        </is>
      </c>
    </row>
    <row r="155" ht="17" customHeight="1">
      <c r="A155">
        <f>IF(ISNA(VLOOKUP(B153,Definitions!B$2:B$1604,1,FALSE)),"Not listed","")</f>
        <v/>
      </c>
      <c r="B155" s="38" t="inlineStr">
        <is>
          <t>mean_micro_deval_wet</t>
        </is>
      </c>
      <c r="C155" s="4" t="inlineStr">
        <is>
          <t>//diggs:propertyClass</t>
        </is>
      </c>
      <c r="D155" s="21" t="inlineStr">
        <is>
          <t>ancestor::diggs:measurement//diggs:procedure/diggs:MicroDevalTest</t>
        </is>
      </c>
    </row>
    <row r="156" ht="17" customHeight="1">
      <c r="A156">
        <f>IF(ISNA(VLOOKUP(B154,Definitions!B$2:B$1604,1,FALSE)),"Not listed","")</f>
        <v/>
      </c>
      <c r="B156" t="inlineStr">
        <is>
          <t>menard_modulus</t>
        </is>
      </c>
      <c r="C156" t="inlineStr">
        <is>
          <t>//diggs:propertyClass</t>
        </is>
      </c>
      <c r="D156" t="inlineStr">
        <is>
          <t>ancestor::diggs:measurement//diggs:procedure/diggs:PressuremeterTest</t>
        </is>
      </c>
    </row>
    <row r="157">
      <c r="A157">
        <f>IF(ISNA(VLOOKUP(B154,Definitions!B$2:B$1604,1,FALSE)),"Not listed","")</f>
        <v/>
      </c>
      <c r="B157" t="inlineStr">
        <is>
          <t>modulus_shear</t>
        </is>
      </c>
      <c r="C157" s="4" t="inlineStr">
        <is>
          <t>//diggs:propertyClass</t>
        </is>
      </c>
      <c r="D157" s="21" t="inlineStr">
        <is>
          <t>ancestor::diggs:measurement//diggs:procedure/diggs:PressuremeterTest</t>
        </is>
      </c>
    </row>
    <row r="158" ht="17" customHeight="1">
      <c r="A158">
        <f>IF(ISNA(VLOOKUP(B155,Definitions!B$2:B$1604,1,FALSE)),"Not listed","")</f>
        <v/>
      </c>
      <c r="B158" s="26" t="inlineStr">
        <is>
          <t>modulus_shear</t>
        </is>
      </c>
      <c r="C158" s="21" t="inlineStr">
        <is>
          <t>//diggs:propertyClass</t>
        </is>
      </c>
      <c r="D158" s="21" t="inlineStr">
        <is>
          <t>ancestor::diggs:measurement//diggs:procedure/diggs:UnconfinedCompressiveStrengthTest</t>
        </is>
      </c>
    </row>
    <row r="159" ht="17" customHeight="1">
      <c r="A159">
        <f>IF(ISNA(VLOOKUP(B156,Definitions!B$2:B$1604,1,FALSE)),"Not listed","")</f>
        <v/>
      </c>
      <c r="B159" s="26" t="inlineStr">
        <is>
          <t>modulus_youngs</t>
        </is>
      </c>
      <c r="C159" s="21" t="inlineStr">
        <is>
          <t>//diggs:propertyClass</t>
        </is>
      </c>
      <c r="D159" s="21" t="inlineStr">
        <is>
          <t>ancestor::diggs:measurement//diggs:procedure/diggs:UnconfinedCompressiveStrengthTest</t>
        </is>
      </c>
    </row>
    <row r="160" ht="17" customHeight="1">
      <c r="A160">
        <f>IF(ISNA(VLOOKUP(B157,Definitions!B$2:B$1604,1,FALSE)),"Not listed","")</f>
        <v/>
      </c>
      <c r="B160" t="inlineStr">
        <is>
          <t>mud_balance_density</t>
        </is>
      </c>
      <c r="C160" s="4" t="inlineStr">
        <is>
          <t>//diggs:propertyClass</t>
        </is>
      </c>
      <c r="D160" s="21" t="inlineStr">
        <is>
          <t>ancestor::diggs:measurement//diggs:procedure/diggs:MudBalanceTest</t>
        </is>
      </c>
    </row>
    <row r="161" ht="17" customHeight="1">
      <c r="A161">
        <f>IF(ISNA(VLOOKUP(B158,Definitions!B$2:B$1604,1,FALSE)),"Not listed","")</f>
        <v/>
      </c>
      <c r="B161" s="26" t="inlineStr">
        <is>
          <t>n_value</t>
        </is>
      </c>
      <c r="C161" s="21" t="inlineStr">
        <is>
          <t>//diggs:propertyClass</t>
        </is>
      </c>
      <c r="D161" s="21" t="inlineStr">
        <is>
          <t>ancestor::diggs:measurement//diggs:procedure/diggs:DrivenPenetrationTest</t>
        </is>
      </c>
    </row>
    <row r="162" ht="17" customHeight="1">
      <c r="A162">
        <f>IF(ISNA(VLOOKUP(B159,Definitions!B$2:B$1604,1,FALSE)),"Not listed","")</f>
        <v/>
      </c>
      <c r="B162" s="26" t="inlineStr">
        <is>
          <t>n1_60</t>
        </is>
      </c>
      <c r="C162" s="21" t="inlineStr">
        <is>
          <t>//diggs:propertyClass</t>
        </is>
      </c>
      <c r="D162" s="21" t="inlineStr">
        <is>
          <t>ancestor::diggs:measurement//diggs:procedure/diggs:DrivenPenetrationTest</t>
        </is>
      </c>
    </row>
    <row r="163" ht="17" customHeight="1">
      <c r="A163">
        <f>IF(ISNA(VLOOKUP(B160,Definitions!B$2:B$1604,1,FALSE)),"Not listed","")</f>
        <v/>
      </c>
      <c r="B163" s="26" t="inlineStr">
        <is>
          <t>n60</t>
        </is>
      </c>
      <c r="C163" s="21" t="inlineStr">
        <is>
          <t>//diggs:propertyClass</t>
        </is>
      </c>
      <c r="D163" s="21" t="inlineStr">
        <is>
          <t>ancestor::diggs:measurement//diggs:procedure/diggs:DrivenPenetrationTest</t>
        </is>
      </c>
    </row>
    <row r="164" ht="17" customHeight="1">
      <c r="A164">
        <f>IF(ISNA(VLOOKUP(B161,Definitions!B$2:B$1604,1,FALSE)),"Not listed","")</f>
        <v/>
      </c>
      <c r="B164" s="26" t="inlineStr">
        <is>
          <t>non_plastic</t>
        </is>
      </c>
      <c r="C164" s="21" t="inlineStr">
        <is>
          <t>//diggs:propertyClass</t>
        </is>
      </c>
      <c r="D164" s="21" t="inlineStr">
        <is>
          <t>ancestor::diggs:measurement//diggs:procedure/diggs:AtterbergLimitsTest</t>
        </is>
      </c>
    </row>
    <row r="165" ht="17" customHeight="1">
      <c r="A165">
        <f>IF(ISNA(VLOOKUP(B162,Definitions!B$2:B$1604,1,FALSE)),"Not listed","")</f>
        <v/>
      </c>
      <c r="B165" s="26" t="inlineStr">
        <is>
          <t>ocr</t>
        </is>
      </c>
      <c r="C165" s="21" t="inlineStr">
        <is>
          <t>//diggs:propertyClass</t>
        </is>
      </c>
      <c r="D165" s="21" t="inlineStr">
        <is>
          <t>ancestor::diggs:measurement//diggs:procedure/diggs:ConsolidationTest</t>
        </is>
      </c>
    </row>
    <row r="166" ht="17" customHeight="1">
      <c r="A166">
        <f>IF(ISNA(VLOOKUP(B163,Definitions!B$2:B$1604,1,FALSE)),"Not listed","")</f>
        <v/>
      </c>
      <c r="B166" s="26" t="inlineStr">
        <is>
          <t>ocr</t>
        </is>
      </c>
      <c r="C166" s="21" t="inlineStr">
        <is>
          <t>//diggs:propertyClass</t>
        </is>
      </c>
      <c r="D166" s="21" t="inlineStr">
        <is>
          <t>ancestor::diggs:measurement//diggs:procedure/diggs:FlatPlateDilatometerTest</t>
        </is>
      </c>
    </row>
    <row r="167" ht="17" customHeight="1">
      <c r="A167">
        <f>IF(ISNA(VLOOKUP(B164,Definitions!B$2:B$1604,1,FALSE)),"Not listed","")</f>
        <v/>
      </c>
      <c r="B167" s="38" t="inlineStr">
        <is>
          <t>p_wave_velocity</t>
        </is>
      </c>
      <c r="C167" s="4" t="inlineStr">
        <is>
          <t>//diggs:propertyClass</t>
        </is>
      </c>
      <c r="D167" s="21" t="inlineStr">
        <is>
          <t>ancestor::diggs:measurement//diggs:procedure/diggs:LabVelocityTest</t>
        </is>
      </c>
    </row>
    <row r="168" ht="17" customHeight="1">
      <c r="A168">
        <f>IF(ISNA(VLOOKUP(B165,Definitions!B$2:B$1604,1,FALSE)),"Not listed","")</f>
        <v/>
      </c>
      <c r="B168" s="26" t="inlineStr">
        <is>
          <t>p0_reading</t>
        </is>
      </c>
      <c r="C168" s="21" t="inlineStr">
        <is>
          <t>//diggs:propertyClass</t>
        </is>
      </c>
      <c r="D168" s="21" t="inlineStr">
        <is>
          <t>ancestor::diggs:measurement//diggs:procedure/diggs:FlatPlateDilatometerTest</t>
        </is>
      </c>
    </row>
    <row r="169" ht="17" customHeight="1">
      <c r="A169">
        <f>IF(ISNA(VLOOKUP(B166,Definitions!B$2:B$1604,1,FALSE)),"Not listed","")</f>
        <v/>
      </c>
      <c r="B169" s="26" t="inlineStr">
        <is>
          <t>p1_reading</t>
        </is>
      </c>
      <c r="C169" s="21" t="inlineStr">
        <is>
          <t>//diggs:propertyClass</t>
        </is>
      </c>
      <c r="D169" s="21" t="inlineStr">
        <is>
          <t>ancestor::diggs:measurement//diggs:procedure/diggs:FlatPlateDilatometerTest</t>
        </is>
      </c>
    </row>
    <row r="170" ht="17" customHeight="1">
      <c r="A170">
        <f>IF(ISNA(VLOOKUP(B167,Definitions!B$2:B$1604,1,FALSE)),"Not listed","")</f>
        <v/>
      </c>
      <c r="B170" s="26" t="inlineStr">
        <is>
          <t>p2_reading</t>
        </is>
      </c>
      <c r="C170" s="21" t="inlineStr">
        <is>
          <t>//diggs:propertyClass</t>
        </is>
      </c>
      <c r="D170" s="21" t="inlineStr">
        <is>
          <t>ancestor::diggs:measurement//diggs:procedure/diggs:FlatPlateDilatometerTest</t>
        </is>
      </c>
    </row>
    <row r="171" ht="17" customHeight="1">
      <c r="A171">
        <f>IF(ISNA(VLOOKUP(B168,Definitions!B$2:B$1604,1,FALSE)),"Not listed","")</f>
        <v/>
      </c>
      <c r="B171" s="26" t="inlineStr">
        <is>
          <t>pen_increment</t>
        </is>
      </c>
      <c r="C171" s="21" t="inlineStr">
        <is>
          <t>//diggs:propertyClass</t>
        </is>
      </c>
      <c r="D171" s="21" t="inlineStr">
        <is>
          <t>ancestor::diggs:measurement//diggs:procedure/diggs:DynamicProbeTest</t>
        </is>
      </c>
    </row>
    <row r="172" ht="17" customHeight="1">
      <c r="A172">
        <f>IF(ISNA(VLOOKUP(B169,Definitions!B$2:B$1604,1,FALSE)),"Not listed","")</f>
        <v/>
      </c>
      <c r="B172" s="38" t="inlineStr">
        <is>
          <t>percent_cobbles</t>
        </is>
      </c>
      <c r="C172" s="4" t="inlineStr">
        <is>
          <t>//diggs:propertyClass</t>
        </is>
      </c>
      <c r="D172" s="21" t="inlineStr">
        <is>
          <t>ancestor::diggs:measurement//diggs:procedure/diggs:MaterialGradationTest</t>
        </is>
      </c>
    </row>
    <row r="173" ht="17" customHeight="1">
      <c r="A173">
        <f>IF(ISNA(VLOOKUP(B170,Definitions!B$2:B$1604,1,FALSE)),"Not listed","")</f>
        <v/>
      </c>
      <c r="B173" s="38" t="inlineStr">
        <is>
          <t>percent_cobbles</t>
        </is>
      </c>
      <c r="C173" s="4" t="inlineStr">
        <is>
          <t>//diggs:propertyClass</t>
        </is>
      </c>
      <c r="D173" s="21" t="inlineStr">
        <is>
          <t>ancestor::diggs:measurement//diggs:procedure/diggs:ParticleSizeTest</t>
        </is>
      </c>
    </row>
    <row r="174" ht="17" customHeight="1">
      <c r="A174">
        <f>IF(ISNA(VLOOKUP(B171,Definitions!B$2:B$1604,1,FALSE)),"Not listed","")</f>
        <v/>
      </c>
      <c r="B174" s="26" t="inlineStr">
        <is>
          <t>percent_fines</t>
        </is>
      </c>
      <c r="C174" s="21" t="inlineStr">
        <is>
          <t>//diggs:propertyClass</t>
        </is>
      </c>
      <c r="D174" s="21" t="inlineStr">
        <is>
          <t>ancestor::diggs:measurement//diggs:procedure/diggs:MaterialGradationTest</t>
        </is>
      </c>
    </row>
    <row r="175" ht="17" customHeight="1">
      <c r="A175">
        <f>IF(ISNA(VLOOKUP(B172,Definitions!B$2:B$1604,1,FALSE)),"Not listed","")</f>
        <v/>
      </c>
      <c r="B175" s="26" t="inlineStr">
        <is>
          <t>percent_fines</t>
        </is>
      </c>
      <c r="C175" s="21" t="inlineStr">
        <is>
          <t>//diggs:propertyClass</t>
        </is>
      </c>
      <c r="D175" s="21" t="inlineStr">
        <is>
          <t>ancestor::diggs:measurement//diggs:procedure/diggs:ParticleSizeTest</t>
        </is>
      </c>
    </row>
    <row r="176" ht="17" customHeight="1">
      <c r="A176">
        <f>IF(ISNA(VLOOKUP(B173,Definitions!B$2:B$1604,1,FALSE)),"Not listed","")</f>
        <v/>
      </c>
      <c r="B176" s="26" t="inlineStr">
        <is>
          <t>percent_gravel</t>
        </is>
      </c>
      <c r="C176" s="21" t="inlineStr">
        <is>
          <t>//diggs:propertyClass</t>
        </is>
      </c>
      <c r="D176" s="21" t="inlineStr">
        <is>
          <t>ancestor::diggs:measurement//diggs:procedure/diggs:MaterialGradationTest</t>
        </is>
      </c>
    </row>
    <row r="177" ht="17" customHeight="1">
      <c r="A177">
        <f>IF(ISNA(VLOOKUP(B174,Definitions!B$2:B$1604,1,FALSE)),"Not listed","")</f>
        <v/>
      </c>
      <c r="B177" s="26" t="inlineStr">
        <is>
          <t>percent_gravel</t>
        </is>
      </c>
      <c r="C177" s="21" t="inlineStr">
        <is>
          <t>//diggs:propertyClass</t>
        </is>
      </c>
      <c r="D177" s="21" t="inlineStr">
        <is>
          <t>ancestor::diggs:measurement//diggs:procedure/diggs:ParticleSizeTest</t>
        </is>
      </c>
    </row>
    <row r="178" ht="17" customHeight="1">
      <c r="A178">
        <f>IF(ISNA(VLOOKUP(B175,Definitions!B$2:B$1604,1,FALSE)),"Not listed","")</f>
        <v/>
      </c>
      <c r="B178" s="26" t="inlineStr">
        <is>
          <t>percent_sand</t>
        </is>
      </c>
      <c r="C178" s="21" t="inlineStr">
        <is>
          <t>//diggs:propertyClass</t>
        </is>
      </c>
      <c r="D178" s="21" t="inlineStr">
        <is>
          <t>ancestor::diggs:measurement//diggs:procedure/diggs:MaterialGradationTest</t>
        </is>
      </c>
    </row>
    <row r="179" ht="17" customHeight="1">
      <c r="A179">
        <f>IF(ISNA(VLOOKUP(B176,Definitions!B$2:B$1604,1,FALSE)),"Not listed","")</f>
        <v/>
      </c>
      <c r="B179" s="26" t="inlineStr">
        <is>
          <t>percent_sand</t>
        </is>
      </c>
      <c r="C179" s="21" t="inlineStr">
        <is>
          <t>//diggs:propertyClass</t>
        </is>
      </c>
      <c r="D179" s="21" t="inlineStr">
        <is>
          <t>ancestor::diggs:measurement//diggs:procedure/diggs:ParticleSizeTest</t>
        </is>
      </c>
    </row>
    <row r="180" ht="17" customHeight="1">
      <c r="A180">
        <f>IF(ISNA(VLOOKUP(B177,Definitions!B$2:B$1604,1,FALSE)),"Not listed","")</f>
        <v/>
      </c>
      <c r="B180" s="38" t="inlineStr">
        <is>
          <t>percent_silt</t>
        </is>
      </c>
      <c r="C180" s="4" t="inlineStr">
        <is>
          <t>//diggs:propertyClass</t>
        </is>
      </c>
      <c r="D180" s="21" t="inlineStr">
        <is>
          <t>ancestor::diggs:measurement//diggs:procedure/diggs:MaterialGradationTest</t>
        </is>
      </c>
    </row>
    <row r="181" ht="17" customHeight="1">
      <c r="A181">
        <f>IF(ISNA(VLOOKUP(B178,Definitions!B$2:B$1604,1,FALSE)),"Not listed","")</f>
        <v/>
      </c>
      <c r="B181" s="38" t="inlineStr">
        <is>
          <t>percent_silt</t>
        </is>
      </c>
      <c r="C181" s="4" t="inlineStr">
        <is>
          <t>//diggs:propertyClass</t>
        </is>
      </c>
      <c r="D181" s="21" t="inlineStr">
        <is>
          <t>ancestor::diggs:measurement//diggs:procedure/diggs:ParticleSizeTest</t>
        </is>
      </c>
    </row>
    <row r="182" ht="17" customHeight="1">
      <c r="A182">
        <f>IF(ISNA(VLOOKUP(B179,Definitions!B$2:B$1604,1,FALSE)),"Not listed","")</f>
        <v/>
      </c>
      <c r="B182" s="26" t="inlineStr">
        <is>
          <t>pH</t>
        </is>
      </c>
      <c r="C182" s="21" t="inlineStr">
        <is>
          <t>//diggs:propertyClass</t>
        </is>
      </c>
      <c r="D182" s="21" t="inlineStr">
        <is>
          <t>ancestor::diggs:measurement//diggs:procedure/diggs:LabChemicalTest</t>
        </is>
      </c>
    </row>
    <row r="183" ht="17" customHeight="1">
      <c r="A183">
        <f>IF(ISNA(VLOOKUP(B180,Definitions!B$2:B$1604,1,FALSE)),"Not listed","")</f>
        <v/>
      </c>
      <c r="B183" s="26" t="inlineStr">
        <is>
          <t>pH</t>
        </is>
      </c>
      <c r="C183" s="21" t="inlineStr">
        <is>
          <t>//diggs:propertyClass</t>
        </is>
      </c>
      <c r="D183" s="21" t="inlineStr">
        <is>
          <t>ancestor::diggs:measurement//diggs:procedure/diggs:RedoxTest</t>
        </is>
      </c>
    </row>
    <row r="184" ht="17" customHeight="1">
      <c r="A184">
        <f>IF(ISNA(VLOOKUP(B181,Definitions!B$2:B$1604,1,FALSE)),"Not listed","")</f>
        <v/>
      </c>
      <c r="B184" s="26" t="inlineStr">
        <is>
          <t>pid_result</t>
        </is>
      </c>
      <c r="C184" s="21" t="inlineStr">
        <is>
          <t>//diggs:propertyClass</t>
        </is>
      </c>
      <c r="D184" s="21" t="inlineStr">
        <is>
          <t>ancestor::diggs:measurement//diggs:procedure/diggs:EnvironmentalScreeningTest</t>
        </is>
      </c>
    </row>
    <row r="185" ht="17" customHeight="1">
      <c r="A185">
        <f>IF(ISNA(VLOOKUP(B182,Definitions!B$2:B$1604,1,FALSE)),"Not listed","")</f>
        <v/>
      </c>
      <c r="B185" s="26" t="inlineStr">
        <is>
          <t>pid_result</t>
        </is>
      </c>
      <c r="C185" s="21" t="inlineStr">
        <is>
          <t>//diggs:propertyClass</t>
        </is>
      </c>
      <c r="D185" s="21" t="inlineStr">
        <is>
          <t>ancestor::diggs:measurement//diggs:procedure/diggs:PhotoIonizationDetectorTest</t>
        </is>
      </c>
    </row>
    <row r="186" ht="17" customHeight="1">
      <c r="A186">
        <f>IF(ISNA(VLOOKUP(B183,Definitions!B$2:B$1604,1,FALSE)),"Not listed","")</f>
        <v/>
      </c>
      <c r="B186" s="26" t="inlineStr">
        <is>
          <t>plastic_limit</t>
        </is>
      </c>
      <c r="C186" s="21" t="inlineStr">
        <is>
          <t>//diggs:propertyClass</t>
        </is>
      </c>
      <c r="D186" s="21" t="inlineStr">
        <is>
          <t>ancestor::diggs:measurement//diggs:procedure/diggs:AtterbergLimitsTest</t>
        </is>
      </c>
    </row>
    <row r="187" ht="17" customHeight="1">
      <c r="A187">
        <f>IF(ISNA(VLOOKUP(B184,Definitions!B$2:B$1604,1,FALSE)),"Not listed","")</f>
        <v/>
      </c>
      <c r="B187" s="26" t="inlineStr">
        <is>
          <t>plasticity_index</t>
        </is>
      </c>
      <c r="C187" s="21" t="inlineStr">
        <is>
          <t>//diggs:propertyClass</t>
        </is>
      </c>
      <c r="D187" s="21" t="inlineStr">
        <is>
          <t>ancestor::diggs:measurement//diggs:procedure/diggs:AtterbergLimitsTest</t>
        </is>
      </c>
    </row>
    <row r="188" ht="17" customHeight="1">
      <c r="A188">
        <f>IF(ISNA(VLOOKUP(B185,Definitions!B$2:B$1604,1,FALSE)),"Not listed","")</f>
        <v/>
      </c>
      <c r="B188" s="26" t="inlineStr">
        <is>
          <t>point_load_test_index</t>
        </is>
      </c>
      <c r="C188" s="21" t="inlineStr">
        <is>
          <t>//diggs:propertyClass</t>
        </is>
      </c>
      <c r="D188" s="21" t="inlineStr">
        <is>
          <t>ancestor::diggs:measurement//diggs:procedure/diggs:PointLoadTest</t>
        </is>
      </c>
    </row>
    <row r="189" ht="17" customHeight="1">
      <c r="A189">
        <f>IF(ISNA(VLOOKUP(B186,Definitions!B$2:B$1604,1,FALSE)),"Not listed","")</f>
        <v/>
      </c>
      <c r="B189" s="26" t="inlineStr">
        <is>
          <t>poisson_ratio</t>
        </is>
      </c>
      <c r="C189" s="21" t="inlineStr">
        <is>
          <t>//diggs:propertyClass</t>
        </is>
      </c>
      <c r="D189" s="21" t="inlineStr">
        <is>
          <t>ancestor::diggs:measurement//diggs:procedure/diggs:UnconfinedCompressiveStrengthTest</t>
        </is>
      </c>
    </row>
    <row r="190" ht="17" customHeight="1">
      <c r="A190">
        <f>IF(ISNA(VLOOKUP(B187,Definitions!B$2:B$1604,1,FALSE)),"Not listed","")</f>
        <v/>
      </c>
      <c r="B190" s="26" t="inlineStr">
        <is>
          <t>pore_pressure_equil</t>
        </is>
      </c>
      <c r="C190" s="21" t="inlineStr">
        <is>
          <t>//diggs:propertyClass</t>
        </is>
      </c>
      <c r="D190" s="21" t="inlineStr">
        <is>
          <t>ancestor::diggs:measurement//diggs:procedure/diggs:FlatPlateDilatometerTest</t>
        </is>
      </c>
    </row>
    <row r="191" ht="17" customHeight="1">
      <c r="A191">
        <f>IF(ISNA(VLOOKUP(B188,Definitions!B$2:B$1604,1,FALSE)),"Not listed","")</f>
        <v/>
      </c>
      <c r="B191" s="26" t="inlineStr">
        <is>
          <t>pore_pressure_equil</t>
        </is>
      </c>
      <c r="C191" s="21" t="inlineStr">
        <is>
          <t>//diggs:propertyClass</t>
        </is>
      </c>
      <c r="D191" s="21" t="inlineStr">
        <is>
          <t>ancestor::diggs:measurement//diggs:procedure/diggs:PorePressureDissipationTest</t>
        </is>
      </c>
    </row>
    <row r="192" ht="17" customHeight="1">
      <c r="A192">
        <f>IF(ISNA(VLOOKUP(B189,Definitions!B$2:B$1604,1,FALSE)),"Not listed","")</f>
        <v/>
      </c>
      <c r="B192" s="26" t="inlineStr">
        <is>
          <t>pore_pressure_est</t>
        </is>
      </c>
      <c r="C192" s="21" t="inlineStr">
        <is>
          <t>//diggs:propertyClass</t>
        </is>
      </c>
      <c r="D192" s="21" t="inlineStr">
        <is>
          <t>ancestor::diggs:measurement//diggs:procedure/diggs:FlatPlateDilatometerTest</t>
        </is>
      </c>
    </row>
    <row r="193" ht="17" customHeight="1">
      <c r="A193">
        <f>IF(ISNA(VLOOKUP(B190,Definitions!B$2:B$1604,1,FALSE)),"Not listed","")</f>
        <v/>
      </c>
      <c r="B193" s="38" t="inlineStr">
        <is>
          <t>pore_pressure_u1</t>
        </is>
      </c>
      <c r="C193" s="4" t="inlineStr">
        <is>
          <t>//diggs:propertyClass</t>
        </is>
      </c>
      <c r="D193" s="21" t="inlineStr">
        <is>
          <t>ancestor::diggs:dissipationTimeSeries</t>
        </is>
      </c>
    </row>
    <row r="194" ht="17" customHeight="1">
      <c r="A194">
        <f>IF(ISNA(VLOOKUP(B191,Definitions!B$2:B$1604,1,FALSE)),"Not listed","")</f>
        <v/>
      </c>
      <c r="B194" s="26" t="inlineStr">
        <is>
          <t>pore_pressure_u1</t>
        </is>
      </c>
      <c r="C194" s="21" t="inlineStr">
        <is>
          <t>//diggs:propertyClass</t>
        </is>
      </c>
      <c r="D194" s="21" t="inlineStr">
        <is>
          <t>ancestor::diggs:measurement//diggs:procedure/diggs:StaticConePenetrationTest</t>
        </is>
      </c>
    </row>
    <row r="195" ht="17" customHeight="1">
      <c r="A195">
        <f>IF(ISNA(VLOOKUP(B192,Definitions!B$2:B$1604,1,FALSE)),"Not listed","")</f>
        <v/>
      </c>
      <c r="B195" s="38" t="inlineStr">
        <is>
          <t>pore_pressure_u2</t>
        </is>
      </c>
      <c r="C195" s="4" t="inlineStr">
        <is>
          <t>//diggs:propertyClass</t>
        </is>
      </c>
      <c r="D195" s="21" t="inlineStr">
        <is>
          <t>ancestor::diggs:dissipationTimeSeries</t>
        </is>
      </c>
    </row>
    <row r="196" ht="17" customHeight="1">
      <c r="A196">
        <f>IF(ISNA(VLOOKUP(B193,Definitions!B$2:B$1604,1,FALSE)),"Not listed","")</f>
        <v/>
      </c>
      <c r="B196" s="26" t="inlineStr">
        <is>
          <t>pore_pressure_u2</t>
        </is>
      </c>
      <c r="C196" s="21" t="inlineStr">
        <is>
          <t>//diggs:propertyClass</t>
        </is>
      </c>
      <c r="D196" s="21" t="inlineStr">
        <is>
          <t>ancestor::diggs:measurement//diggs:procedure/diggs:StaticConePenetrationTest</t>
        </is>
      </c>
    </row>
    <row r="197" ht="17" customHeight="1">
      <c r="A197">
        <f>IF(ISNA(VLOOKUP(B194,Definitions!B$2:B$1604,1,FALSE)),"Not listed","")</f>
        <v/>
      </c>
      <c r="B197" s="38" t="inlineStr">
        <is>
          <t>pore_pressure_u3</t>
        </is>
      </c>
      <c r="C197" s="4" t="inlineStr">
        <is>
          <t>//diggs:propertyClass</t>
        </is>
      </c>
      <c r="D197" s="21" t="inlineStr">
        <is>
          <t>ancestor::diggs:dissipationTimeSeries</t>
        </is>
      </c>
    </row>
    <row r="198" ht="17" customHeight="1">
      <c r="A198">
        <f>IF(ISNA(VLOOKUP(B195,Definitions!B$2:B$1604,1,FALSE)),"Not listed","")</f>
        <v/>
      </c>
      <c r="B198" s="26" t="inlineStr">
        <is>
          <t>pore_pressure_u3</t>
        </is>
      </c>
      <c r="C198" s="21" t="inlineStr">
        <is>
          <t>//diggs:propertyClass</t>
        </is>
      </c>
      <c r="D198" s="21" t="inlineStr">
        <is>
          <t>ancestor::diggs:measurement//diggs:procedure/diggs:StaticConePenetrationTest</t>
        </is>
      </c>
    </row>
    <row r="199" ht="17" customHeight="1">
      <c r="A199">
        <f>IF(ISNA(VLOOKUP(B196,Definitions!B$2:B$1604,1,FALSE)),"Not listed","")</f>
        <v/>
      </c>
      <c r="B199" s="26" t="inlineStr">
        <is>
          <t>preconsolidation_pressure</t>
        </is>
      </c>
      <c r="C199" s="21" t="inlineStr">
        <is>
          <t>//diggs:propertyClass</t>
        </is>
      </c>
      <c r="D199" s="21" t="inlineStr">
        <is>
          <t>ancestor::diggs:measurement//diggs:procedure/diggs:ConsolidationTest</t>
        </is>
      </c>
    </row>
    <row r="200" ht="17" customHeight="1">
      <c r="A200">
        <f>IF(ISNA(VLOOKUP(B197,Definitions!B$2:B$1604,1,FALSE)),"Not listed","")</f>
        <v/>
      </c>
      <c r="B200" t="inlineStr">
        <is>
          <t>pressure_filtration_coeff</t>
        </is>
      </c>
      <c r="C200" s="4" t="inlineStr">
        <is>
          <t>//diggs:propertyClass</t>
        </is>
      </c>
      <c r="D200" s="21" t="inlineStr">
        <is>
          <t>ancestor::diggs:measurement//diggs:procedure/diggs:PressureFiltrationTest</t>
        </is>
      </c>
    </row>
    <row r="201" ht="17" customHeight="1">
      <c r="A201">
        <f>IF(ISNA(VLOOKUP([1]AssociatedElements!B293,Definitions!B$2:B$1604,1,FALSE)),"Not listed","")</f>
        <v/>
      </c>
      <c r="B201" s="38" t="inlineStr">
        <is>
          <t>pumping_rate</t>
        </is>
      </c>
      <c r="C201" s="4" t="inlineStr">
        <is>
          <t>//diggs:propertyClass</t>
        </is>
      </c>
      <c r="D201" s="21" t="inlineStr">
        <is>
          <t>ancestor::diggs:measurement//diggs:procedure/diggs:PumpingTest</t>
        </is>
      </c>
    </row>
    <row r="202" ht="17" customHeight="1">
      <c r="A202">
        <f>IF(ISNA(VLOOKUP(B199,Definitions!B$2:B$1604,1,FALSE)),"Not listed","")</f>
        <v/>
      </c>
      <c r="B202" s="26" t="inlineStr">
        <is>
          <t>recompression_index</t>
        </is>
      </c>
      <c r="C202" s="21" t="inlineStr">
        <is>
          <t>//diggs:propertyClass</t>
        </is>
      </c>
      <c r="D202" s="21" t="inlineStr">
        <is>
          <t>ancestor::diggs:measurement//diggs:procedure/diggs:ConsolidationTest</t>
        </is>
      </c>
    </row>
    <row r="203" ht="17" customHeight="1">
      <c r="A203">
        <f>IF(ISNA(VLOOKUP(B200,Definitions!B$2:B$1604,1,FALSE)),"Not listed","")</f>
        <v/>
      </c>
      <c r="B203" s="26" t="inlineStr">
        <is>
          <t>redox_potential</t>
        </is>
      </c>
      <c r="C203" s="21" t="inlineStr">
        <is>
          <t>//diggs:propertyClass</t>
        </is>
      </c>
      <c r="D203" s="21" t="inlineStr">
        <is>
          <t>ancestor::diggs:measurement//diggs:procedure/diggs:RedoxTest</t>
        </is>
      </c>
    </row>
    <row r="204" ht="17" customHeight="1">
      <c r="A204">
        <f>IF(ISNA(VLOOKUP(B201,Definitions!B$2:B$1604,1,FALSE)),"Not listed","")</f>
        <v/>
      </c>
      <c r="B204" s="26" t="inlineStr">
        <is>
          <t>relative_density</t>
        </is>
      </c>
      <c r="C204" s="21" t="inlineStr">
        <is>
          <t>//diggs:propertyClass</t>
        </is>
      </c>
      <c r="D204" s="21" t="inlineStr">
        <is>
          <t>ancestor::diggs:measurement//diggs:procedure/diggs:DrivenPenetrationTest</t>
        </is>
      </c>
    </row>
    <row r="205">
      <c r="A205">
        <f>IF(ISNA(VLOOKUP(B202,Definitions!B$2:B$1604,1,FALSE)),"Not listed","")</f>
        <v/>
      </c>
      <c r="B205" t="inlineStr">
        <is>
          <t>relative_density</t>
        </is>
      </c>
      <c r="C205" s="4" t="inlineStr">
        <is>
          <t>//diggs:propertyClass</t>
        </is>
      </c>
      <c r="D205" s="21" t="inlineStr">
        <is>
          <t>ancestor::diggs:measurement//diggs:procedure/diggs:RelativeDensityTest</t>
        </is>
      </c>
    </row>
    <row r="206" ht="17" customHeight="1">
      <c r="A206">
        <f>IF(ISNA(VLOOKUP(B203,Definitions!B$2:B$1604,1,FALSE)),"Not listed","")</f>
        <v/>
      </c>
      <c r="B206" s="38" t="inlineStr">
        <is>
          <t>resistivity</t>
        </is>
      </c>
      <c r="C206" s="4" t="inlineStr">
        <is>
          <t>//diggs:propertyClass</t>
        </is>
      </c>
      <c r="D206" s="21" t="inlineStr">
        <is>
          <t>ancestor::diggs:measurement//diggs:procedure/diggs:InSituResistivityTest</t>
        </is>
      </c>
    </row>
    <row r="207" ht="17" customHeight="1">
      <c r="A207">
        <f>IF(ISNA(VLOOKUP(B204,Definitions!B$2:B$1604,1,FALSE)),"Not listed","")</f>
        <v/>
      </c>
      <c r="B207" s="26" t="inlineStr">
        <is>
          <t>resistivity</t>
        </is>
      </c>
      <c r="C207" s="21" t="inlineStr">
        <is>
          <t>//diggs:propertyClass</t>
        </is>
      </c>
      <c r="D207" s="21" t="inlineStr">
        <is>
          <t>ancestor::diggs:measurement//diggs:procedure/diggs:LabResistivityTest</t>
        </is>
      </c>
    </row>
    <row r="208" ht="17" customHeight="1">
      <c r="A208">
        <f>IF(ISNA(VLOOKUP(B205,Definitions!B$2:B$1604,1,FALSE)),"Not listed","")</f>
        <v/>
      </c>
      <c r="B208" t="inlineStr">
        <is>
          <t>rock_porosity</t>
        </is>
      </c>
      <c r="C208" s="4" t="inlineStr">
        <is>
          <t>//diggs:propertyClass</t>
        </is>
      </c>
      <c r="D208" s="21" t="inlineStr">
        <is>
          <t>ancestor::diggs:measurement//diggs:procedure/diggs:RockPorosityDensityTest</t>
        </is>
      </c>
    </row>
    <row r="209" ht="17" customHeight="1">
      <c r="A209">
        <f>IF(ISNA(VLOOKUP(B206,Definitions!B$2:B$1604,1,FALSE)),"Not listed","")</f>
        <v/>
      </c>
      <c r="B209" t="inlineStr">
        <is>
          <t>schmidt_hardness_value</t>
        </is>
      </c>
      <c r="C209" s="4" t="inlineStr">
        <is>
          <t>//diggs:propertyClass</t>
        </is>
      </c>
      <c r="D209" s="21" t="inlineStr">
        <is>
          <t>ancestor::diggs:measurement//diggs:procedure/diggs:SchmidtReboundHardnessTest</t>
        </is>
      </c>
    </row>
    <row r="210" ht="17" customHeight="1">
      <c r="A210">
        <f>IF(ISNA(VLOOKUP(B207,Definitions!B$2:B$1604,1,FALSE)),"Not listed","")</f>
        <v/>
      </c>
      <c r="B210" s="26" t="inlineStr">
        <is>
          <t>sensitivity</t>
        </is>
      </c>
      <c r="C210" s="21" t="inlineStr">
        <is>
          <t>//diggs:propertyClass</t>
        </is>
      </c>
      <c r="D210" s="21" t="inlineStr">
        <is>
          <t>ancestor::diggs:measurement//diggs:procedure/diggs:InsituVaneTest</t>
        </is>
      </c>
    </row>
    <row r="211" ht="17" customHeight="1">
      <c r="A211">
        <f>IF(ISNA(VLOOKUP(B208,Definitions!B$2:B$1604,1,FALSE)),"Not listed","")</f>
        <v/>
      </c>
      <c r="B211" s="26" t="inlineStr">
        <is>
          <t>sensitivity</t>
        </is>
      </c>
      <c r="C211" s="21" t="inlineStr">
        <is>
          <t>//diggs:propertyClass</t>
        </is>
      </c>
      <c r="D211" s="21" t="inlineStr">
        <is>
          <t>ancestor::diggs:measurement//diggs:procedure/diggs:LabVaneTest</t>
        </is>
      </c>
    </row>
    <row r="212" ht="17" customHeight="1">
      <c r="A212">
        <f>IF(ISNA(VLOOKUP(B209,Definitions!B$2:B$1604,1,FALSE)),"Not listed","")</f>
        <v/>
      </c>
      <c r="B212" s="26" t="inlineStr">
        <is>
          <t>sensitivity</t>
        </is>
      </c>
      <c r="C212" s="21" t="inlineStr">
        <is>
          <t>//diggs:propertyClass</t>
        </is>
      </c>
      <c r="D212" s="21" t="inlineStr">
        <is>
          <t>ancestor::diggs:measurement//diggs:procedure/diggs:UnconfinedCompressiveStrengthTest</t>
        </is>
      </c>
    </row>
    <row r="213">
      <c r="A213">
        <f>IF(ISNA(VLOOKUP(B210,Definitions!B$2:B$1604,1,FALSE)),"Not listed","")</f>
        <v/>
      </c>
      <c r="B213" t="inlineStr">
        <is>
          <t>set_time</t>
        </is>
      </c>
      <c r="C213" s="4" t="inlineStr">
        <is>
          <t>//diggs:propertyClass</t>
        </is>
      </c>
      <c r="D213" s="21" t="inlineStr">
        <is>
          <t>ancestor::diggs:measurement//diggs:procedure/diggs:SetTimeTest</t>
        </is>
      </c>
    </row>
    <row r="214">
      <c r="A214">
        <f>IF(ISNA(VLOOKUP(B211,Definitions!B$2:B$1604,1,FALSE)),"Not listed","")</f>
        <v/>
      </c>
      <c r="B214" t="inlineStr">
        <is>
          <t>shear_strength_drained</t>
        </is>
      </c>
      <c r="C214" s="4" t="inlineStr">
        <is>
          <t>//diggs:propertyClass</t>
        </is>
      </c>
      <c r="D214" s="21" t="inlineStr">
        <is>
          <t>ancestor::diggs:measurement//diggs:procedure/diggs:LabPenetrometerTest</t>
        </is>
      </c>
    </row>
    <row r="215" ht="17" customHeight="1">
      <c r="A215">
        <f>IF(ISNA(VLOOKUP(B212,Definitions!B$2:B$1604,1,FALSE)),"Not listed","")</f>
        <v/>
      </c>
      <c r="B215" s="26" t="inlineStr">
        <is>
          <t>shear_strength_drained</t>
        </is>
      </c>
      <c r="C215" s="21" t="inlineStr">
        <is>
          <t>//diggs:propertyClass</t>
        </is>
      </c>
      <c r="D215" s="21" t="inlineStr">
        <is>
          <t>ancestor::diggs:measurement//diggs:procedure/diggs:PocketPenetrometerTest</t>
        </is>
      </c>
    </row>
    <row r="216" ht="17" customHeight="1">
      <c r="A216">
        <f>IF(ISNA(VLOOKUP(B213,Definitions!B$2:B$1604,1,FALSE)),"Not listed","")</f>
        <v/>
      </c>
      <c r="B216" t="inlineStr">
        <is>
          <t>shear_strength_drained</t>
        </is>
      </c>
      <c r="C216" s="4" t="inlineStr">
        <is>
          <t>//diggs:propertyClass</t>
        </is>
      </c>
      <c r="D216" s="21" t="inlineStr">
        <is>
          <t>ancestor::diggs:measurement//diggs:procedure/diggs:PressuremeterTest</t>
        </is>
      </c>
    </row>
    <row r="217" ht="17" customHeight="1">
      <c r="A217">
        <f>IF(ISNA(VLOOKUP(B214,Definitions!B$2:B$1604,1,FALSE)),"Not listed","")</f>
        <v/>
      </c>
      <c r="B217" t="inlineStr">
        <is>
          <t>shear_strength_drained</t>
        </is>
      </c>
      <c r="C217" s="4" t="inlineStr">
        <is>
          <t>//diggs:propertyClass</t>
        </is>
      </c>
      <c r="D217" s="21" t="inlineStr">
        <is>
          <t>ancestor::diggs:measurement//diggs:procedure/diggs:TriaxialTest</t>
        </is>
      </c>
    </row>
    <row r="218" ht="17" customHeight="1">
      <c r="A218">
        <f>IF(ISNA(VLOOKUP(B216,Definitions!B$2:B$1604,1,FALSE)),"Not listed","")</f>
        <v/>
      </c>
      <c r="B218" s="26" t="inlineStr">
        <is>
          <t>shear_strength_undrained</t>
        </is>
      </c>
      <c r="C218" s="21" t="inlineStr">
        <is>
          <t>//diggs:propertyClass</t>
        </is>
      </c>
      <c r="D218" s="21" t="inlineStr">
        <is>
          <t>ancestor::diggs:measurement//diggs:procedure/diggs:FlatPlateDilatometerTest</t>
        </is>
      </c>
    </row>
    <row r="219" ht="17" customHeight="1">
      <c r="A219">
        <f>IF(ISNA(VLOOKUP(B217,Definitions!B$2:B$1604,1,FALSE)),"Not listed","")</f>
        <v/>
      </c>
      <c r="B219" s="26" t="inlineStr">
        <is>
          <t>shear_strength_undrained</t>
        </is>
      </c>
      <c r="C219" s="21" t="inlineStr">
        <is>
          <t>//diggs:propertyClass</t>
        </is>
      </c>
      <c r="D219" s="21" t="inlineStr">
        <is>
          <t>ancestor::diggs:measurement//diggs:procedure/diggs:InsituVaneTest</t>
        </is>
      </c>
    </row>
    <row r="220" ht="17" customHeight="1">
      <c r="A220">
        <f>IF(ISNA(VLOOKUP(B218,Definitions!B$2:B$1604,1,FALSE)),"Not listed","")</f>
        <v/>
      </c>
      <c r="B220" t="inlineStr">
        <is>
          <t>shear_strength_undrained</t>
        </is>
      </c>
      <c r="C220" s="4" t="inlineStr">
        <is>
          <t>//diggs:propertyClass</t>
        </is>
      </c>
      <c r="D220" s="21" t="inlineStr">
        <is>
          <t>ancestor::diggs:measurement//diggs:procedure/diggs:LabPenetrometerTest</t>
        </is>
      </c>
    </row>
    <row r="221" ht="17" customHeight="1">
      <c r="A221">
        <f>IF(ISNA(VLOOKUP(B219,Definitions!B$2:B$1604,1,FALSE)),"Not listed","")</f>
        <v/>
      </c>
      <c r="B221" s="26" t="inlineStr">
        <is>
          <t>shear_strength_undrained</t>
        </is>
      </c>
      <c r="C221" s="21" t="inlineStr">
        <is>
          <t>//diggs:propertyClass</t>
        </is>
      </c>
      <c r="D221" s="21" t="inlineStr">
        <is>
          <t>ancestor::diggs:measurement//diggs:procedure/diggs:LabVaneTest</t>
        </is>
      </c>
    </row>
    <row r="222" ht="17" customHeight="1">
      <c r="A222">
        <f>IF(ISNA(VLOOKUP(B220,Definitions!B$2:B$1604,1,FALSE)),"Not listed","")</f>
        <v/>
      </c>
      <c r="B222" s="26" t="inlineStr">
        <is>
          <t>shear_strength_undrained</t>
        </is>
      </c>
      <c r="C222" s="21" t="inlineStr">
        <is>
          <t>//diggs:propertyClass</t>
        </is>
      </c>
      <c r="D222" s="21" t="inlineStr">
        <is>
          <t>ancestor::diggs:measurement//diggs:procedure/diggs:PocketPenetrometerTest</t>
        </is>
      </c>
    </row>
    <row r="223" ht="17" customHeight="1">
      <c r="A223">
        <f>IF(ISNA(VLOOKUP(B221,Definitions!B$2:B$1604,1,FALSE)),"Not listed","")</f>
        <v/>
      </c>
      <c r="B223" t="inlineStr">
        <is>
          <t>shear_strength_undrained</t>
        </is>
      </c>
      <c r="C223" s="4" t="inlineStr">
        <is>
          <t>//diggs:propertyClass</t>
        </is>
      </c>
      <c r="D223" s="21" t="inlineStr">
        <is>
          <t>ancestor::diggs:measurement//diggs:procedure/diggs:PressuremeterTest</t>
        </is>
      </c>
    </row>
    <row r="224" ht="17" customHeight="1">
      <c r="A224">
        <f>IF(ISNA(VLOOKUP(B222,Definitions!B$2:B$1604,1,FALSE)),"Not listed","")</f>
        <v/>
      </c>
      <c r="B224" t="inlineStr">
        <is>
          <t>shear_strength_undrained</t>
        </is>
      </c>
      <c r="C224" s="4" t="inlineStr">
        <is>
          <t>//diggs:propertyClass</t>
        </is>
      </c>
      <c r="D224" s="21" t="inlineStr">
        <is>
          <t>ancestor::diggs:measurement//diggs:procedure/diggs:TriaxialTest</t>
        </is>
      </c>
    </row>
    <row r="225" ht="17" customHeight="1">
      <c r="A225">
        <f>IF(ISNA(VLOOKUP(B223,Definitions!B$2:B$1604,1,FALSE)),"Not listed","")</f>
        <v/>
      </c>
      <c r="B225" s="26" t="inlineStr">
        <is>
          <t>shear_strength_undrained</t>
        </is>
      </c>
      <c r="C225" s="21" t="inlineStr">
        <is>
          <t>//diggs:propertyClass</t>
        </is>
      </c>
      <c r="D225" s="21" t="inlineStr">
        <is>
          <t>ancestor::diggs:measurement//diggs:procedure/diggs:TriaxialTest</t>
        </is>
      </c>
    </row>
    <row r="226" ht="17" customHeight="1">
      <c r="A226">
        <f>IF(ISNA(VLOOKUP(B224,Definitions!B$2:B$1604,1,FALSE)),"Not listed","")</f>
        <v/>
      </c>
      <c r="B226" s="26" t="inlineStr">
        <is>
          <t>shear_strength_undrained_residual</t>
        </is>
      </c>
      <c r="C226" s="21" t="inlineStr">
        <is>
          <t>//diggs:propertyClass</t>
        </is>
      </c>
      <c r="D226" s="21" t="inlineStr">
        <is>
          <t>ancestor::diggs:measurement//diggs:procedure/diggs:FlatPlateDilatometerTest</t>
        </is>
      </c>
    </row>
    <row r="227" ht="17" customHeight="1">
      <c r="A227">
        <f>IF(ISNA(VLOOKUP(B225,Definitions!B$2:B$1604,1,FALSE)),"Not listed","")</f>
        <v/>
      </c>
      <c r="B227" s="26" t="inlineStr">
        <is>
          <t>shear_strength_undrained_residual</t>
        </is>
      </c>
      <c r="C227" s="21" t="inlineStr">
        <is>
          <t>//diggs:propertyClass</t>
        </is>
      </c>
      <c r="D227" s="21" t="inlineStr">
        <is>
          <t>ancestor::diggs:measurement//diggs:procedure/diggs:InsituVaneTest</t>
        </is>
      </c>
    </row>
    <row r="228" ht="17" customHeight="1">
      <c r="A228">
        <f>IF(ISNA(VLOOKUP(B226,Definitions!B$2:B$1604,1,FALSE)),"Not listed","")</f>
        <v/>
      </c>
      <c r="B228" t="inlineStr">
        <is>
          <t>shear_strength_undrained_residual</t>
        </is>
      </c>
      <c r="C228" s="4" t="inlineStr">
        <is>
          <t>//diggs:propertyClass</t>
        </is>
      </c>
      <c r="D228" s="21" t="inlineStr">
        <is>
          <t>ancestor::diggs:measurement//diggs:procedure/diggs:LabPenetrometerTest</t>
        </is>
      </c>
    </row>
    <row r="229" ht="17" customHeight="1">
      <c r="A229">
        <f>IF(ISNA(VLOOKUP(B227,Definitions!B$2:B$1604,1,FALSE)),"Not listed","")</f>
        <v/>
      </c>
      <c r="B229" s="26" t="inlineStr">
        <is>
          <t>shear_strength_undrained_residual</t>
        </is>
      </c>
      <c r="C229" s="21" t="inlineStr">
        <is>
          <t>//diggs:propertyClass</t>
        </is>
      </c>
      <c r="D229" s="21" t="inlineStr">
        <is>
          <t>ancestor::diggs:measurement//diggs:procedure/diggs:LabVaneTest</t>
        </is>
      </c>
    </row>
    <row r="230" ht="17" customHeight="1">
      <c r="A230">
        <f>IF(ISNA(VLOOKUP(B228,Definitions!B$2:B$1604,1,FALSE)),"Not listed","")</f>
        <v/>
      </c>
      <c r="B230" s="26" t="inlineStr">
        <is>
          <t>shear_strength_undrained_residual</t>
        </is>
      </c>
      <c r="C230" s="21" t="inlineStr">
        <is>
          <t>//diggs:propertyClass</t>
        </is>
      </c>
      <c r="D230" s="21" t="inlineStr">
        <is>
          <t>ancestor::diggs:measurement//diggs:procedure/diggs:PocketPenetrometerTest</t>
        </is>
      </c>
    </row>
    <row r="231" ht="17" customHeight="1">
      <c r="A231">
        <f>IF(ISNA(VLOOKUP(B229,Definitions!B$2:B$1604,1,FALSE)),"Not listed","")</f>
        <v/>
      </c>
      <c r="B231" t="inlineStr">
        <is>
          <t>shear_strength_undrained_residual</t>
        </is>
      </c>
      <c r="C231" s="4" t="inlineStr">
        <is>
          <t>//diggs:propertyClass</t>
        </is>
      </c>
      <c r="D231" s="21" t="inlineStr">
        <is>
          <t>ancestor::diggs:measurement//diggs:procedure/diggs:PressuremeterTest</t>
        </is>
      </c>
    </row>
    <row r="232" ht="17" customHeight="1">
      <c r="A232">
        <f>IF(ISNA(VLOOKUP(B230,Definitions!B$2:B$1604,1,FALSE)),"Not listed","")</f>
        <v/>
      </c>
      <c r="B232" t="inlineStr">
        <is>
          <t>shear_strength_undrained_residual</t>
        </is>
      </c>
      <c r="C232" s="4" t="inlineStr">
        <is>
          <t>//diggs:propertyClass</t>
        </is>
      </c>
      <c r="D232" s="21" t="inlineStr">
        <is>
          <t>ancestor::diggs:measurement//diggs:procedure/diggs:TriaxialTest</t>
        </is>
      </c>
    </row>
    <row r="233" ht="17" customHeight="1">
      <c r="A233">
        <f>IF(ISNA(VLOOKUP(B231,Definitions!B$2:B$1604,1,FALSE)),"Not listed","")</f>
        <v/>
      </c>
      <c r="B233" s="26" t="inlineStr">
        <is>
          <t>shear_strength_undrained_residual</t>
        </is>
      </c>
      <c r="C233" s="21" t="inlineStr">
        <is>
          <t>//diggs:propertyClass</t>
        </is>
      </c>
      <c r="D233" s="21" t="inlineStr">
        <is>
          <t>ancestor::diggs:measurement//diggs:procedure/diggs:TriaxialTest</t>
        </is>
      </c>
    </row>
    <row r="234" ht="17" customHeight="1">
      <c r="A234">
        <f>IF(ISNA(VLOOKUP(B232,Definitions!B$2:B$1604,1,FALSE)),"Not listed","")</f>
        <v/>
      </c>
      <c r="B234" s="38" t="inlineStr">
        <is>
          <t>shear_velocity</t>
        </is>
      </c>
      <c r="C234" s="4" t="inlineStr">
        <is>
          <t>//diggs:propertyClass</t>
        </is>
      </c>
      <c r="D234" s="21" t="inlineStr">
        <is>
          <t>ancestor::diggs:measurement//diggs:procedure/diggs:LabVelocityTest</t>
        </is>
      </c>
    </row>
    <row r="235">
      <c r="A235">
        <f>IF(ISNA(VLOOKUP(B233,Definitions!B$2:B$1604,1,FALSE)),"Not listed","")</f>
        <v/>
      </c>
      <c r="B235" t="inlineStr">
        <is>
          <t>shore_hardness_value</t>
        </is>
      </c>
      <c r="C235" s="4" t="inlineStr">
        <is>
          <t>//diggs:propertyClass</t>
        </is>
      </c>
      <c r="D235" s="21" t="inlineStr">
        <is>
          <t>ancestor::diggs:measurement//diggs:procedure/diggs:ShoreScleroscopeHardnessTest</t>
        </is>
      </c>
    </row>
    <row r="236" ht="17" customHeight="1">
      <c r="A236">
        <f>IF(ISNA(VLOOKUP(B234,Definitions!B$2:B$1604,1,FALSE)),"Not listed","")</f>
        <v/>
      </c>
      <c r="B236" s="38" t="inlineStr">
        <is>
          <t>shrinkage</t>
        </is>
      </c>
      <c r="C236" s="4" t="inlineStr">
        <is>
          <t>//diggs:propertyClass</t>
        </is>
      </c>
      <c r="D236" s="21" t="inlineStr">
        <is>
          <t>ancestor::diggs:measurement//diggs:procedure/diggs:LinearShrinkageTest</t>
        </is>
      </c>
    </row>
    <row r="237" ht="17" customHeight="1">
      <c r="A237">
        <f>IF(ISNA(VLOOKUP(B235,Definitions!B$2:B$1604,1,FALSE)),"Not listed","")</f>
        <v/>
      </c>
      <c r="B237" t="inlineStr">
        <is>
          <t>shrinkage</t>
        </is>
      </c>
      <c r="C237" s="4" t="inlineStr">
        <is>
          <t>//diggs:propertyClass</t>
        </is>
      </c>
      <c r="D237" s="21" t="inlineStr">
        <is>
          <t>ancestor::diggs:measurement//diggs:procedure/diggs:ShrinkageTest</t>
        </is>
      </c>
    </row>
    <row r="238" ht="17" customHeight="1">
      <c r="A238">
        <f>IF(ISNA(VLOOKUP(B236,Definitions!B$2:B$1604,1,FALSE)),"Not listed","")</f>
        <v/>
      </c>
      <c r="B238" s="26" t="inlineStr">
        <is>
          <t>shrinkage_limit</t>
        </is>
      </c>
      <c r="C238" s="21" t="inlineStr">
        <is>
          <t>//diggs:propertyClass</t>
        </is>
      </c>
      <c r="D238" s="21" t="inlineStr">
        <is>
          <t>ancestor::diggs:measurement//diggs:procedure/diggs:AtterbergLimitsTest</t>
        </is>
      </c>
    </row>
    <row r="239" ht="17" customHeight="1">
      <c r="A239">
        <f>IF(ISNA(VLOOKUP(B237,Definitions!B$2:B$1604,1,FALSE)),"Not listed","")</f>
        <v/>
      </c>
      <c r="B239" s="26" t="inlineStr">
        <is>
          <t>shrinkage_ratio</t>
        </is>
      </c>
      <c r="C239" s="21" t="inlineStr">
        <is>
          <t>//diggs:propertyClass</t>
        </is>
      </c>
      <c r="D239" s="21" t="inlineStr">
        <is>
          <t>ancestor::diggs:measurement//diggs:procedure/diggs:AtterbergLimitsTest</t>
        </is>
      </c>
    </row>
    <row r="240">
      <c r="A240">
        <f>IF(ISNA(VLOOKUP(B238,Definitions!B$2:B$1604,1,FALSE)),"Not listed","")</f>
        <v/>
      </c>
      <c r="B240" t="inlineStr">
        <is>
          <t>slake_durability_index</t>
        </is>
      </c>
      <c r="C240" s="4" t="inlineStr">
        <is>
          <t>//diggs:propertyClass</t>
        </is>
      </c>
      <c r="D240" s="21" t="inlineStr">
        <is>
          <t>ancestor::diggs:measurement//diggs:procedure/diggs:AggregateSlakeDurabilityTest</t>
        </is>
      </c>
    </row>
    <row r="241" ht="17" customHeight="1">
      <c r="A241">
        <f>IF(ISNA(VLOOKUP(B239,Definitions!B$2:B$1604,1,FALSE)),"Not listed","")</f>
        <v/>
      </c>
      <c r="B241" s="26" t="inlineStr">
        <is>
          <t>sleeve_friction</t>
        </is>
      </c>
      <c r="C241" s="21" t="inlineStr">
        <is>
          <t>//diggs:propertyClass</t>
        </is>
      </c>
      <c r="D241" s="21" t="inlineStr">
        <is>
          <t>ancestor::diggs:measurement//diggs:procedure/diggs:StaticConePenetrationTest</t>
        </is>
      </c>
    </row>
    <row r="242">
      <c r="A242">
        <f>IF(ISNA(VLOOKUP(B240,Definitions!B$2:B$1604,1,FALSE)),"Not listed","")</f>
        <v/>
      </c>
      <c r="B242" t="inlineStr">
        <is>
          <t>slump</t>
        </is>
      </c>
      <c r="C242" s="4" t="inlineStr">
        <is>
          <t>//diggs:propertyClass</t>
        </is>
      </c>
      <c r="D242" s="21" t="inlineStr">
        <is>
          <t>ancestor::diggs:measurement//diggs:procedure/diggs:SlumpTest</t>
        </is>
      </c>
    </row>
    <row r="243" ht="17" customHeight="1">
      <c r="A243">
        <f>IF(ISNA(VLOOKUP(B241,Definitions!B$2:B$1604,1,FALSE)),"Not listed","")</f>
        <v/>
      </c>
      <c r="B243" s="26" t="inlineStr">
        <is>
          <t>soil_moisture_content</t>
        </is>
      </c>
      <c r="C243" s="21" t="inlineStr">
        <is>
          <t>//diggs:propertyClass</t>
        </is>
      </c>
      <c r="D243" s="21" t="inlineStr">
        <is>
          <t>ancestor::diggs:measurement//diggs:procedure/diggs:StaticConePenetrationTest</t>
        </is>
      </c>
    </row>
    <row r="244" ht="17" customHeight="1">
      <c r="A244">
        <f>IF(ISNA(VLOOKUP(B242,Definitions!B$2:B$1604,1,FALSE)),"Not listed","")</f>
        <v/>
      </c>
      <c r="B244" t="inlineStr">
        <is>
          <t>soil_suction</t>
        </is>
      </c>
      <c r="C244" s="4" t="inlineStr">
        <is>
          <t>//diggs:propertyClass</t>
        </is>
      </c>
      <c r="D244" s="21" t="inlineStr">
        <is>
          <t>ancestor::diggs:measurement//diggs:procedure/diggs:SuctionTest</t>
        </is>
      </c>
    </row>
    <row r="245" ht="17" customHeight="1">
      <c r="A245">
        <f>IF(ISNA(VLOOKUP(B243,Definitions!B$2:B$1604,1,FALSE)),"Not listed","")</f>
        <v/>
      </c>
      <c r="B245" s="26" t="inlineStr">
        <is>
          <t>soil_type</t>
        </is>
      </c>
      <c r="C245" s="21" t="inlineStr">
        <is>
          <t>//diggs:propertyClass</t>
        </is>
      </c>
      <c r="D245" s="21" t="inlineStr">
        <is>
          <t>ancestor::diggs:measurement//diggs:procedure/diggs:FlatPlateDilatometerTest</t>
        </is>
      </c>
    </row>
    <row r="246" ht="17" customHeight="1">
      <c r="A246">
        <f>IF(ISNA(VLOOKUP(B244,Definitions!B$2:B$1604,1,FALSE)),"Not listed","")</f>
        <v/>
      </c>
      <c r="B246" s="26" t="inlineStr">
        <is>
          <t>specific_gravity_apparent</t>
        </is>
      </c>
      <c r="C246" s="21" t="inlineStr">
        <is>
          <t>//diggs:propertyClass</t>
        </is>
      </c>
      <c r="D246" s="21" t="inlineStr">
        <is>
          <t>ancestor::diggs:measurement//diggs:procedure/diggs:SpecificGravityTest</t>
        </is>
      </c>
    </row>
    <row r="247" ht="17" customHeight="1">
      <c r="A247">
        <f>IF(ISNA(VLOOKUP(B245,Definitions!B$2:B$1604,1,FALSE)),"Not listed","")</f>
        <v/>
      </c>
      <c r="B247" s="26" t="inlineStr">
        <is>
          <t>specific_gravity_bulk</t>
        </is>
      </c>
      <c r="C247" s="21" t="inlineStr">
        <is>
          <t>//diggs:propertyClass</t>
        </is>
      </c>
      <c r="D247" s="21" t="inlineStr">
        <is>
          <t>ancestor::diggs:measurement//diggs:procedure/diggs:SpecificGravityTest</t>
        </is>
      </c>
    </row>
    <row r="248" ht="17" customHeight="1">
      <c r="A248">
        <f>IF(ISNA(VLOOKUP(B246,Definitions!B$2:B$1604,1,FALSE)),"Not listed","")</f>
        <v/>
      </c>
      <c r="B248" s="26" t="inlineStr">
        <is>
          <t>specific_gravity_solids</t>
        </is>
      </c>
      <c r="C248" s="21" t="inlineStr">
        <is>
          <t>//diggs:propertyClass</t>
        </is>
      </c>
      <c r="D248" s="21" t="inlineStr">
        <is>
          <t>ancestor::diggs:measurement//diggs:procedure/diggs:LabCompactionTest</t>
        </is>
      </c>
    </row>
    <row r="249" ht="17" customHeight="1">
      <c r="A249">
        <f>IF(ISNA(VLOOKUP([1]AssociatedElements!B231,Definitions!B$2:B$1604,1,FALSE)),"Not listed","")</f>
        <v/>
      </c>
      <c r="B249" s="26" t="inlineStr">
        <is>
          <t>specific_gravity_solids</t>
        </is>
      </c>
      <c r="C249" s="21" t="inlineStr">
        <is>
          <t>//diggs:propertyClass</t>
        </is>
      </c>
      <c r="D249" s="21" t="inlineStr">
        <is>
          <t>ancestor::diggs:measurement//diggs:procedure/diggs:SpecificGravityTest</t>
        </is>
      </c>
    </row>
    <row r="250" ht="17" customHeight="1">
      <c r="A250">
        <f>IF(ISNA(VLOOKUP(B248,Definitions!B$2:B$1604,1,FALSE)),"Not listed","")</f>
        <v/>
      </c>
      <c r="B250" s="26" t="inlineStr">
        <is>
          <t>sulfate_content</t>
        </is>
      </c>
      <c r="C250" s="21" t="inlineStr">
        <is>
          <t>//diggs:propertyClass</t>
        </is>
      </c>
      <c r="D250" s="21" t="inlineStr">
        <is>
          <t>ancestor::diggs:measurement//diggs:procedure/diggs:LabChemicalTest</t>
        </is>
      </c>
    </row>
    <row r="251" ht="17" customHeight="1">
      <c r="A251">
        <f>IF(ISNA(VLOOKUP([1]AssociatedElements!B287,Definitions!B$2:B$1604,1,FALSE)),"Not listed","")</f>
        <v/>
      </c>
      <c r="B251" s="38" t="inlineStr">
        <is>
          <t>swell_pressure</t>
        </is>
      </c>
      <c r="C251" s="4" t="inlineStr">
        <is>
          <t>//diggs:propertyClass</t>
        </is>
      </c>
      <c r="D251" s="21" t="inlineStr">
        <is>
          <t>ancestor::diggs:measurement//diggs:procedure/diggs:SwellOrCollapseTest</t>
        </is>
      </c>
    </row>
    <row r="252">
      <c r="A252">
        <f>IF(ISNA(VLOOKUP(B250,Definitions!B$2:B$1604,1,FALSE)),"Not listed","")</f>
        <v/>
      </c>
      <c r="B252" t="inlineStr">
        <is>
          <t>syneresis</t>
        </is>
      </c>
      <c r="C252" s="4" t="inlineStr">
        <is>
          <t>//diggs:propertyClass</t>
        </is>
      </c>
      <c r="D252" s="21" t="inlineStr">
        <is>
          <t>ancestor::diggs:measurement//diggs:procedure/diggs:SyneresisTest</t>
        </is>
      </c>
    </row>
    <row r="253" ht="17" customHeight="1">
      <c r="A253">
        <f>IF(ISNA(VLOOKUP(B251,Definitions!B$2:B$1604,1,FALSE)),"Not listed","")</f>
        <v/>
      </c>
      <c r="B253" s="38" t="inlineStr">
        <is>
          <t>syneresis</t>
        </is>
      </c>
      <c r="C253" s="4" t="inlineStr">
        <is>
          <t>//diggs:propertyClass</t>
        </is>
      </c>
      <c r="D253" s="21" t="inlineStr">
        <is>
          <t>ancestor::diggs:syneresisTimeSeries</t>
        </is>
      </c>
    </row>
    <row r="254" ht="17" customHeight="1">
      <c r="A254">
        <f>IF(ISNA(VLOOKUP(B252,Definitions!B$2:B$1604,1,FALSE)),"Not listed","")</f>
        <v/>
      </c>
      <c r="B254" t="inlineStr">
        <is>
          <t>syneresis_surface_area_normalized</t>
        </is>
      </c>
      <c r="C254" s="4" t="inlineStr">
        <is>
          <t>//diggs:propertyClass</t>
        </is>
      </c>
      <c r="D254" s="21" t="inlineStr">
        <is>
          <t>ancestor::diggs:measurement//diggs:procedure/diggs:SyneresisTest</t>
        </is>
      </c>
    </row>
    <row r="255" ht="17" customHeight="1">
      <c r="A255">
        <f>IF(ISNA(VLOOKUP(B253,Definitions!B$2:B$1604,1,FALSE)),"Not listed","")</f>
        <v/>
      </c>
      <c r="B255" s="38" t="inlineStr">
        <is>
          <t>syneresis_surface_area_normalized</t>
        </is>
      </c>
      <c r="C255" s="4" t="inlineStr">
        <is>
          <t>//diggs:propertyClass</t>
        </is>
      </c>
      <c r="D255" s="21" t="inlineStr">
        <is>
          <t>ancestor::diggs:syneresisTimeSeries</t>
        </is>
      </c>
    </row>
    <row r="256" ht="17" customHeight="1">
      <c r="A256">
        <f>IF(ISNA(VLOOKUP(B254,Definitions!B$2:B$1604,1,FALSE)),"Not listed","")</f>
        <v/>
      </c>
      <c r="B256" s="26" t="inlineStr">
        <is>
          <t>t50</t>
        </is>
      </c>
      <c r="C256" s="21" t="inlineStr">
        <is>
          <t>//diggs:propertyClass</t>
        </is>
      </c>
      <c r="D256" s="21" t="inlineStr">
        <is>
          <t>ancestor::diggs:measurement//diggs:procedure/diggs:PorePressureDissipationTest</t>
        </is>
      </c>
    </row>
    <row r="257" ht="17" customHeight="1">
      <c r="A257">
        <f>IF(ISNA(VLOOKUP([1]AssociatedElements!B276,Definitions!B$2:B$1604,1,FALSE)),"Not listed","")</f>
        <v/>
      </c>
      <c r="B257" s="26" t="inlineStr">
        <is>
          <t>temperature</t>
        </is>
      </c>
      <c r="C257" s="4" t="inlineStr">
        <is>
          <t>//diggs:propertyClass</t>
        </is>
      </c>
      <c r="D257" s="21" t="inlineStr">
        <is>
          <t>ancestor::diggs:measurement//diggs:procedure/diggs:WaterLevelMonitoring</t>
        </is>
      </c>
    </row>
    <row r="258" ht="17" customHeight="1">
      <c r="A258">
        <f>IF(ISNA(VLOOKUP(B256,Definitions!B$2:B$1604,1,FALSE)),"Not listed","")</f>
        <v/>
      </c>
      <c r="B258" s="26" t="inlineStr">
        <is>
          <t>temperature</t>
        </is>
      </c>
      <c r="C258" s="21" t="inlineStr">
        <is>
          <t>//diggs:propertyClass</t>
        </is>
      </c>
      <c r="D258" s="21" t="inlineStr">
        <is>
          <t>ancestor::diggs:measurement//diggs:procedure/diggs:StaticConePenetrationTest</t>
        </is>
      </c>
    </row>
    <row r="259" ht="17" customHeight="1">
      <c r="A259">
        <f>IF(ISNA(VLOOKUP(B257,Definitions!B$2:B$1604,1,FALSE)),"Not listed","")</f>
        <v/>
      </c>
      <c r="B259" t="inlineStr">
        <is>
          <t>ten_percent_fines_value</t>
        </is>
      </c>
      <c r="C259" s="4" t="inlineStr">
        <is>
          <t>//diggs:propertyClass</t>
        </is>
      </c>
      <c r="D259" s="21" t="inlineStr">
        <is>
          <t>ancestor::diggs:measurement//diggs:procedure/diggs:AggregateTenPercentFinesTest</t>
        </is>
      </c>
    </row>
    <row r="260" ht="17" customHeight="1">
      <c r="A260">
        <f>IF(ISNA(VLOOKUP([1]AssociatedElements!B294,Definitions!B$2:B$1604,1,FALSE)),"Not listed","")</f>
        <v/>
      </c>
      <c r="B260" s="38" t="inlineStr">
        <is>
          <t>tensile_strength</t>
        </is>
      </c>
      <c r="C260" s="4" t="inlineStr">
        <is>
          <t>//diggs:propertyClass</t>
        </is>
      </c>
      <c r="D260" s="21" t="inlineStr">
        <is>
          <t>ancestor::diggs:measurement//diggs:procedure/diggs:TensileStrengthTest</t>
        </is>
      </c>
    </row>
    <row r="261" ht="17" customHeight="1">
      <c r="A261">
        <f>IF(ISNA(VLOOKUP(B259,Definitions!B$2:B$1604,1,FALSE)),"Not listed","")</f>
        <v/>
      </c>
      <c r="B261" s="26" t="inlineStr">
        <is>
          <t>thrust</t>
        </is>
      </c>
      <c r="C261" s="21" t="inlineStr">
        <is>
          <t>//diggs:propertyClass</t>
        </is>
      </c>
      <c r="D261" s="21" t="inlineStr">
        <is>
          <t>ancestor::diggs:measurement//diggs:procedure/diggs:FlatPlateDilatometerTest</t>
        </is>
      </c>
    </row>
    <row r="262" ht="15" customHeight="1">
      <c r="A262">
        <f>IF(ISNA(VLOOKUP(B260,Definitions!B$2:B$1604,1,FALSE)),"Not listed","")</f>
        <v/>
      </c>
      <c r="B262" s="26" t="inlineStr">
        <is>
          <t>time</t>
        </is>
      </c>
      <c r="C262" s="4" t="inlineStr">
        <is>
          <t>//diggs:propertyClass</t>
        </is>
      </c>
      <c r="D262" s="21" t="inlineStr">
        <is>
          <t>ancestor::diggs:dissipationTimeSeries</t>
        </is>
      </c>
    </row>
    <row r="263" ht="17" customHeight="1">
      <c r="A263">
        <f>IF(ISNA(VLOOKUP(B261,Definitions!B$2:B$1604,1,FALSE)),"Not listed","")</f>
        <v/>
      </c>
      <c r="B263" s="38" t="inlineStr">
        <is>
          <t>time</t>
        </is>
      </c>
      <c r="C263" s="4" t="inlineStr">
        <is>
          <t>//diggs:propertyClass</t>
        </is>
      </c>
      <c r="D263" s="21" t="inlineStr">
        <is>
          <t>ancestor::diggs:lugeonStepTimeSeries</t>
        </is>
      </c>
    </row>
    <row r="264" ht="17" customHeight="1">
      <c r="A264">
        <f>IF(ISNA(VLOOKUP(B262,Definitions!B$2:B$1604,1,FALSE)),"Not listed","")</f>
        <v/>
      </c>
      <c r="B264" s="26" t="inlineStr">
        <is>
          <t>time</t>
        </is>
      </c>
      <c r="C264" s="21" t="inlineStr">
        <is>
          <t>//diggs:propertyClass</t>
        </is>
      </c>
      <c r="D264" s="21" t="inlineStr">
        <is>
          <t>ancestor::diggs:measurement//diggs:procedure/diggs:StaticConePenetrationTest</t>
        </is>
      </c>
    </row>
    <row r="265" ht="17" customHeight="1">
      <c r="A265">
        <f>IF(ISNA(VLOOKUP(B263,Definitions!B$2:B$1604,1,FALSE)),"Not listed","")</f>
        <v/>
      </c>
      <c r="B265" s="26" t="inlineStr">
        <is>
          <t>time</t>
        </is>
      </c>
      <c r="C265" s="4" t="inlineStr">
        <is>
          <t>//diggs:propertyClass</t>
        </is>
      </c>
      <c r="D265" s="21" t="inlineStr">
        <is>
          <t>ancestor::diggs:syneresisTimeSeries</t>
        </is>
      </c>
    </row>
    <row r="266" ht="17" customHeight="1">
      <c r="A266">
        <f>IF(ISNA(VLOOKUP(B264,Definitions!B$2:B$1604,1,FALSE)),"Not listed","")</f>
        <v/>
      </c>
      <c r="B266" s="26" t="inlineStr">
        <is>
          <t>time</t>
        </is>
      </c>
      <c r="C266" s="21" t="inlineStr">
        <is>
          <t>//diggs:propertyClass</t>
        </is>
      </c>
      <c r="D266" s="21" t="inlineStr">
        <is>
          <t>ancestor::SpatialResult</t>
        </is>
      </c>
    </row>
    <row r="267" ht="17" customHeight="1">
      <c r="A267">
        <f>IF(ISNA(VLOOKUP(B265,Definitions!B$2:B$1604,1,FALSE)),"Not listed","")</f>
        <v/>
      </c>
      <c r="B267" s="26" t="inlineStr">
        <is>
          <t>time</t>
        </is>
      </c>
      <c r="C267" s="21" t="inlineStr">
        <is>
          <t>//diggs:propertyClass</t>
        </is>
      </c>
      <c r="D267" s="21" t="inlineStr">
        <is>
          <t>ancestor::TestResult</t>
        </is>
      </c>
    </row>
    <row r="268" ht="17" customHeight="1">
      <c r="A268">
        <f>IF(ISNA(VLOOKUP(B266,Definitions!B$2:B$1604,1,FALSE)),"Not listed","")</f>
        <v/>
      </c>
      <c r="B268" s="26" t="inlineStr">
        <is>
          <t>tip_resistance</t>
        </is>
      </c>
      <c r="C268" s="21" t="inlineStr">
        <is>
          <t>//diggs:propertyClass</t>
        </is>
      </c>
      <c r="D268" s="21" t="inlineStr">
        <is>
          <t>ancestor::diggs:measurement//diggs:procedure/diggs:StaticConePenetrationTest</t>
        </is>
      </c>
    </row>
    <row r="269" ht="17" customHeight="1">
      <c r="A269">
        <f>IF(ISNA(VLOOKUP(B267,Definitions!B$2:B$1604,1,FALSE)),"Not listed","")</f>
        <v/>
      </c>
      <c r="B269" s="26" t="inlineStr">
        <is>
          <t>tip_resistance_corrected</t>
        </is>
      </c>
      <c r="C269" s="21" t="inlineStr">
        <is>
          <t>//diggs:propertyClass</t>
        </is>
      </c>
      <c r="D269" s="21" t="inlineStr">
        <is>
          <t>ancestor::diggs:measurement//diggs:procedure/diggs:StaticConePenetrationTest</t>
        </is>
      </c>
    </row>
    <row r="270" ht="17" customHeight="1">
      <c r="A270">
        <f>IF(ISNA(VLOOKUP(B268,Definitions!B$2:B$1604,1,FALSE)),"Not listed","")</f>
        <v/>
      </c>
      <c r="B270" s="26" t="inlineStr">
        <is>
          <t>torque</t>
        </is>
      </c>
      <c r="C270" s="21" t="inlineStr">
        <is>
          <t>//diggs:propertyClass</t>
        </is>
      </c>
      <c r="D270" s="21" t="inlineStr">
        <is>
          <t>ancestor::diggs:measurement//diggs:procedure/diggs:DynamicProbeTest</t>
        </is>
      </c>
    </row>
    <row r="271" ht="17" customHeight="1">
      <c r="A271">
        <f>IF(ISNA(VLOOKUP([1]AssociatedElements!B283,Definitions!B$2:B$1604,1,FALSE)),"Not listed","")</f>
        <v/>
      </c>
      <c r="B271" s="38" t="inlineStr">
        <is>
          <t>total_carbon</t>
        </is>
      </c>
      <c r="C271" s="4" t="inlineStr">
        <is>
          <t>//diggs:propertyClass</t>
        </is>
      </c>
      <c r="D271" s="21" t="inlineStr">
        <is>
          <t>ancestor::diggs:measurement//diggs:procedure/diggs:OrganicMatterByWetCombustionTest</t>
        </is>
      </c>
    </row>
    <row r="272" ht="17" customHeight="1">
      <c r="A272">
        <f>IF(ISNA(VLOOKUP([1]AssociatedElements!B285,Definitions!B$2:B$1604,1,FALSE)),"Not listed","")</f>
        <v/>
      </c>
      <c r="B272" s="38" t="inlineStr">
        <is>
          <t>total_organic_matter</t>
        </is>
      </c>
      <c r="C272" s="4" t="inlineStr">
        <is>
          <t>//diggs:propertyClass</t>
        </is>
      </c>
      <c r="D272" s="21" t="inlineStr">
        <is>
          <t>ancestor::diggs:measurement//diggs:procedure/diggs:OrganicMatterByWetCombustionTest</t>
        </is>
      </c>
    </row>
    <row r="273" ht="17" customHeight="1">
      <c r="A273">
        <f>IF(ISNA(VLOOKUP(B271,Definitions!B$2:B$1604,1,FALSE)),"Not listed","")</f>
        <v/>
      </c>
      <c r="B273" s="38" t="inlineStr">
        <is>
          <t>transducer_pressure</t>
        </is>
      </c>
      <c r="C273" s="4" t="inlineStr">
        <is>
          <t>//diggs:propertyClass</t>
        </is>
      </c>
      <c r="D273" s="21" t="inlineStr">
        <is>
          <t>ancestor::diggs:lugeonStepTimeSeries</t>
        </is>
      </c>
    </row>
    <row r="274" ht="17" customHeight="1">
      <c r="A274">
        <f>IF(ISNA(VLOOKUP(B272,Definitions!B$2:B$1604,1,FALSE)),"Not listed","")</f>
        <v/>
      </c>
      <c r="B274" s="26" t="inlineStr">
        <is>
          <t>u50</t>
        </is>
      </c>
      <c r="C274" s="21" t="inlineStr">
        <is>
          <t>//diggs:propertyClass</t>
        </is>
      </c>
      <c r="D274" s="21" t="inlineStr">
        <is>
          <t>ancestor::diggs:measurement//diggs:procedure/diggs:PorePressureDissipationTest</t>
        </is>
      </c>
    </row>
    <row r="275" ht="17" customHeight="1">
      <c r="A275">
        <f>IF(ISNA(VLOOKUP(B273,Definitions!B$2:B$1604,1,FALSE)),"Not listed","")</f>
        <v/>
      </c>
      <c r="B275" s="38" t="inlineStr">
        <is>
          <t>uscs_group_name</t>
        </is>
      </c>
      <c r="C275" s="4" t="inlineStr">
        <is>
          <t>//diggs:propertyClass</t>
        </is>
      </c>
      <c r="D275" s="21" t="inlineStr">
        <is>
          <t>ancestor::diggs:measurement//diggs:procedure/diggs:ParticleSizeTest</t>
        </is>
      </c>
    </row>
    <row r="276" ht="17" customHeight="1">
      <c r="A276">
        <f>IF(ISNA(VLOOKUP(B274,Definitions!B$2:B$1604,1,FALSE)),"Not listed","")</f>
        <v/>
      </c>
      <c r="B276" s="26" t="inlineStr">
        <is>
          <t>uscs_symbol</t>
        </is>
      </c>
      <c r="C276" s="21" t="inlineStr">
        <is>
          <t>//diggs:propertyClass</t>
        </is>
      </c>
      <c r="D276" s="21" t="inlineStr">
        <is>
          <t>ancestor::diggs:measurement//diggs:procedure/diggs:ParticleSizeTest</t>
        </is>
      </c>
    </row>
    <row r="277" ht="17" customHeight="1">
      <c r="A277">
        <f>IF(ISNA(VLOOKUP(B275,Definitions!B$2:B$1604,1,FALSE)),"Not listed","")</f>
        <v/>
      </c>
      <c r="B277" s="26" t="inlineStr">
        <is>
          <t>uscs_symbol_425</t>
        </is>
      </c>
      <c r="C277" s="21" t="inlineStr">
        <is>
          <t>//diggs:propertyClass</t>
        </is>
      </c>
      <c r="D277" s="21" t="inlineStr">
        <is>
          <t>ancestor::diggs:measurement//diggs:procedure/diggs:AtterbergLimitsTest</t>
        </is>
      </c>
    </row>
    <row r="278" ht="17" customHeight="1">
      <c r="A278">
        <f>IF(ISNA(VLOOKUP(B276,Definitions!B$2:B$1604,1,FALSE)),"Not listed","")</f>
        <v/>
      </c>
      <c r="B278" s="26" t="inlineStr">
        <is>
          <t>vertical_stress_total</t>
        </is>
      </c>
      <c r="C278" s="21" t="inlineStr">
        <is>
          <t>//diggs:propertyClass</t>
        </is>
      </c>
      <c r="D278" s="21" t="inlineStr">
        <is>
          <t>ancestor::diggs:measurement//diggs:procedure/diggs:FlatPlateDilatometerTest</t>
        </is>
      </c>
    </row>
    <row r="279" ht="17" customHeight="1">
      <c r="A279">
        <f>IF(ISNA(VLOOKUP(B277,Definitions!B$2:B$1604,1,FALSE)),"Not listed","")</f>
        <v/>
      </c>
      <c r="B279" s="38" t="inlineStr">
        <is>
          <t>volume</t>
        </is>
      </c>
      <c r="C279" s="4" t="inlineStr">
        <is>
          <t>//diggs:propertyClass</t>
        </is>
      </c>
      <c r="D279" s="21" t="inlineStr">
        <is>
          <t>ancestor::diggs:syneresisTimeSeries</t>
        </is>
      </c>
    </row>
    <row r="280" ht="17" customHeight="1">
      <c r="A280">
        <f>IF(ISNA(VLOOKUP(B278,Definitions!B$2:B$1604,1,FALSE)),"Not listed","")</f>
        <v/>
      </c>
      <c r="B280" s="38" t="inlineStr">
        <is>
          <t>volume_loss</t>
        </is>
      </c>
      <c r="C280" s="4" t="inlineStr">
        <is>
          <t>//diggs:propertyClass</t>
        </is>
      </c>
      <c r="D280" s="21" t="inlineStr">
        <is>
          <t>ancestor::diggs:syneresisTimeSeries</t>
        </is>
      </c>
    </row>
    <row r="281" ht="17" customHeight="1">
      <c r="A281">
        <f>IF(ISNA(VLOOKUP(B279,Definitions!B$2:B$1604,1,FALSE)),"Not listed","")</f>
        <v/>
      </c>
      <c r="B281" s="26" t="inlineStr">
        <is>
          <t>volumetric_shrinkage</t>
        </is>
      </c>
      <c r="C281" s="21" t="inlineStr">
        <is>
          <t>//diggs:propertyClass</t>
        </is>
      </c>
      <c r="D281" s="21" t="inlineStr">
        <is>
          <t>ancestor::diggs:measurement//diggs:procedure/diggs:AtterbergLimitsTest</t>
        </is>
      </c>
    </row>
    <row r="282" ht="17" customHeight="1">
      <c r="A282">
        <f>IF(ISNA(VLOOKUP(B280,Definitions!B$2:B$1604,1,FALSE)),"Not listed","")</f>
        <v/>
      </c>
      <c r="B282" t="inlineStr">
        <is>
          <t>washout_result</t>
        </is>
      </c>
      <c r="C282" s="4" t="inlineStr">
        <is>
          <t>//diggs:propertyClass</t>
        </is>
      </c>
      <c r="D282" s="21" t="inlineStr">
        <is>
          <t>ancestor::diggs:measurement//diggs:procedure/diggs:WashoutTest</t>
        </is>
      </c>
    </row>
    <row r="283" ht="17" customHeight="1">
      <c r="A283">
        <f>IF(ISNA(VLOOKUP([1]AssociatedElements!B290,Definitions!B$2:B$1604,1,FALSE)),"Not listed","")</f>
        <v/>
      </c>
      <c r="B283" s="38" t="inlineStr">
        <is>
          <t>water_content_difference</t>
        </is>
      </c>
      <c r="C283" s="4" t="inlineStr">
        <is>
          <t>//diggs:propertyClass</t>
        </is>
      </c>
      <c r="D283" s="21" t="inlineStr">
        <is>
          <t>ancestor::diggs:measurement//diggs:procedure/diggs:LabCompactionTest</t>
        </is>
      </c>
    </row>
    <row r="284" ht="17" customHeight="1">
      <c r="A284">
        <f>IF(ISNA(VLOOKUP(B282,Definitions!B$2:B$1604,1,FALSE)),"Not listed","")</f>
        <v/>
      </c>
      <c r="B284" s="26" t="inlineStr">
        <is>
          <t>water_content_natural</t>
        </is>
      </c>
      <c r="C284" s="21" t="inlineStr">
        <is>
          <t>//diggs:propertyClass</t>
        </is>
      </c>
      <c r="D284" s="21" t="inlineStr">
        <is>
          <t>ancestor::diggs:measurement//diggs:procedure/diggs:InsituCBRTest</t>
        </is>
      </c>
    </row>
    <row r="285" ht="17" customHeight="1">
      <c r="A285">
        <f>IF(ISNA(VLOOKUP(B283,Definitions!B$2:B$1604,1,FALSE)),"Not listed","")</f>
        <v/>
      </c>
      <c r="B285" s="26" t="inlineStr">
        <is>
          <t>water_content_natural</t>
        </is>
      </c>
      <c r="C285" s="21" t="inlineStr">
        <is>
          <t>//diggs:propertyClass</t>
        </is>
      </c>
      <c r="D285" s="21" t="inlineStr">
        <is>
          <t>ancestor::diggs:measurement//diggs:procedure/diggs:LabCBRTest</t>
        </is>
      </c>
    </row>
    <row r="286" ht="17" customHeight="1">
      <c r="A286">
        <f>IF(ISNA(VLOOKUP(B284,Definitions!B$2:B$1604,1,FALSE)),"Not listed","")</f>
        <v/>
      </c>
      <c r="B286" s="26" t="inlineStr">
        <is>
          <t>water_content_natural</t>
        </is>
      </c>
      <c r="C286" s="21" t="inlineStr">
        <is>
          <t>//diggs:propertyClass</t>
        </is>
      </c>
      <c r="D286" s="21" t="inlineStr">
        <is>
          <t>ancestor::diggs:measurement//diggs:procedure/diggs:LabCompactionTest</t>
        </is>
      </c>
    </row>
    <row r="287" ht="17" customHeight="1">
      <c r="A287">
        <f>IF(ISNA(VLOOKUP(B285,Definitions!B$2:B$1604,1,FALSE)),"Not listed","")</f>
        <v/>
      </c>
      <c r="B287" s="26" t="inlineStr">
        <is>
          <t>water_content_natural</t>
        </is>
      </c>
      <c r="C287" s="21" t="inlineStr">
        <is>
          <t>//diggs:propertyClass</t>
        </is>
      </c>
      <c r="D287" s="21" t="inlineStr">
        <is>
          <t>ancestor::diggs:measurement//diggs:procedure/diggs:LabDensityTest</t>
        </is>
      </c>
    </row>
    <row r="288" ht="17" customHeight="1">
      <c r="A288">
        <f>IF(ISNA(VLOOKUP(B286,Definitions!B$2:B$1604,1,FALSE)),"Not listed","")</f>
        <v/>
      </c>
      <c r="B288" s="26" t="inlineStr">
        <is>
          <t>water_content_natural</t>
        </is>
      </c>
      <c r="C288" s="21" t="inlineStr">
        <is>
          <t>//diggs:propertyClass</t>
        </is>
      </c>
      <c r="D288" s="21" t="inlineStr">
        <is>
          <t>ancestor::diggs:measurement//diggs:procedure/diggs:StaticConePenetrationTest</t>
        </is>
      </c>
    </row>
    <row r="289" ht="17" customHeight="1">
      <c r="A289">
        <f>IF(ISNA(VLOOKUP(B287,Definitions!B$2:B$1604,1,FALSE)),"Not listed","")</f>
        <v/>
      </c>
      <c r="B289" s="26" t="inlineStr">
        <is>
          <t>water_content_natural</t>
        </is>
      </c>
      <c r="C289" s="21" t="inlineStr">
        <is>
          <t>//diggs:propertyClass</t>
        </is>
      </c>
      <c r="D289" s="21" t="inlineStr">
        <is>
          <t>ancestor::diggs:measurement//diggs:procedure/diggs:WaterContentTest</t>
        </is>
      </c>
    </row>
    <row r="290" ht="17" customHeight="1">
      <c r="A290">
        <f>IF(ISNA(VLOOKUP(B288,Definitions!B$2:B$1604,1,FALSE)),"Not listed","")</f>
        <v/>
      </c>
      <c r="B290" s="26" t="inlineStr">
        <is>
          <t>water_content_optimum</t>
        </is>
      </c>
      <c r="C290" s="21" t="inlineStr">
        <is>
          <t>//diggs:propertyClass</t>
        </is>
      </c>
      <c r="D290" s="21" t="inlineStr">
        <is>
          <t>ancestor::diggs:measurement//diggs:procedure/diggs:LabCompactionTest</t>
        </is>
      </c>
    </row>
    <row r="291" ht="17" customHeight="1">
      <c r="A291">
        <f>IF(ISNA(VLOOKUP(B289,Definitions!B$2:B$1604,1,FALSE)),"Not listed","")</f>
        <v/>
      </c>
      <c r="B291" s="38" t="inlineStr">
        <is>
          <t>water_depth</t>
        </is>
      </c>
      <c r="C291" s="4" t="inlineStr">
        <is>
          <t>//diggs:propertyClass</t>
        </is>
      </c>
      <c r="D291" s="21" t="inlineStr">
        <is>
          <t>ancestor::diggs:measurement//diggs:procedure/diggs:PorePressureDissipationTest</t>
        </is>
      </c>
    </row>
    <row r="292" ht="17" customHeight="1">
      <c r="A292">
        <f>IF(ISNA(VLOOKUP([1]AssociatedElements!B292,Definitions!B$2:B$1604,1,FALSE)),"Not listed","")</f>
        <v/>
      </c>
      <c r="B292" s="38" t="inlineStr">
        <is>
          <t>water_depth</t>
        </is>
      </c>
      <c r="C292" s="4" t="inlineStr">
        <is>
          <t>//diggs:propertyClass</t>
        </is>
      </c>
      <c r="D292" s="21" t="inlineStr">
        <is>
          <t>ancestor::diggs:measurement//diggs:procedure/diggs:PumpingTest</t>
        </is>
      </c>
    </row>
    <row r="293" ht="17" customHeight="1">
      <c r="A293">
        <f>IF(ISNA(VLOOKUP([1]AssociatedElements!B274,Definitions!B$2:B$1604,1,FALSE)),"Not listed","")</f>
        <v/>
      </c>
      <c r="B293" s="38" t="inlineStr">
        <is>
          <t>water_depth</t>
        </is>
      </c>
      <c r="C293" s="4" t="inlineStr">
        <is>
          <t>//diggs:propertyClass</t>
        </is>
      </c>
      <c r="D293" s="21" t="inlineStr">
        <is>
          <t>ancestor::diggs:measurement//diggs:procedure/diggs:WaterLevelMonitoring</t>
        </is>
      </c>
    </row>
    <row r="294" ht="17" customHeight="1">
      <c r="A294">
        <f>IF(ISNA(VLOOKUP(B292,Definitions!B$2:B$1604,1,FALSE)),"Not listed","")</f>
        <v/>
      </c>
      <c r="B294" s="38" t="inlineStr">
        <is>
          <t>water_elev</t>
        </is>
      </c>
      <c r="C294" s="4" t="inlineStr">
        <is>
          <t>//diggs:propertyClass</t>
        </is>
      </c>
      <c r="D294" s="21" t="inlineStr">
        <is>
          <t>ancestor::diggs:measurement//diggs:procedure/diggs:PorePressureDissipationTest</t>
        </is>
      </c>
    </row>
    <row r="295" ht="17" customHeight="1">
      <c r="A295">
        <f>IF(ISNA(VLOOKUP([1]AssociatedElements!B291,Definitions!B$2:B$1604,1,FALSE)),"Not listed","")</f>
        <v/>
      </c>
      <c r="B295" s="38" t="inlineStr">
        <is>
          <t>water_elev</t>
        </is>
      </c>
      <c r="C295" s="4" t="inlineStr">
        <is>
          <t>//diggs:propertyClass</t>
        </is>
      </c>
      <c r="D295" s="21" t="inlineStr">
        <is>
          <t>ancestor::diggs:measurement//diggs:procedure/diggs:PumpingTest</t>
        </is>
      </c>
    </row>
    <row r="296" ht="17" customHeight="1">
      <c r="A296">
        <f>IF(ISNA(VLOOKUP([1]AssociatedElements!B275,Definitions!B$2:B$1604,1,FALSE)),"Not listed","")</f>
        <v/>
      </c>
      <c r="B296" s="38" t="inlineStr">
        <is>
          <t>water_elev</t>
        </is>
      </c>
      <c r="C296" s="4" t="inlineStr">
        <is>
          <t>//diggs:propertyClass</t>
        </is>
      </c>
      <c r="D296" s="21" t="inlineStr">
        <is>
          <t>ancestor::diggs:measurement//diggs:procedure/diggs:WaterLevelMonitoring</t>
        </is>
      </c>
    </row>
    <row r="297" ht="17" customHeight="1">
      <c r="A297">
        <f>IF(ISNA(VLOOKUP([1]AssociatedElements!B295,Definitions!B$2:B$1604,1,FALSE)),"Not listed","")</f>
        <v/>
      </c>
      <c r="B297" s="38" t="inlineStr">
        <is>
          <t>d84</t>
        </is>
      </c>
      <c r="C297" s="4" t="inlineStr">
        <is>
          <t>//diggs:propertyClass</t>
        </is>
      </c>
      <c r="D297" s="21" t="inlineStr">
        <is>
          <t>ancestor::diggs:measurement//diggs:procedure/diggs:MaterialGradationTest</t>
        </is>
      </c>
    </row>
    <row r="298" ht="17" customHeight="1">
      <c r="A298">
        <f>IF(ISNA(VLOOKUP([1]AssociatedElements!B296,Definitions!B$2:B$1604,1,FALSE)),"Not listed","")</f>
        <v/>
      </c>
      <c r="B298" s="38" t="inlineStr">
        <is>
          <t>d84</t>
        </is>
      </c>
      <c r="C298" s="4" t="inlineStr">
        <is>
          <t>//diggs:propertyClass</t>
        </is>
      </c>
      <c r="D298" s="21" t="inlineStr">
        <is>
          <t>ancestor::diggs:measurement//diggs:procedure/diggs:ParticleSizeTest</t>
        </is>
      </c>
    </row>
    <row r="299" ht="17" customHeight="1">
      <c r="A299">
        <f>IF(ISNA(VLOOKUP([1]AssociatedElements!B297,Definitions!B$2:B$1604,1,FALSE)),"Not listed","")</f>
        <v/>
      </c>
      <c r="B299" s="38" t="inlineStr">
        <is>
          <t>d90</t>
        </is>
      </c>
      <c r="C299" s="4" t="inlineStr">
        <is>
          <t>//diggs:propertyClass</t>
        </is>
      </c>
      <c r="D299" s="21" t="inlineStr">
        <is>
          <t>ancestor::diggs:measurement//diggs:procedure/diggs:MaterialGradationTest</t>
        </is>
      </c>
    </row>
    <row r="300" ht="17" customHeight="1">
      <c r="A300">
        <f>IF(ISNA(VLOOKUP([1]AssociatedElements!B298,Definitions!B$2:B$1604,1,FALSE)),"Not listed","")</f>
        <v/>
      </c>
      <c r="B300" s="38" t="inlineStr">
        <is>
          <t>d90</t>
        </is>
      </c>
      <c r="C300" s="4" t="inlineStr">
        <is>
          <t>//diggs:propertyClass</t>
        </is>
      </c>
      <c r="D300" s="21" t="inlineStr">
        <is>
          <t>ancestor::diggs:measurement//diggs:procedure/diggs:ParticleSizeTest</t>
        </is>
      </c>
    </row>
    <row r="301" ht="17" customHeight="1">
      <c r="A301">
        <f>IF(ISNA(VLOOKUP([1]AssociatedElements!B299,Definitions!B$2:B$1604,1,FALSE)),"Not listed","")</f>
        <v/>
      </c>
      <c r="B301" s="38" t="inlineStr">
        <is>
          <t>percent_coarse_gravel</t>
        </is>
      </c>
      <c r="C301" s="4" t="inlineStr">
        <is>
          <t>//diggs:propertyClass</t>
        </is>
      </c>
      <c r="D301" s="21" t="inlineStr">
        <is>
          <t>ancestor::diggs:measurement//diggs:procedure/diggs:MaterialGradationTest</t>
        </is>
      </c>
    </row>
    <row r="302" ht="17" customHeight="1">
      <c r="A302">
        <f>IF(ISNA(VLOOKUP([1]AssociatedElements!B300,Definitions!B$2:B$1604,1,FALSE)),"Not listed","")</f>
        <v/>
      </c>
      <c r="B302" s="38" t="inlineStr">
        <is>
          <t>percent_coarse_gravel</t>
        </is>
      </c>
      <c r="C302" s="4" t="inlineStr">
        <is>
          <t>//diggs:propertyClass</t>
        </is>
      </c>
      <c r="D302" s="21" t="inlineStr">
        <is>
          <t>ancestor::diggs:measurement//diggs:procedure/diggs:ParticleSizeTest</t>
        </is>
      </c>
    </row>
    <row r="303" ht="17" customHeight="1">
      <c r="A303">
        <f>IF(ISNA(VLOOKUP([1]AssociatedElements!B301,Definitions!B$2:B$1604,1,FALSE)),"Not listed","")</f>
        <v/>
      </c>
      <c r="B303" s="38" t="inlineStr">
        <is>
          <t>percent_fine_gravel</t>
        </is>
      </c>
      <c r="C303" s="4" t="inlineStr">
        <is>
          <t>//diggs:propertyClass</t>
        </is>
      </c>
      <c r="D303" s="21" t="inlineStr">
        <is>
          <t>ancestor::diggs:measurement//diggs:procedure/diggs:MaterialGradationTest</t>
        </is>
      </c>
    </row>
    <row r="304" ht="17" customHeight="1">
      <c r="A304">
        <f>IF(ISNA(VLOOKUP([1]AssociatedElements!B302,Definitions!B$2:B$1604,1,FALSE)),"Not listed","")</f>
        <v/>
      </c>
      <c r="B304" s="38" t="inlineStr">
        <is>
          <t>percent_fine_gravel</t>
        </is>
      </c>
      <c r="C304" s="4" t="inlineStr">
        <is>
          <t>//diggs:propertyClass</t>
        </is>
      </c>
      <c r="D304" s="21" t="inlineStr">
        <is>
          <t>ancestor::diggs:measurement//diggs:procedure/diggs:ParticleSizeTest</t>
        </is>
      </c>
    </row>
    <row r="305" ht="17" customHeight="1">
      <c r="A305">
        <f>IF(ISNA(VLOOKUP([1]AssociatedElements!B303,Definitions!B$2:B$1604,1,FALSE)),"Not listed","")</f>
        <v/>
      </c>
      <c r="B305" s="38" t="inlineStr">
        <is>
          <t>percent_coarse_sand</t>
        </is>
      </c>
      <c r="C305" s="4" t="inlineStr">
        <is>
          <t>//diggs:propertyClass</t>
        </is>
      </c>
      <c r="D305" s="21" t="inlineStr">
        <is>
          <t>ancestor::diggs:measurement//diggs:procedure/diggs:MaterialGradationTest</t>
        </is>
      </c>
    </row>
    <row r="306" ht="17" customHeight="1">
      <c r="A306">
        <f>IF(ISNA(VLOOKUP([1]AssociatedElements!B304,Definitions!B$2:B$1604,1,FALSE)),"Not listed","")</f>
        <v/>
      </c>
      <c r="B306" s="38" t="inlineStr">
        <is>
          <t>percent_coarse_sand</t>
        </is>
      </c>
      <c r="C306" s="4" t="inlineStr">
        <is>
          <t>//diggs:propertyClass</t>
        </is>
      </c>
      <c r="D306" s="21" t="inlineStr">
        <is>
          <t>ancestor::diggs:measurement//diggs:procedure/diggs:ParticleSizeTest</t>
        </is>
      </c>
    </row>
    <row r="307" ht="17" customHeight="1">
      <c r="A307">
        <f>IF(ISNA(VLOOKUP([1]AssociatedElements!B305,Definitions!B$2:B$1604,1,FALSE)),"Not listed","")</f>
        <v/>
      </c>
      <c r="B307" s="38" t="inlineStr">
        <is>
          <t>percent_medium_sand</t>
        </is>
      </c>
      <c r="C307" s="4" t="inlineStr">
        <is>
          <t>//diggs:propertyClass</t>
        </is>
      </c>
      <c r="D307" s="21" t="inlineStr">
        <is>
          <t>ancestor::diggs:measurement//diggs:procedure/diggs:MaterialGradationTest</t>
        </is>
      </c>
    </row>
    <row r="308" ht="17" customHeight="1">
      <c r="A308">
        <f>IF(ISNA(VLOOKUP([1]AssociatedElements!B306,Definitions!B$2:B$1604,1,FALSE)),"Not listed","")</f>
        <v/>
      </c>
      <c r="B308" s="38" t="inlineStr">
        <is>
          <t>percent_medium_sand</t>
        </is>
      </c>
      <c r="C308" s="4" t="inlineStr">
        <is>
          <t>//diggs:propertyClass</t>
        </is>
      </c>
      <c r="D308" s="21" t="inlineStr">
        <is>
          <t>ancestor::diggs:measurement//diggs:procedure/diggs:ParticleSizeTest</t>
        </is>
      </c>
    </row>
    <row r="309" ht="17" customHeight="1">
      <c r="A309">
        <f>IF(ISNA(VLOOKUP([1]AssociatedElements!B307,Definitions!B$2:B$1604,1,FALSE)),"Not listed","")</f>
        <v/>
      </c>
      <c r="B309" s="38" t="inlineStr">
        <is>
          <t>percent_fine_sand</t>
        </is>
      </c>
      <c r="C309" s="4" t="inlineStr">
        <is>
          <t>//diggs:propertyClass</t>
        </is>
      </c>
      <c r="D309" s="21" t="inlineStr">
        <is>
          <t>ancestor::diggs:measurement//diggs:procedure/diggs:MaterialGradationTest</t>
        </is>
      </c>
    </row>
    <row r="310" ht="17" customHeight="1">
      <c r="A310">
        <f>IF(ISNA(VLOOKUP([1]AssociatedElements!B308,Definitions!B$2:B$1604,1,FALSE)),"Not listed","")</f>
        <v/>
      </c>
      <c r="B310" s="38" t="inlineStr">
        <is>
          <t>percent_fine_sand</t>
        </is>
      </c>
      <c r="C310" s="4" t="inlineStr">
        <is>
          <t>//diggs:propertyClass</t>
        </is>
      </c>
      <c r="D310" s="21" t="inlineStr">
        <is>
          <t>ancestor::diggs:measurement//diggs:procedure/diggs:ParticleSizeTest</t>
        </is>
      </c>
    </row>
    <row r="311" ht="17" customHeight="1">
      <c r="A311">
        <f>IF(ISNA(VLOOKUP([1]AssociatedElements!B309,Definitions!B$2:B$1604,1,FALSE)),"Not listed","")</f>
        <v/>
      </c>
      <c r="B311" s="38" t="inlineStr">
        <is>
          <t>aashto_percent_gravel</t>
        </is>
      </c>
      <c r="C311" s="4" t="inlineStr">
        <is>
          <t>//diggs:propertyClass</t>
        </is>
      </c>
      <c r="D311" s="21" t="inlineStr">
        <is>
          <t>ancestor::diggs:measurement//diggs:procedure/diggs:MaterialGradationTest</t>
        </is>
      </c>
    </row>
    <row r="312" ht="17" customHeight="1">
      <c r="A312">
        <f>IF(ISNA(VLOOKUP([1]AssociatedElements!B310,Definitions!B$2:B$1604,1,FALSE)),"Not listed","")</f>
        <v/>
      </c>
      <c r="B312" s="38" t="inlineStr">
        <is>
          <t>aashto_percent_gravel</t>
        </is>
      </c>
      <c r="C312" s="4" t="inlineStr">
        <is>
          <t>//diggs:propertyClass</t>
        </is>
      </c>
      <c r="D312" s="21" t="inlineStr">
        <is>
          <t>ancestor::diggs:measurement//diggs:procedure/diggs:ParticleSizeTest</t>
        </is>
      </c>
    </row>
    <row r="313" ht="17" customHeight="1">
      <c r="A313">
        <f>IF(ISNA(VLOOKUP([1]AssociatedElements!B311,Definitions!B$2:B$1604,1,FALSE)),"Not listed","")</f>
        <v/>
      </c>
      <c r="B313" s="38" t="inlineStr">
        <is>
          <t>aashto_percent_coarse_sand</t>
        </is>
      </c>
      <c r="C313" s="4" t="inlineStr">
        <is>
          <t>//diggs:propertyClass</t>
        </is>
      </c>
      <c r="D313" s="21" t="inlineStr">
        <is>
          <t>ancestor::diggs:measurement//diggs:procedure/diggs:MaterialGradationTest</t>
        </is>
      </c>
    </row>
    <row r="314" ht="17" customHeight="1">
      <c r="A314">
        <f>IF(ISNA(VLOOKUP([1]AssociatedElements!B312,Definitions!B$2:B$1604,1,FALSE)),"Not listed","")</f>
        <v/>
      </c>
      <c r="B314" s="38" t="inlineStr">
        <is>
          <t>aashto_percent_coarse_sand</t>
        </is>
      </c>
      <c r="C314" s="4" t="inlineStr">
        <is>
          <t>//diggs:propertyClass</t>
        </is>
      </c>
      <c r="D314" s="21" t="inlineStr">
        <is>
          <t>ancestor::diggs:measurement//diggs:procedure/diggs:ParticleSizeTest</t>
        </is>
      </c>
    </row>
    <row r="315" ht="17" customHeight="1">
      <c r="A315">
        <f>IF(ISNA(VLOOKUP([1]AssociatedElements!B313,Definitions!B$2:B$1604,1,FALSE)),"Not listed","")</f>
        <v/>
      </c>
      <c r="B315" s="38" t="inlineStr">
        <is>
          <t>aashto_percent_fine_sand</t>
        </is>
      </c>
      <c r="C315" s="4" t="inlineStr">
        <is>
          <t>//diggs:propertyClass</t>
        </is>
      </c>
      <c r="D315" s="21" t="inlineStr">
        <is>
          <t>ancestor::diggs:measurement//diggs:procedure/diggs:MaterialGradationTest</t>
        </is>
      </c>
    </row>
    <row r="316" ht="17" customHeight="1">
      <c r="A316">
        <f>IF(ISNA(VLOOKUP([1]AssociatedElements!B314,Definitions!B$2:B$1604,1,FALSE)),"Not listed","")</f>
        <v/>
      </c>
      <c r="B316" s="38" t="inlineStr">
        <is>
          <t>aashto_percent_fine_sand</t>
        </is>
      </c>
      <c r="C316" s="4" t="inlineStr">
        <is>
          <t>//diggs:propertyClass</t>
        </is>
      </c>
      <c r="D316" s="21" t="inlineStr">
        <is>
          <t>ancestor::diggs:measurement//diggs:procedure/diggs:ParticleSizeTest</t>
        </is>
      </c>
    </row>
    <row r="317" ht="17" customHeight="1">
      <c r="A317">
        <f>IF(ISNA(VLOOKUP([1]AssociatedElements!B315,Definitions!B$2:B$1604,1,FALSE)),"Not listed","")</f>
        <v/>
      </c>
      <c r="B317" s="14" t="inlineStr">
        <is>
          <t>settlement</t>
        </is>
      </c>
      <c r="C317" s="4" t="inlineStr">
        <is>
          <t>//diggs:propertyClass</t>
        </is>
      </c>
      <c r="D317" s="21" t="inlineStr">
        <is>
          <t>ancestor::diggs:TemporalResult</t>
        </is>
      </c>
    </row>
    <row r="318" ht="17" customHeight="1">
      <c r="A318">
        <f>IF(ISNA(VLOOKUP([1]AssociatedElements!B316,Definitions!B$2:B$1604,1,FALSE)),"Not listed","")</f>
        <v/>
      </c>
      <c r="B318" s="14" t="inlineStr">
        <is>
          <t>settlement</t>
        </is>
      </c>
      <c r="C318" s="4" t="inlineStr">
        <is>
          <t>//diggs:parameterName</t>
        </is>
      </c>
      <c r="D318" s="21" t="inlineStr">
        <is>
          <t>ancestor::diggs:PerformanceCriterion</t>
        </is>
      </c>
    </row>
    <row r="319" ht="17" customHeight="1">
      <c r="A319">
        <f>IF(ISNA(VLOOKUP([1]AssociatedElements!B317,Definitions!B$2:B$1604,1,FALSE)),"Not listed","")</f>
        <v/>
      </c>
      <c r="B319" s="14" t="inlineStr">
        <is>
          <t>differential_settlement</t>
        </is>
      </c>
      <c r="C319" s="4" t="inlineStr">
        <is>
          <t>//diggs:propertyClass</t>
        </is>
      </c>
      <c r="D319" s="21" t="inlineStr">
        <is>
          <t>ancestor::diggs:TemporalResult</t>
        </is>
      </c>
    </row>
    <row r="320" ht="17" customHeight="1">
      <c r="A320">
        <f>IF(ISNA(VLOOKUP([1]AssociatedElements!B318,Definitions!B$2:B$1604,1,FALSE)),"Not listed","")</f>
        <v/>
      </c>
      <c r="B320" s="14" t="inlineStr">
        <is>
          <t>differential_settlement</t>
        </is>
      </c>
      <c r="C320" s="4" t="inlineStr">
        <is>
          <t>//diggs:parameterName</t>
        </is>
      </c>
      <c r="D320" s="21" t="inlineStr">
        <is>
          <t>ancestor::diggs:PerformanceCriterion</t>
        </is>
      </c>
    </row>
    <row r="321" ht="17" customHeight="1">
      <c r="A321">
        <f>IF(ISNA(VLOOKUP([1]AssociatedElements!B319,Definitions!B$2:B$1604,1,FALSE)),"Not listed","")</f>
        <v/>
      </c>
      <c r="B321" s="14" t="inlineStr">
        <is>
          <t>settlement_reduction_ratio</t>
        </is>
      </c>
      <c r="C321" s="4" t="inlineStr">
        <is>
          <t>//diggs:propertyClass</t>
        </is>
      </c>
      <c r="D321" s="21" t="inlineStr">
        <is>
          <t>ancestor::diggs:TemporalResult</t>
        </is>
      </c>
    </row>
    <row r="322" ht="17" customHeight="1">
      <c r="A322">
        <f>IF(ISNA(VLOOKUP([1]AssociatedElements!B320,Definitions!B$2:B$1604,1,FALSE)),"Not listed","")</f>
        <v/>
      </c>
      <c r="B322" s="14" t="inlineStr">
        <is>
          <t>settlement_reduction_ratio</t>
        </is>
      </c>
      <c r="C322" s="4" t="inlineStr">
        <is>
          <t>//diggs:parameterName</t>
        </is>
      </c>
      <c r="D322" s="21" t="inlineStr">
        <is>
          <t>ancestor::diggs:PerformanceCriterion</t>
        </is>
      </c>
    </row>
    <row r="323" ht="17" customHeight="1">
      <c r="A323">
        <f>IF(ISNA(VLOOKUP([1]AssociatedElements!B321,Definitions!B$2:B$1604,1,FALSE)),"Not listed","")</f>
        <v/>
      </c>
      <c r="B323" s="14" t="inlineStr">
        <is>
          <t>pore_pressure</t>
        </is>
      </c>
      <c r="C323" s="4" t="inlineStr">
        <is>
          <t>//diggs:propertyClass</t>
        </is>
      </c>
      <c r="D323" s="21" t="inlineStr">
        <is>
          <t>ancestor::diggs:TemporalResult</t>
        </is>
      </c>
    </row>
    <row r="324" ht="17" customHeight="1">
      <c r="A324">
        <f>IF(ISNA(VLOOKUP([1]AssociatedElements!B322,Definitions!B$2:B$1604,1,FALSE)),"Not listed","")</f>
        <v/>
      </c>
      <c r="B324" s="14" t="inlineStr">
        <is>
          <t>reinforcement_load_fraction</t>
        </is>
      </c>
      <c r="C324" s="4" t="inlineStr">
        <is>
          <t>//diggs:parameterName</t>
        </is>
      </c>
      <c r="D324" s="21" t="inlineStr">
        <is>
          <t>ancestor::diggs:PerformanceCriterion</t>
        </is>
      </c>
    </row>
    <row r="325">
      <c r="A325">
        <f>IF(ISNA(VLOOKUP([1]AssociatedElements!B323,Definitions!B$2:B$1604,1,FALSE)),"Not listed","")</f>
        <v/>
      </c>
      <c r="B325" t="inlineStr">
        <is>
          <t>critical_creep_load</t>
        </is>
      </c>
      <c r="C325" t="inlineStr">
        <is>
          <t>//diggs:propertyClass</t>
        </is>
      </c>
      <c r="D325" t="inlineStr">
        <is>
          <t>ancestor::diggs:measurement//diggs:procedure/diggs:StaticLoadTest</t>
        </is>
      </c>
    </row>
    <row r="326">
      <c r="A326">
        <f>IF(ISNA(VLOOKUP([1]AssociatedElements!B324,Definitions!B$2:B$1604,1,FALSE)),"Not listed","")</f>
        <v/>
      </c>
      <c r="B326" t="inlineStr">
        <is>
          <t>modulus_of_subgrade_reaction</t>
        </is>
      </c>
      <c r="C326" t="inlineStr">
        <is>
          <t>//diggs:propertyClass</t>
        </is>
      </c>
      <c r="D326" t="inlineStr">
        <is>
          <t>ancestor::diggs:measurement//diggs:procedure/diggs:PlateLoadTest</t>
        </is>
      </c>
    </row>
    <row r="327">
      <c r="A327">
        <f>IF(ISNA(VLOOKUP([1]AssociatedElements!B325,Definitions!B$2:B$1604,1,FALSE)),"Not listed","")</f>
        <v/>
      </c>
      <c r="B327" t="inlineStr">
        <is>
          <t>modulus_of_subgrade_reaction</t>
        </is>
      </c>
      <c r="C327" t="inlineStr">
        <is>
          <t>//diggs:propertyClass</t>
        </is>
      </c>
      <c r="D327" t="inlineStr">
        <is>
          <t>ancestor::diggs:measurement//diggs:procedure/diggs:ZoneLoadTest</t>
        </is>
      </c>
    </row>
    <row r="328">
      <c r="A328">
        <f>IF(ISNA(VLOOKUP([1]AssociatedElements!B326,Definitions!B$2:B$1604,1,FALSE)),"Not listed","")</f>
        <v/>
      </c>
      <c r="B328" t="inlineStr">
        <is>
          <t>deformation_modulus_first_load</t>
        </is>
      </c>
      <c r="C328" t="inlineStr">
        <is>
          <t>//diggs:propertyClass</t>
        </is>
      </c>
      <c r="D328" t="inlineStr">
        <is>
          <t>ancestor::diggs:measurement//diggs:procedure/diggs:PlateLoadTest</t>
        </is>
      </c>
    </row>
    <row r="329">
      <c r="A329">
        <f>IF(ISNA(VLOOKUP([1]AssociatedElements!B327,Definitions!B$2:B$1604,1,FALSE)),"Not listed","")</f>
        <v/>
      </c>
      <c r="B329" t="inlineStr">
        <is>
          <t>deformation_modulus_first_load</t>
        </is>
      </c>
      <c r="C329" t="inlineStr">
        <is>
          <t>//diggs:propertyClass</t>
        </is>
      </c>
      <c r="D329" t="inlineStr">
        <is>
          <t>ancestor::diggs:measurement//diggs:procedure/diggs:ZoneLoadTest</t>
        </is>
      </c>
    </row>
    <row r="330">
      <c r="A330">
        <f>IF(ISNA(VLOOKUP([1]AssociatedElements!B328,Definitions!B$2:B$1604,1,FALSE)),"Not listed","")</f>
        <v/>
      </c>
      <c r="B330" t="inlineStr">
        <is>
          <t>deformation_modulus_second_load</t>
        </is>
      </c>
      <c r="C330" t="inlineStr">
        <is>
          <t>//diggs:propertyClass</t>
        </is>
      </c>
      <c r="D330" t="inlineStr">
        <is>
          <t>ancestor::diggs:measurement//diggs:procedure/diggs:PlateLoadTest</t>
        </is>
      </c>
    </row>
    <row r="331">
      <c r="A331">
        <f>IF(ISNA(VLOOKUP([1]AssociatedElements!B329,Definitions!B$2:B$1604,1,FALSE)),"Not listed","")</f>
        <v/>
      </c>
      <c r="B331" t="inlineStr">
        <is>
          <t>deformation_modulus_second_load</t>
        </is>
      </c>
      <c r="C331" t="inlineStr">
        <is>
          <t>//diggs:propertyClass</t>
        </is>
      </c>
      <c r="D331" t="inlineStr">
        <is>
          <t>ancestor::diggs:measurement//diggs:procedure/diggs:ZoneLoadTest</t>
        </is>
      </c>
    </row>
    <row r="332">
      <c r="A332">
        <f>IF(ISNA(VLOOKUP([1]AssociatedElements!B330,Definitions!B$2:B$1604,1,FALSE)),"Not listed","")</f>
        <v/>
      </c>
      <c r="B332" t="inlineStr">
        <is>
          <t>defect_depth</t>
        </is>
      </c>
      <c r="C332" t="inlineStr">
        <is>
          <t>//diggs:propertyClass</t>
        </is>
      </c>
      <c r="D332" t="inlineStr">
        <is>
          <t>ancestor::diggs:measurement//diggs:procedure/diggs:LowStrainIntegrityTest</t>
        </is>
      </c>
    </row>
    <row r="333">
      <c r="A333">
        <f>IF(ISNA(VLOOKUP([1]AssociatedElements!B331,Definitions!B$2:B$1604,1,FALSE)),"Not listed","")</f>
        <v/>
      </c>
      <c r="B333" t="inlineStr">
        <is>
          <t>effective_radius</t>
        </is>
      </c>
      <c r="C333" t="inlineStr">
        <is>
          <t>//diggs:propertyClass</t>
        </is>
      </c>
      <c r="D333" t="inlineStr">
        <is>
          <t>ancestor::diggs:measurement//diggs:procedure/diggs:ThermalIntegrityProfiling</t>
        </is>
      </c>
    </row>
    <row r="334">
      <c r="A334">
        <f>IF(ISNA(VLOOKUP([1]AssociatedElements!B332,Definitions!B$2:B$1604,1,FALSE)),"Not listed","")</f>
        <v/>
      </c>
      <c r="B334" t="inlineStr">
        <is>
          <t>temperature</t>
        </is>
      </c>
      <c r="C334" t="inlineStr">
        <is>
          <t>//diggs:propertyClass</t>
        </is>
      </c>
      <c r="D334" t="inlineStr">
        <is>
          <t>ancestor::diggs:measurement//diggs:procedure/diggs:ThermalIntegrityProfiling</t>
        </is>
      </c>
    </row>
    <row r="335">
      <c r="A335">
        <f>IF(ISNA(VLOOKUP([1]AssociatedElements!B333,Definitions!B$2:B$1604,1,FALSE)),"Not listed","")</f>
        <v/>
      </c>
      <c r="B335" t="inlineStr">
        <is>
          <t>lateral_deflection</t>
        </is>
      </c>
      <c r="C335" t="inlineStr">
        <is>
          <t>//diggs:propertyClass</t>
        </is>
      </c>
      <c r="D335" t="inlineStr">
        <is>
          <t>ancestor::diggs:measurement//diggs:procedure/diggs:LateralLoadTest</t>
        </is>
      </c>
    </row>
    <row r="336">
      <c r="A336">
        <f>IF(ISNA(VLOOKUP([1]AssociatedElements!B334,Definitions!B$2:B$1604,1,FALSE)),"Not listed","")</f>
        <v/>
      </c>
      <c r="B336" t="inlineStr">
        <is>
          <t>magnesium_content</t>
        </is>
      </c>
      <c r="C336" t="inlineStr">
        <is>
          <t>//diggs:propertyClass</t>
        </is>
      </c>
      <c r="D336" t="inlineStr">
        <is>
          <t>ancestor::diggs:measurement//diggs:procedure/diggs:LabChemicalTest</t>
        </is>
      </c>
    </row>
    <row r="337">
      <c r="A337">
        <f>IF(ISNA(VLOOKUP(B337,Definitions!B$2:B$1604,1,FALSE)),"Not listed","")</f>
        <v/>
      </c>
      <c r="B337" t="inlineStr">
        <is>
          <t>cbr</t>
        </is>
      </c>
      <c r="C337" t="inlineStr">
        <is>
          <t>//diggs:propertyClass</t>
        </is>
      </c>
      <c r="D337" t="inlineStr">
        <is>
          <t>ancestor::diggs:measurement//diggs:procedure/diggs:InsituCBRTest</t>
        </is>
      </c>
    </row>
    <row r="338">
      <c r="A338">
        <f>IF(ISNA(VLOOKUP(B338,Definitions!B$2:B$1604,1,FALSE)),"Not listed","")</f>
        <v/>
      </c>
      <c r="B338" t="inlineStr">
        <is>
          <t>cbr</t>
        </is>
      </c>
      <c r="C338" t="inlineStr">
        <is>
          <t>//diggs:propertyClass</t>
        </is>
      </c>
      <c r="D338" t="inlineStr">
        <is>
          <t>ancestor::diggs:measurement//diggs:procedure/diggs:LabCBRTest</t>
        </is>
      </c>
    </row>
    <row r="339">
      <c r="A339">
        <f>IF(ISNA(VLOOKUP(B339,Definitions!B$2:B$1604,1,FALSE)),"Not listed","")</f>
        <v/>
      </c>
      <c r="B339" t="inlineStr">
        <is>
          <t>cbr_at_95_pct_mdd</t>
        </is>
      </c>
      <c r="C339" t="inlineStr">
        <is>
          <t>//diggs:propertyClass</t>
        </is>
      </c>
      <c r="D339" t="inlineStr">
        <is>
          <t>ancestor::diggs:measurement//diggs:procedure/diggs:InsituCBRTest</t>
        </is>
      </c>
    </row>
    <row r="340">
      <c r="A340">
        <f>IF(ISNA(VLOOKUP(B340,Definitions!B$2:B$1604,1,FALSE)),"Not listed","")</f>
        <v/>
      </c>
      <c r="B340" t="inlineStr">
        <is>
          <t>cbr_at_95_pct_mdd</t>
        </is>
      </c>
      <c r="C340" t="inlineStr">
        <is>
          <t>//diggs:propertyClass</t>
        </is>
      </c>
      <c r="D340" t="inlineStr">
        <is>
          <t>ancestor::diggs:measurement//diggs:procedure/diggs:LabCBRTest</t>
        </is>
      </c>
    </row>
    <row r="341">
      <c r="A341">
        <f>IF(ISNA(VLOOKUP(B341,Definitions!B$2:B$1604,1,FALSE)),"Not listed","")</f>
        <v/>
      </c>
      <c r="B341" t="inlineStr">
        <is>
          <t>cbr_at_90_pct_mdd</t>
        </is>
      </c>
      <c r="C341" t="inlineStr">
        <is>
          <t>//diggs:propertyClass</t>
        </is>
      </c>
      <c r="D341" t="inlineStr">
        <is>
          <t>ancestor::diggs:measurement//diggs:procedure/diggs:InsituCBRTest</t>
        </is>
      </c>
    </row>
    <row r="342">
      <c r="A342">
        <f>IF(ISNA(VLOOKUP(B342,Definitions!B$2:B$1604,1,FALSE)),"Not listed","")</f>
        <v/>
      </c>
      <c r="B342" t="inlineStr">
        <is>
          <t>cbr_at_90_pct_mdd</t>
        </is>
      </c>
      <c r="C342" t="inlineStr">
        <is>
          <t>//diggs:propertyClass</t>
        </is>
      </c>
      <c r="D342" t="inlineStr">
        <is>
          <t>ancestor::diggs:measurement//diggs:procedure/diggs:LabCBRTest</t>
        </is>
      </c>
    </row>
    <row r="343">
      <c r="A343">
        <f>IF(ISNA(VLOOKUP(B343,Definitions!B$2:B$1604,1,FALSE)),"Not listed","")</f>
        <v/>
      </c>
      <c r="B343" t="inlineStr">
        <is>
          <t>cbr_at_98_100_pct_mdd</t>
        </is>
      </c>
      <c r="C343" t="inlineStr">
        <is>
          <t>//diggs:propertyClass</t>
        </is>
      </c>
      <c r="D343" t="inlineStr">
        <is>
          <t>ancestor::diggs:measurement//diggs:procedure/diggs:InsituCBRTest</t>
        </is>
      </c>
    </row>
    <row r="344">
      <c r="A344">
        <f>IF(ISNA(VLOOKUP(B344,Definitions!B$2:B$1604,1,FALSE)),"Not listed","")</f>
        <v/>
      </c>
      <c r="B344" t="inlineStr">
        <is>
          <t>cbr_at_98_100_pct_mdd</t>
        </is>
      </c>
      <c r="C344" t="inlineStr">
        <is>
          <t>//diggs:propertyClass</t>
        </is>
      </c>
      <c r="D344" t="inlineStr">
        <is>
          <t>ancestor::diggs:measurement//diggs:procedure/diggs:LabCBRTest</t>
        </is>
      </c>
    </row>
    <row r="345">
      <c r="A345">
        <f>IF(ISNA(VLOOKUP(B345,Definitions!B$2:B$1604,1,FALSE)),"Not listed","")</f>
        <v/>
      </c>
      <c r="B345" t="inlineStr">
        <is>
          <t>cbr_as_compacted</t>
        </is>
      </c>
      <c r="C345" t="inlineStr">
        <is>
          <t>//diggs:propertyClass</t>
        </is>
      </c>
      <c r="D345" t="inlineStr">
        <is>
          <t>ancestor::diggs:measurement//diggs:procedure/diggs:InsituCBRTest</t>
        </is>
      </c>
    </row>
    <row r="346">
      <c r="A346">
        <f>IF(ISNA(VLOOKUP(B346,Definitions!B$2:B$1604,1,FALSE)),"Not listed","")</f>
        <v/>
      </c>
      <c r="B346" t="inlineStr">
        <is>
          <t>cbr_as_compacted</t>
        </is>
      </c>
      <c r="C346" t="inlineStr">
        <is>
          <t>//diggs:propertyClass</t>
        </is>
      </c>
      <c r="D346" t="inlineStr">
        <is>
          <t>ancestor::diggs:measurement//diggs:procedure/diggs:LabCBRTest</t>
        </is>
      </c>
    </row>
    <row r="347">
      <c r="A347">
        <f>IF(ISNA(VLOOKUP(B347,Definitions!B$2:B$1604,1,FALSE)),"Not listed","")</f>
        <v/>
      </c>
      <c r="B347" t="inlineStr">
        <is>
          <t>apparent_resistivity_min</t>
        </is>
      </c>
      <c r="C347" t="inlineStr">
        <is>
          <t>//diggs:propertyClass</t>
        </is>
      </c>
      <c r="D347" t="inlineStr">
        <is>
          <t>ancestor::diggs:measurement//diggs:procedure/diggs:InsituResistivityTest</t>
        </is>
      </c>
    </row>
    <row r="348">
      <c r="A348">
        <f>IF(ISNA(VLOOKUP(B348,Definitions!B$2:B$1604,1,FALSE)),"Not listed","")</f>
        <v/>
      </c>
      <c r="B348" t="inlineStr">
        <is>
          <t>apparent_resistivity_max</t>
        </is>
      </c>
      <c r="C348" t="inlineStr">
        <is>
          <t>//diggs:propertyClass</t>
        </is>
      </c>
      <c r="D348" t="inlineStr">
        <is>
          <t>ancestor::diggs:measurement//diggs:procedure/diggs:InsituResistivityTest</t>
        </is>
      </c>
    </row>
    <row r="349">
      <c r="A349">
        <f>IF(ISNA(VLOOKUP(B349,Definitions!B$2:B$1604,1,FALSE)),"Not listed","")</f>
        <v/>
      </c>
      <c r="B349" t="inlineStr">
        <is>
          <t>corrosivity_classification_palmer</t>
        </is>
      </c>
      <c r="C349" t="inlineStr">
        <is>
          <t>//diggs:propertyClass</t>
        </is>
      </c>
      <c r="D349" t="inlineStr">
        <is>
          <t>ancestor::diggs:measurement//diggs:procedure/diggs:InsituResistivityTest</t>
        </is>
      </c>
    </row>
    <row r="350">
      <c r="B350" t="inlineStr">
        <is>
          <t>thermal_conductivity</t>
        </is>
      </c>
      <c r="C350" t="inlineStr">
        <is>
          <t>//diggs:propertyClass</t>
        </is>
      </c>
      <c r="D350" t="inlineStr">
        <is>
          <t>ancestor::diggs:measurement//diggs:procedure/diggs:LabThermalConductivityTest</t>
        </is>
      </c>
    </row>
    <row r="351">
      <c r="B351" t="inlineStr">
        <is>
          <t>thermal_resistivity</t>
        </is>
      </c>
      <c r="C351" t="inlineStr">
        <is>
          <t>//diggs:propertyClass</t>
        </is>
      </c>
      <c r="D351" t="inlineStr">
        <is>
          <t>ancestor::diggs:measurement//diggs:procedure/diggs:LabThermalConductivityTest</t>
        </is>
      </c>
    </row>
    <row r="352">
      <c r="B352" t="inlineStr">
        <is>
          <t>sulfate_water_soluble</t>
        </is>
      </c>
      <c r="C352" t="inlineStr">
        <is>
          <t>//diggs:propertyClass</t>
        </is>
      </c>
      <c r="D352" t="inlineStr">
        <is>
          <t>ancestor::diggs:measurement//diggs:procedure/diggs:LabChemicalTest</t>
        </is>
      </c>
    </row>
    <row r="353">
      <c r="B353" t="inlineStr">
        <is>
          <t>sulfate_acid_soluble</t>
        </is>
      </c>
      <c r="C353" t="inlineStr">
        <is>
          <t>//diggs:propertyClass</t>
        </is>
      </c>
      <c r="D353" t="inlineStr">
        <is>
          <t>ancestor::diggs:measurement//diggs:procedure/diggs:LabChemicalTest</t>
        </is>
      </c>
    </row>
    <row r="354">
      <c r="B354" t="inlineStr">
        <is>
          <t>chloride_water_soluble</t>
        </is>
      </c>
      <c r="C354" t="inlineStr">
        <is>
          <t>//diggs:propertyClass</t>
        </is>
      </c>
      <c r="D354" t="inlineStr">
        <is>
          <t>ancestor::diggs:measurement//diggs:procedure/diggs:LabChemicalTest</t>
        </is>
      </c>
    </row>
    <row r="355">
      <c r="B355" t="inlineStr">
        <is>
          <t>chloride_acid_soluble</t>
        </is>
      </c>
      <c r="C355" t="inlineStr">
        <is>
          <t>//diggs:propertyClass</t>
        </is>
      </c>
      <c r="D355" t="inlineStr">
        <is>
          <t>ancestor::diggs:measurement//diggs:procedure/diggs:LabChemicalTest</t>
        </is>
      </c>
    </row>
    <row r="356">
      <c r="B356" t="inlineStr">
        <is>
          <t>magnesium_water_soluble</t>
        </is>
      </c>
      <c r="C356" t="inlineStr">
        <is>
          <t>//diggs:propertyClass</t>
        </is>
      </c>
      <c r="D356" t="inlineStr">
        <is>
          <t>ancestor::diggs:measurement//diggs:procedure/diggs:LabChemicalTest</t>
        </is>
      </c>
    </row>
    <row r="357">
      <c r="B357" t="inlineStr">
        <is>
          <t>total_organic_carbon</t>
        </is>
      </c>
      <c r="C357" t="inlineStr">
        <is>
          <t>//diggs:propertyClass</t>
        </is>
      </c>
      <c r="D357" t="inlineStr">
        <is>
          <t>ancestor::diggs:measurement//diggs:procedure/diggs:LabChemicalTest</t>
        </is>
      </c>
    </row>
    <row r="358">
      <c r="B358" t="inlineStr">
        <is>
          <t>carbonate_content</t>
        </is>
      </c>
      <c r="C358" t="inlineStr">
        <is>
          <t>//diggs:propertyClass</t>
        </is>
      </c>
      <c r="D358" t="inlineStr">
        <is>
          <t>ancestor::diggs:measurement//diggs:procedure/diggs:LabChemicalTest</t>
        </is>
      </c>
    </row>
    <row r="359">
      <c r="B359" t="inlineStr">
        <is>
          <t>total_sulfur</t>
        </is>
      </c>
      <c r="C359" t="inlineStr">
        <is>
          <t>//diggs:propertyClass</t>
        </is>
      </c>
      <c r="D359" t="inlineStr">
        <is>
          <t>ancestor::diggs:measurement//diggs:procedure/diggs:LabChemicalTest</t>
        </is>
      </c>
    </row>
    <row r="360">
      <c r="B360" t="inlineStr">
        <is>
          <t>total_sulfide</t>
        </is>
      </c>
      <c r="C360" t="inlineStr">
        <is>
          <t>//diggs:propertyClass</t>
        </is>
      </c>
      <c r="D360" t="inlineStr">
        <is>
          <t>ancestor::diggs:measurement//diggs:procedure/diggs:LabChemicalTest</t>
        </is>
      </c>
    </row>
    <row r="361">
      <c r="B361" t="inlineStr">
        <is>
          <t>sulfide_acid_soluble</t>
        </is>
      </c>
      <c r="C361" t="inlineStr">
        <is>
          <t>//diggs:propertyClass</t>
        </is>
      </c>
      <c r="D361" t="inlineStr">
        <is>
          <t>ancestor::diggs:measurement//diggs:procedure/diggs:LabChemicalTest</t>
        </is>
      </c>
    </row>
    <row r="362">
      <c r="B362" t="inlineStr">
        <is>
          <t>total_dissolved_solids</t>
        </is>
      </c>
      <c r="C362" t="inlineStr">
        <is>
          <t>//diggs:propertyClass</t>
        </is>
      </c>
      <c r="D362" t="inlineStr">
        <is>
          <t>ancestor::diggs:measurement//diggs:procedure/diggs:LabChemicalTest</t>
        </is>
      </c>
    </row>
    <row r="363">
      <c r="B363" t="inlineStr">
        <is>
          <t>LOI</t>
        </is>
      </c>
      <c r="C363" t="inlineStr">
        <is>
          <t>//diggs:propertyClass</t>
        </is>
      </c>
      <c r="D363" t="inlineStr">
        <is>
          <t>ancestor::diggs:measurement//diggs:procedure/diggs:LabChemicalTest</t>
        </is>
      </c>
    </row>
    <row r="364">
      <c r="B364" t="inlineStr">
        <is>
          <t>resistivity</t>
        </is>
      </c>
      <c r="C364" t="inlineStr">
        <is>
          <t>//diggs:propertyClass</t>
        </is>
      </c>
      <c r="D364" t="inlineStr">
        <is>
          <t>ancestor::diggs:measurement//diggs:procedure/diggs:LabChemicalTest</t>
        </is>
      </c>
    </row>
    <row r="365">
      <c r="B365" t="inlineStr">
        <is>
          <t>redox_potential</t>
        </is>
      </c>
      <c r="C365" t="inlineStr">
        <is>
          <t>//diggs:propertyClass</t>
        </is>
      </c>
      <c r="D365" t="inlineStr">
        <is>
          <t>ancestor::diggs:measurement//diggs:procedure/diggs:LabChemicalTest</t>
        </is>
      </c>
    </row>
    <row r="366">
      <c r="B366" t="inlineStr">
        <is>
          <t>total_organic_matter</t>
        </is>
      </c>
      <c r="C366" t="inlineStr">
        <is>
          <t>//diggs:propertyClass</t>
        </is>
      </c>
      <c r="D366" t="inlineStr">
        <is>
          <t>ancestor::diggs:measurement//diggs:procedure/diggs:LabChemicalTest</t>
        </is>
      </c>
    </row>
    <row r="367">
      <c r="B367" t="inlineStr">
        <is>
          <t>bulk_density</t>
        </is>
      </c>
      <c r="C367" t="inlineStr">
        <is>
          <t>//diggs:parameterName</t>
        </is>
      </c>
      <c r="D367" t="inlineStr">
        <is>
          <t>ancestor::diggs:characteristicProperty</t>
        </is>
      </c>
    </row>
    <row r="368">
      <c r="B368" t="inlineStr">
        <is>
          <t>cohesion_peak</t>
        </is>
      </c>
      <c r="C368" t="inlineStr">
        <is>
          <t>//diggs:parameterName</t>
        </is>
      </c>
      <c r="D368" t="inlineStr">
        <is>
          <t>ancestor::diggs:characteristicProperty</t>
        </is>
      </c>
    </row>
    <row r="369">
      <c r="B369" t="inlineStr">
        <is>
          <t>friction_angle_peak</t>
        </is>
      </c>
      <c r="C369" t="inlineStr">
        <is>
          <t>//diggs:parameterName</t>
        </is>
      </c>
      <c r="D369" t="inlineStr">
        <is>
          <t>ancestor::diggs:characteristicProperty</t>
        </is>
      </c>
    </row>
    <row r="370">
      <c r="B370" t="inlineStr">
        <is>
          <t>modulus_youngs</t>
        </is>
      </c>
      <c r="C370" t="inlineStr">
        <is>
          <t>//diggs:parameterName</t>
        </is>
      </c>
      <c r="D370" t="inlineStr">
        <is>
          <t>ancestor::diggs:characteristicProperty</t>
        </is>
      </c>
    </row>
    <row r="371">
      <c r="B371" t="inlineStr">
        <is>
          <t>poisson_ratio</t>
        </is>
      </c>
      <c r="C371" t="inlineStr">
        <is>
          <t>//diggs:parameterName</t>
        </is>
      </c>
      <c r="D371" t="inlineStr">
        <is>
          <t>ancestor::diggs:characteristicProperty</t>
        </is>
      </c>
    </row>
    <row r="372">
      <c r="B372" t="inlineStr">
        <is>
          <t>bulk_unit_weight</t>
        </is>
      </c>
      <c r="C372" t="inlineStr">
        <is>
          <t>//diggs:propertyClass</t>
        </is>
      </c>
      <c r="D372" t="inlineStr">
        <is>
          <t>ancestor::diggs:measurement//diggs:procedure/diggs:InsituCBRTest</t>
        </is>
      </c>
    </row>
    <row r="373">
      <c r="B373" t="inlineStr">
        <is>
          <t>bulk_unit_weight</t>
        </is>
      </c>
      <c r="C373" t="inlineStr">
        <is>
          <t>//diggs:propertyClass</t>
        </is>
      </c>
      <c r="D373" t="inlineStr">
        <is>
          <t>ancestor::diggs:measurement//diggs:procedure/diggs:InsituDensityTest</t>
        </is>
      </c>
    </row>
    <row r="374">
      <c r="B374" t="inlineStr">
        <is>
          <t>bulk_unit_weight</t>
        </is>
      </c>
      <c r="C374" t="inlineStr">
        <is>
          <t>//diggs:propertyClass</t>
        </is>
      </c>
      <c r="D374" t="inlineStr">
        <is>
          <t>ancestor::diggs:measurement//diggs:procedure/diggs:LabCBRTest</t>
        </is>
      </c>
    </row>
    <row r="375">
      <c r="B375" t="inlineStr">
        <is>
          <t>bulk_unit_weight</t>
        </is>
      </c>
      <c r="C375" t="inlineStr">
        <is>
          <t>//diggs:propertyClass</t>
        </is>
      </c>
      <c r="D375" t="inlineStr">
        <is>
          <t>ancestor::diggs:measurement//diggs:procedure/diggs:LabDensityTest</t>
        </is>
      </c>
    </row>
    <row r="376">
      <c r="B376" t="inlineStr">
        <is>
          <t>bulk_unit_weight</t>
        </is>
      </c>
      <c r="C376" t="inlineStr">
        <is>
          <t>//diggs:parameterName</t>
        </is>
      </c>
      <c r="D376" t="inlineStr">
        <is>
          <t>ancestor::diggs:characteristicProperty</t>
        </is>
      </c>
    </row>
    <row r="377">
      <c r="B377" t="inlineStr">
        <is>
          <t>dry_unit_weight</t>
        </is>
      </c>
      <c r="C377" t="inlineStr">
        <is>
          <t>//diggs:propertyClass</t>
        </is>
      </c>
      <c r="D377" t="inlineStr">
        <is>
          <t>ancestor::diggs:measurement//diggs:procedure/diggs:LabDensityTest</t>
        </is>
      </c>
    </row>
    <row r="378">
      <c r="B378" t="inlineStr">
        <is>
          <t>unit_weight_max</t>
        </is>
      </c>
      <c r="C378" t="inlineStr">
        <is>
          <t>//diggs:propertyClass</t>
        </is>
      </c>
      <c r="D378" t="inlineStr">
        <is>
          <t>ancestor::diggs:measurement//diggs:procedure/diggs:LabCompactionTest</t>
        </is>
      </c>
    </row>
    <row r="379">
      <c r="B379" t="inlineStr">
        <is>
          <t>a_pressure</t>
        </is>
      </c>
      <c r="C379" t="inlineStr">
        <is>
          <t>//diggs:parameterName</t>
        </is>
      </c>
      <c r="D379" t="inlineStr">
        <is>
          <t>ancestor::diggs:characteristicProperty</t>
        </is>
      </c>
    </row>
    <row r="380">
      <c r="B380" t="inlineStr">
        <is>
          <t>aashto_group_index</t>
        </is>
      </c>
      <c r="C380" t="inlineStr">
        <is>
          <t>//diggs:parameterName</t>
        </is>
      </c>
      <c r="D380" t="inlineStr">
        <is>
          <t>ancestor::diggs:characteristicProperty</t>
        </is>
      </c>
    </row>
    <row r="381">
      <c r="B381" t="inlineStr">
        <is>
          <t>aashto_symbol</t>
        </is>
      </c>
      <c r="C381" t="inlineStr">
        <is>
          <t>//diggs:parameterName</t>
        </is>
      </c>
      <c r="D381" t="inlineStr">
        <is>
          <t>ancestor::diggs:characteristicProperty</t>
        </is>
      </c>
    </row>
    <row r="382">
      <c r="B382" t="inlineStr">
        <is>
          <t>aggregate_abrasion_value</t>
        </is>
      </c>
      <c r="C382" t="inlineStr">
        <is>
          <t>//diggs:parameterName</t>
        </is>
      </c>
      <c r="D382" t="inlineStr">
        <is>
          <t>ancestor::diggs:characteristicProperty</t>
        </is>
      </c>
    </row>
    <row r="383">
      <c r="B383" t="inlineStr">
        <is>
          <t>aggregate_crushing_value</t>
        </is>
      </c>
      <c r="C383" t="inlineStr">
        <is>
          <t>//diggs:parameterName</t>
        </is>
      </c>
      <c r="D383" t="inlineStr">
        <is>
          <t>ancestor::diggs:characteristicProperty</t>
        </is>
      </c>
    </row>
    <row r="384">
      <c r="B384" t="inlineStr">
        <is>
          <t>aggregate_elongation_index</t>
        </is>
      </c>
      <c r="C384" t="inlineStr">
        <is>
          <t>//diggs:parameterName</t>
        </is>
      </c>
      <c r="D384" t="inlineStr">
        <is>
          <t>ancestor::diggs:characteristicProperty</t>
        </is>
      </c>
    </row>
    <row r="385">
      <c r="B385" t="inlineStr">
        <is>
          <t>aggregate_flakiness_index</t>
        </is>
      </c>
      <c r="C385" t="inlineStr">
        <is>
          <t>//diggs:parameterName</t>
        </is>
      </c>
      <c r="D385" t="inlineStr">
        <is>
          <t>ancestor::diggs:characteristicProperty</t>
        </is>
      </c>
    </row>
    <row r="386">
      <c r="B386" t="inlineStr">
        <is>
          <t>aggregate_impact_value</t>
        </is>
      </c>
      <c r="C386" t="inlineStr">
        <is>
          <t>//diggs:parameterName</t>
        </is>
      </c>
      <c r="D386" t="inlineStr">
        <is>
          <t>ancestor::diggs:characteristicProperty</t>
        </is>
      </c>
    </row>
    <row r="387">
      <c r="B387" t="inlineStr">
        <is>
          <t>aggregate_LA_abrasion_loss</t>
        </is>
      </c>
      <c r="C387" t="inlineStr">
        <is>
          <t>//diggs:parameterName</t>
        </is>
      </c>
      <c r="D387" t="inlineStr">
        <is>
          <t>ancestor::diggs:characteristicProperty</t>
        </is>
      </c>
    </row>
    <row r="388">
      <c r="B388" t="inlineStr">
        <is>
          <t>aggregate_la_coefficient</t>
        </is>
      </c>
      <c r="C388" t="inlineStr">
        <is>
          <t>//diggs:parameterName</t>
        </is>
      </c>
      <c r="D388" t="inlineStr">
        <is>
          <t>ancestor::diggs:characteristicProperty</t>
        </is>
      </c>
    </row>
    <row r="389">
      <c r="B389" t="inlineStr">
        <is>
          <t>aggregate_la_wear_ratio</t>
        </is>
      </c>
      <c r="C389" t="inlineStr">
        <is>
          <t>//diggs:parameterName</t>
        </is>
      </c>
      <c r="D389" t="inlineStr">
        <is>
          <t>ancestor::diggs:characteristicProperty</t>
        </is>
      </c>
    </row>
    <row r="390">
      <c r="B390" t="inlineStr">
        <is>
          <t>aggregate_polished_stone_value</t>
        </is>
      </c>
      <c r="C390" t="inlineStr">
        <is>
          <t>//diggs:parameterName</t>
        </is>
      </c>
      <c r="D390" t="inlineStr">
        <is>
          <t>ancestor::diggs:characteristicProperty</t>
        </is>
      </c>
    </row>
    <row r="391">
      <c r="B391" t="inlineStr">
        <is>
          <t>aggregate_soundness_value</t>
        </is>
      </c>
      <c r="C391" t="inlineStr">
        <is>
          <t>//diggs:parameterName</t>
        </is>
      </c>
      <c r="D391" t="inlineStr">
        <is>
          <t>ancestor::diggs:characteristicProperty</t>
        </is>
      </c>
    </row>
    <row r="392">
      <c r="B392" t="inlineStr">
        <is>
          <t>aggregate_water_absorption</t>
        </is>
      </c>
      <c r="C392" t="inlineStr">
        <is>
          <t>//diggs:parameterName</t>
        </is>
      </c>
      <c r="D392" t="inlineStr">
        <is>
          <t>ancestor::diggs:characteristicProperty</t>
        </is>
      </c>
    </row>
    <row r="393">
      <c r="B393" t="inlineStr">
        <is>
          <t>b_pressure</t>
        </is>
      </c>
      <c r="C393" t="inlineStr">
        <is>
          <t>//diggs:parameterName</t>
        </is>
      </c>
      <c r="D393" t="inlineStr">
        <is>
          <t>ancestor::diggs:characteristicProperty</t>
        </is>
      </c>
    </row>
    <row r="394">
      <c r="B394" t="inlineStr">
        <is>
          <t>bleed</t>
        </is>
      </c>
      <c r="C394" t="inlineStr">
        <is>
          <t>//diggs:parameterName</t>
        </is>
      </c>
      <c r="D394" t="inlineStr">
        <is>
          <t>ancestor::diggs:characteristicProperty</t>
        </is>
      </c>
    </row>
    <row r="395">
      <c r="B395" t="inlineStr">
        <is>
          <t>blow_count</t>
        </is>
      </c>
      <c r="C395" t="inlineStr">
        <is>
          <t>//diggs:parameterName</t>
        </is>
      </c>
      <c r="D395" t="inlineStr">
        <is>
          <t>ancestor::diggs:characteristicProperty</t>
        </is>
      </c>
    </row>
    <row r="396">
      <c r="B396" t="inlineStr">
        <is>
          <t>c_pressure</t>
        </is>
      </c>
      <c r="C396" t="inlineStr">
        <is>
          <t>//diggs:parameterName</t>
        </is>
      </c>
      <c r="D396" t="inlineStr">
        <is>
          <t>ancestor::diggs:characteristicProperty</t>
        </is>
      </c>
    </row>
    <row r="397">
      <c r="B397" t="inlineStr">
        <is>
          <t>cbr_0.1</t>
        </is>
      </c>
      <c r="C397" t="inlineStr">
        <is>
          <t>//diggs:parameterName</t>
        </is>
      </c>
      <c r="D397" t="inlineStr">
        <is>
          <t>ancestor::diggs:characteristicProperty</t>
        </is>
      </c>
    </row>
    <row r="398">
      <c r="B398" t="inlineStr">
        <is>
          <t>cbr_0.2</t>
        </is>
      </c>
      <c r="C398" t="inlineStr">
        <is>
          <t>//diggs:parameterName</t>
        </is>
      </c>
      <c r="D398" t="inlineStr">
        <is>
          <t>ancestor::diggs:characteristicProperty</t>
        </is>
      </c>
    </row>
    <row r="399">
      <c r="B399" t="inlineStr">
        <is>
          <t>chalk_crushing_value</t>
        </is>
      </c>
      <c r="C399" t="inlineStr">
        <is>
          <t>//diggs:parameterName</t>
        </is>
      </c>
      <c r="D399" t="inlineStr">
        <is>
          <t>ancestor::diggs:characteristicProperty</t>
        </is>
      </c>
    </row>
    <row r="400">
      <c r="B400" t="inlineStr">
        <is>
          <t>chloride_content</t>
        </is>
      </c>
      <c r="C400" t="inlineStr">
        <is>
          <t>//diggs:parameterName</t>
        </is>
      </c>
      <c r="D400" t="inlineStr">
        <is>
          <t>ancestor::diggs:characteristicProperty</t>
        </is>
      </c>
    </row>
    <row r="401">
      <c r="B401" t="inlineStr">
        <is>
          <t>clay_percent_2_micron</t>
        </is>
      </c>
      <c r="C401" t="inlineStr">
        <is>
          <t>//diggs:parameterName</t>
        </is>
      </c>
      <c r="D401" t="inlineStr">
        <is>
          <t>ancestor::diggs:characteristicProperty</t>
        </is>
      </c>
    </row>
    <row r="402">
      <c r="B402" t="inlineStr">
        <is>
          <t>clay_percent_5_micron</t>
        </is>
      </c>
      <c r="C402" t="inlineStr">
        <is>
          <t>//diggs:parameterName</t>
        </is>
      </c>
      <c r="D402" t="inlineStr">
        <is>
          <t>ancestor::diggs:characteristicProperty</t>
        </is>
      </c>
    </row>
    <row r="403">
      <c r="B403" t="inlineStr">
        <is>
          <t>coef_consolidation_horiz</t>
        </is>
      </c>
      <c r="C403" t="inlineStr">
        <is>
          <t>//diggs:parameterName</t>
        </is>
      </c>
      <c r="D403" t="inlineStr">
        <is>
          <t>ancestor::diggs:characteristicProperty</t>
        </is>
      </c>
    </row>
    <row r="404">
      <c r="B404" t="inlineStr">
        <is>
          <t>coef_consolidation_vertical</t>
        </is>
      </c>
      <c r="C404" t="inlineStr">
        <is>
          <t>//diggs:parameterName</t>
        </is>
      </c>
      <c r="D404" t="inlineStr">
        <is>
          <t>ancestor::diggs:characteristicProperty</t>
        </is>
      </c>
    </row>
    <row r="405">
      <c r="B405" t="inlineStr">
        <is>
          <t>coef_curvature</t>
        </is>
      </c>
      <c r="C405" t="inlineStr">
        <is>
          <t>//diggs:parameterName</t>
        </is>
      </c>
      <c r="D405" t="inlineStr">
        <is>
          <t>ancestor::diggs:characteristicProperty</t>
        </is>
      </c>
    </row>
    <row r="406">
      <c r="B406" t="inlineStr">
        <is>
          <t>coef_earth_pressure</t>
        </is>
      </c>
      <c r="C406" t="inlineStr">
        <is>
          <t>//diggs:parameterName</t>
        </is>
      </c>
      <c r="D406" t="inlineStr">
        <is>
          <t>ancestor::diggs:characteristicProperty</t>
        </is>
      </c>
    </row>
    <row r="407">
      <c r="B407" t="inlineStr">
        <is>
          <t>coef_permeability</t>
        </is>
      </c>
      <c r="C407" t="inlineStr">
        <is>
          <t>//diggs:parameterName</t>
        </is>
      </c>
      <c r="D407" t="inlineStr">
        <is>
          <t>ancestor::diggs:characteristicProperty</t>
        </is>
      </c>
    </row>
    <row r="408">
      <c r="B408" t="inlineStr">
        <is>
          <t>coef_permeability_corrected</t>
        </is>
      </c>
      <c r="C408" t="inlineStr">
        <is>
          <t>//diggs:parameterName</t>
        </is>
      </c>
      <c r="D408" t="inlineStr">
        <is>
          <t>ancestor::diggs:characteristicProperty</t>
        </is>
      </c>
    </row>
    <row r="409">
      <c r="B409" t="inlineStr">
        <is>
          <t>coef_permeability_horiz</t>
        </is>
      </c>
      <c r="C409" t="inlineStr">
        <is>
          <t>//diggs:parameterName</t>
        </is>
      </c>
      <c r="D409" t="inlineStr">
        <is>
          <t>ancestor::diggs:characteristicProperty</t>
        </is>
      </c>
    </row>
    <row r="410">
      <c r="B410" t="inlineStr">
        <is>
          <t>coef_permeability_vert</t>
        </is>
      </c>
      <c r="C410" t="inlineStr">
        <is>
          <t>//diggs:parameterName</t>
        </is>
      </c>
      <c r="D410" t="inlineStr">
        <is>
          <t>ancestor::diggs:characteristicProperty</t>
        </is>
      </c>
    </row>
    <row r="411">
      <c r="B411" t="inlineStr">
        <is>
          <t>coef_uniformity</t>
        </is>
      </c>
      <c r="C411" t="inlineStr">
        <is>
          <t>//diggs:parameterName</t>
        </is>
      </c>
      <c r="D411" t="inlineStr">
        <is>
          <t>ancestor::diggs:characteristicProperty</t>
        </is>
      </c>
    </row>
    <row r="412">
      <c r="B412" t="inlineStr">
        <is>
          <t>cohesion_residual</t>
        </is>
      </c>
      <c r="C412" t="inlineStr">
        <is>
          <t>//diggs:parameterName</t>
        </is>
      </c>
      <c r="D412" t="inlineStr">
        <is>
          <t>ancestor::diggs:characteristicProperty</t>
        </is>
      </c>
    </row>
    <row r="413">
      <c r="B413" t="inlineStr">
        <is>
          <t>colloid_percent</t>
        </is>
      </c>
      <c r="C413" t="inlineStr">
        <is>
          <t>//diggs:parameterName</t>
        </is>
      </c>
      <c r="D413" t="inlineStr">
        <is>
          <t>ancestor::diggs:characteristicProperty</t>
        </is>
      </c>
    </row>
    <row r="414">
      <c r="B414" t="inlineStr">
        <is>
          <t>compression_index</t>
        </is>
      </c>
      <c r="C414" t="inlineStr">
        <is>
          <t>//diggs:parameterName</t>
        </is>
      </c>
      <c r="D414" t="inlineStr">
        <is>
          <t>ancestor::diggs:characteristicProperty</t>
        </is>
      </c>
    </row>
    <row r="415">
      <c r="B415" t="inlineStr">
        <is>
          <t>compressive_strength_unconfined</t>
        </is>
      </c>
      <c r="C415" t="inlineStr">
        <is>
          <t>//diggs:parameterName</t>
        </is>
      </c>
      <c r="D415" t="inlineStr">
        <is>
          <t>ancestor::diggs:characteristicProperty</t>
        </is>
      </c>
    </row>
    <row r="416">
      <c r="B416" t="inlineStr">
        <is>
          <t>conductivity</t>
        </is>
      </c>
      <c r="C416" t="inlineStr">
        <is>
          <t>//diggs:parameterName</t>
        </is>
      </c>
      <c r="D416" t="inlineStr">
        <is>
          <t>ancestor::diggs:characteristicProperty</t>
        </is>
      </c>
    </row>
    <row r="417">
      <c r="B417" t="inlineStr">
        <is>
          <t>consistency_index</t>
        </is>
      </c>
      <c r="C417" t="inlineStr">
        <is>
          <t>//diggs:parameterName</t>
        </is>
      </c>
      <c r="D417" t="inlineStr">
        <is>
          <t>ancestor::diggs:characteristicProperty</t>
        </is>
      </c>
    </row>
    <row r="418">
      <c r="B418" t="inlineStr">
        <is>
          <t>constrained_vert_modulus</t>
        </is>
      </c>
      <c r="C418" t="inlineStr">
        <is>
          <t>//diggs:parameterName</t>
        </is>
      </c>
      <c r="D418" t="inlineStr">
        <is>
          <t>ancestor::diggs:characteristicProperty</t>
        </is>
      </c>
    </row>
    <row r="419">
      <c r="B419" t="inlineStr">
        <is>
          <t>d10</t>
        </is>
      </c>
      <c r="C419" t="inlineStr">
        <is>
          <t>//diggs:parameterName</t>
        </is>
      </c>
      <c r="D419" t="inlineStr">
        <is>
          <t>ancestor::diggs:characteristicProperty</t>
        </is>
      </c>
    </row>
    <row r="420">
      <c r="B420" t="inlineStr">
        <is>
          <t>d15</t>
        </is>
      </c>
      <c r="C420" t="inlineStr">
        <is>
          <t>//diggs:parameterName</t>
        </is>
      </c>
      <c r="D420" t="inlineStr">
        <is>
          <t>ancestor::diggs:characteristicProperty</t>
        </is>
      </c>
    </row>
    <row r="421">
      <c r="B421" t="inlineStr">
        <is>
          <t>d30</t>
        </is>
      </c>
      <c r="C421" t="inlineStr">
        <is>
          <t>//diggs:parameterName</t>
        </is>
      </c>
      <c r="D421" t="inlineStr">
        <is>
          <t>ancestor::diggs:characteristicProperty</t>
        </is>
      </c>
    </row>
    <row r="422">
      <c r="B422" t="inlineStr">
        <is>
          <t>d50</t>
        </is>
      </c>
      <c r="C422" t="inlineStr">
        <is>
          <t>//diggs:parameterName</t>
        </is>
      </c>
      <c r="D422" t="inlineStr">
        <is>
          <t>ancestor::diggs:characteristicProperty</t>
        </is>
      </c>
    </row>
    <row r="423">
      <c r="B423" t="inlineStr">
        <is>
          <t>d60</t>
        </is>
      </c>
      <c r="C423" t="inlineStr">
        <is>
          <t>//diggs:parameterName</t>
        </is>
      </c>
      <c r="D423" t="inlineStr">
        <is>
          <t>ancestor::diggs:characteristicProperty</t>
        </is>
      </c>
    </row>
    <row r="424">
      <c r="B424" t="inlineStr">
        <is>
          <t>d85</t>
        </is>
      </c>
      <c r="C424" t="inlineStr">
        <is>
          <t>//diggs:parameterName</t>
        </is>
      </c>
      <c r="D424" t="inlineStr">
        <is>
          <t>ancestor::diggs:characteristicProperty</t>
        </is>
      </c>
    </row>
    <row r="425">
      <c r="B425" t="inlineStr">
        <is>
          <t>degree_of_saturation</t>
        </is>
      </c>
      <c r="C425" t="inlineStr">
        <is>
          <t>//diggs:parameterName</t>
        </is>
      </c>
      <c r="D425" t="inlineStr">
        <is>
          <t>ancestor::diggs:characteristicProperty</t>
        </is>
      </c>
    </row>
    <row r="426">
      <c r="B426" t="inlineStr">
        <is>
          <t>delay</t>
        </is>
      </c>
      <c r="C426" t="inlineStr">
        <is>
          <t>//diggs:parameterName</t>
        </is>
      </c>
      <c r="D426" t="inlineStr">
        <is>
          <t>ancestor::diggs:characteristicProperty</t>
        </is>
      </c>
    </row>
    <row r="427">
      <c r="B427" t="inlineStr">
        <is>
          <t>depth</t>
        </is>
      </c>
      <c r="C427" t="inlineStr">
        <is>
          <t>//diggs:parameterName</t>
        </is>
      </c>
      <c r="D427" t="inlineStr">
        <is>
          <t>ancestor::diggs:characteristicProperty</t>
        </is>
      </c>
    </row>
    <row r="428">
      <c r="B428" t="inlineStr">
        <is>
          <t>dilation_angle</t>
        </is>
      </c>
      <c r="C428" t="inlineStr">
        <is>
          <t>//diggs:parameterName</t>
        </is>
      </c>
      <c r="D428" t="inlineStr">
        <is>
          <t>ancestor::diggs:characteristicProperty</t>
        </is>
      </c>
    </row>
    <row r="429">
      <c r="B429" t="inlineStr">
        <is>
          <t>dilatometer_modulus</t>
        </is>
      </c>
      <c r="C429" t="inlineStr">
        <is>
          <t>//diggs:parameterName</t>
        </is>
      </c>
      <c r="D429" t="inlineStr">
        <is>
          <t>ancestor::diggs:characteristicProperty</t>
        </is>
      </c>
    </row>
    <row r="430">
      <c r="B430" t="inlineStr">
        <is>
          <t>dmt_tip_bearing</t>
        </is>
      </c>
      <c r="C430" t="inlineStr">
        <is>
          <t>//diggs:parameterName</t>
        </is>
      </c>
      <c r="D430" t="inlineStr">
        <is>
          <t>ancestor::diggs:characteristicProperty</t>
        </is>
      </c>
    </row>
    <row r="431">
      <c r="B431" t="inlineStr">
        <is>
          <t>dry_density</t>
        </is>
      </c>
      <c r="C431" t="inlineStr">
        <is>
          <t>//diggs:parameterName</t>
        </is>
      </c>
      <c r="D431" t="inlineStr">
        <is>
          <t>ancestor::diggs:characteristicProperty</t>
        </is>
      </c>
    </row>
    <row r="432">
      <c r="B432" t="inlineStr">
        <is>
          <t>dry_density_max</t>
        </is>
      </c>
      <c r="C432" t="inlineStr">
        <is>
          <t>//diggs:parameterName</t>
        </is>
      </c>
      <c r="D432" t="inlineStr">
        <is>
          <t>ancestor::diggs:characteristicProperty</t>
        </is>
      </c>
    </row>
    <row r="433">
      <c r="B433" t="inlineStr">
        <is>
          <t>effective_stress_vertical</t>
        </is>
      </c>
      <c r="C433" t="inlineStr">
        <is>
          <t>//diggs:parameterName</t>
        </is>
      </c>
      <c r="D433" t="inlineStr">
        <is>
          <t>ancestor::diggs:characteristicProperty</t>
        </is>
      </c>
    </row>
    <row r="434">
      <c r="B434" t="inlineStr">
        <is>
          <t>elapsed_time</t>
        </is>
      </c>
      <c r="C434" t="inlineStr">
        <is>
          <t>//diggs:parameterName</t>
        </is>
      </c>
      <c r="D434" t="inlineStr">
        <is>
          <t>ancestor::diggs:characteristicProperty</t>
        </is>
      </c>
    </row>
    <row r="435">
      <c r="B435" t="inlineStr">
        <is>
          <t>filtrate_volume</t>
        </is>
      </c>
      <c r="C435" t="inlineStr">
        <is>
          <t>//diggs:parameterName</t>
        </is>
      </c>
      <c r="D435" t="inlineStr">
        <is>
          <t>ancestor::diggs:characteristicProperty</t>
        </is>
      </c>
    </row>
    <row r="436">
      <c r="B436" t="inlineStr">
        <is>
          <t>flame_ionization_measurement</t>
        </is>
      </c>
      <c r="C436" t="inlineStr">
        <is>
          <t>//diggs:parameterName</t>
        </is>
      </c>
      <c r="D436" t="inlineStr">
        <is>
          <t>ancestor::diggs:characteristicProperty</t>
        </is>
      </c>
    </row>
    <row r="437">
      <c r="B437" t="inlineStr">
        <is>
          <t>flow_cone_time</t>
        </is>
      </c>
      <c r="C437" t="inlineStr">
        <is>
          <t>//diggs:parameterName</t>
        </is>
      </c>
      <c r="D437" t="inlineStr">
        <is>
          <t>ancestor::diggs:characteristicProperty</t>
        </is>
      </c>
    </row>
    <row r="438">
      <c r="B438" t="inlineStr">
        <is>
          <t>flow_mass_rate</t>
        </is>
      </c>
      <c r="C438" t="inlineStr">
        <is>
          <t>//diggs:parameterName</t>
        </is>
      </c>
      <c r="D438" t="inlineStr">
        <is>
          <t>ancestor::diggs:characteristicProperty</t>
        </is>
      </c>
    </row>
    <row r="439">
      <c r="B439" t="inlineStr">
        <is>
          <t>flow_volume_rate</t>
        </is>
      </c>
      <c r="C439" t="inlineStr">
        <is>
          <t>//diggs:parameterName</t>
        </is>
      </c>
      <c r="D439" t="inlineStr">
        <is>
          <t>ancestor::diggs:characteristicProperty</t>
        </is>
      </c>
    </row>
    <row r="440">
      <c r="B440" t="inlineStr">
        <is>
          <t>friction_angle_cv</t>
        </is>
      </c>
      <c r="C440" t="inlineStr">
        <is>
          <t>//diggs:parameterName</t>
        </is>
      </c>
      <c r="D440" t="inlineStr">
        <is>
          <t>ancestor::diggs:characteristicProperty</t>
        </is>
      </c>
    </row>
    <row r="441">
      <c r="B441" t="inlineStr">
        <is>
          <t>friction_angle_residual</t>
        </is>
      </c>
      <c r="C441" t="inlineStr">
        <is>
          <t>//diggs:parameterName</t>
        </is>
      </c>
      <c r="D441" t="inlineStr">
        <is>
          <t>ancestor::diggs:characteristicProperty</t>
        </is>
      </c>
    </row>
    <row r="442">
      <c r="B442" t="inlineStr">
        <is>
          <t>friction_ratio</t>
        </is>
      </c>
      <c r="C442" t="inlineStr">
        <is>
          <t>//diggs:parameterName</t>
        </is>
      </c>
      <c r="D442" t="inlineStr">
        <is>
          <t>ancestor::diggs:characteristicProperty</t>
        </is>
      </c>
    </row>
    <row r="443">
      <c r="B443" t="inlineStr">
        <is>
          <t>frost_heave</t>
        </is>
      </c>
      <c r="C443" t="inlineStr">
        <is>
          <t>//diggs:parameterName</t>
        </is>
      </c>
      <c r="D443" t="inlineStr">
        <is>
          <t>ancestor::diggs:characteristicProperty</t>
        </is>
      </c>
    </row>
    <row r="444">
      <c r="B444" t="inlineStr">
        <is>
          <t>gauge_pressure</t>
        </is>
      </c>
      <c r="C444" t="inlineStr">
        <is>
          <t>//diggs:parameterName</t>
        </is>
      </c>
      <c r="D444" t="inlineStr">
        <is>
          <t>ancestor::diggs:characteristicProperty</t>
        </is>
      </c>
    </row>
    <row r="445">
      <c r="B445" t="inlineStr">
        <is>
          <t>gel_time</t>
        </is>
      </c>
      <c r="C445" t="inlineStr">
        <is>
          <t>//diggs:parameterName</t>
        </is>
      </c>
      <c r="D445" t="inlineStr">
        <is>
          <t>ancestor::diggs:characteristicProperty</t>
        </is>
      </c>
    </row>
    <row r="446">
      <c r="B446" t="inlineStr">
        <is>
          <t>HFFD</t>
        </is>
      </c>
      <c r="C446" t="inlineStr">
        <is>
          <t>//diggs:parameterName</t>
        </is>
      </c>
      <c r="D446" t="inlineStr">
        <is>
          <t>ancestor::diggs:characteristicProperty</t>
        </is>
      </c>
    </row>
    <row r="447">
      <c r="B447" t="inlineStr">
        <is>
          <t>horiz_stress_index</t>
        </is>
      </c>
      <c r="C447" t="inlineStr">
        <is>
          <t>//diggs:parameterName</t>
        </is>
      </c>
      <c r="D447" t="inlineStr">
        <is>
          <t>ancestor::diggs:characteristicProperty</t>
        </is>
      </c>
    </row>
    <row r="448">
      <c r="B448" t="inlineStr">
        <is>
          <t>inclination</t>
        </is>
      </c>
      <c r="C448" t="inlineStr">
        <is>
          <t>//diggs:parameterName</t>
        </is>
      </c>
      <c r="D448" t="inlineStr">
        <is>
          <t>ancestor::diggs:characteristicProperty</t>
        </is>
      </c>
    </row>
    <row r="449">
      <c r="B449" t="inlineStr">
        <is>
          <t>inclination_x</t>
        </is>
      </c>
      <c r="C449" t="inlineStr">
        <is>
          <t>//diggs:parameterName</t>
        </is>
      </c>
      <c r="D449" t="inlineStr">
        <is>
          <t>ancestor::diggs:characteristicProperty</t>
        </is>
      </c>
    </row>
    <row r="450">
      <c r="B450" t="inlineStr">
        <is>
          <t>inclination_y</t>
        </is>
      </c>
      <c r="C450" t="inlineStr">
        <is>
          <t>//diggs:parameterName</t>
        </is>
      </c>
      <c r="D450" t="inlineStr">
        <is>
          <t>ancestor::diggs:characteristicProperty</t>
        </is>
      </c>
    </row>
    <row r="451">
      <c r="B451" t="inlineStr">
        <is>
          <t>insitu_horizontal_stress</t>
        </is>
      </c>
      <c r="C451" t="inlineStr">
        <is>
          <t>//diggs:parameterName</t>
        </is>
      </c>
      <c r="D451" t="inlineStr">
        <is>
          <t>ancestor::diggs:characteristicProperty</t>
        </is>
      </c>
    </row>
    <row r="452">
      <c r="B452" t="inlineStr">
        <is>
          <t>Is</t>
        </is>
      </c>
      <c r="C452" t="inlineStr">
        <is>
          <t>//diggs:parameterName</t>
        </is>
      </c>
      <c r="D452" t="inlineStr">
        <is>
          <t>ancestor::diggs:characteristicProperty</t>
        </is>
      </c>
    </row>
    <row r="453">
      <c r="B453" t="inlineStr">
        <is>
          <t>Is50</t>
        </is>
      </c>
      <c r="C453" t="inlineStr">
        <is>
          <t>//diggs:parameterName</t>
        </is>
      </c>
      <c r="D453" t="inlineStr">
        <is>
          <t>ancestor::diggs:characteristicProperty</t>
        </is>
      </c>
    </row>
    <row r="454">
      <c r="B454" t="inlineStr">
        <is>
          <t>LFFD</t>
        </is>
      </c>
      <c r="C454" t="inlineStr">
        <is>
          <t>//diggs:parameterName</t>
        </is>
      </c>
      <c r="D454" t="inlineStr">
        <is>
          <t>ancestor::diggs:characteristicProperty</t>
        </is>
      </c>
    </row>
    <row r="455">
      <c r="B455" t="inlineStr">
        <is>
          <t>limit_pressure</t>
        </is>
      </c>
      <c r="C455" t="inlineStr">
        <is>
          <t>//diggs:parameterName</t>
        </is>
      </c>
      <c r="D455" t="inlineStr">
        <is>
          <t>ancestor::diggs:characteristicProperty</t>
        </is>
      </c>
    </row>
    <row r="456">
      <c r="B456" t="inlineStr">
        <is>
          <t>line_loss_coeff_A</t>
        </is>
      </c>
      <c r="C456" t="inlineStr">
        <is>
          <t>//diggs:parameterName</t>
        </is>
      </c>
      <c r="D456" t="inlineStr">
        <is>
          <t>ancestor::diggs:characteristicProperty</t>
        </is>
      </c>
    </row>
    <row r="457">
      <c r="B457" t="inlineStr">
        <is>
          <t>line_loss_coeff_B</t>
        </is>
      </c>
      <c r="C457" t="inlineStr">
        <is>
          <t>//diggs:parameterName</t>
        </is>
      </c>
      <c r="D457" t="inlineStr">
        <is>
          <t>ancestor::diggs:characteristicProperty</t>
        </is>
      </c>
    </row>
    <row r="458">
      <c r="B458" t="inlineStr">
        <is>
          <t>line_loss_coeff_C</t>
        </is>
      </c>
      <c r="C458" t="inlineStr">
        <is>
          <t>//diggs:parameterName</t>
        </is>
      </c>
      <c r="D458" t="inlineStr">
        <is>
          <t>ancestor::diggs:characteristicProperty</t>
        </is>
      </c>
    </row>
    <row r="459">
      <c r="B459" t="inlineStr">
        <is>
          <t>line_loss_r2</t>
        </is>
      </c>
      <c r="C459" t="inlineStr">
        <is>
          <t>//diggs:parameterName</t>
        </is>
      </c>
      <c r="D459" t="inlineStr">
        <is>
          <t>ancestor::diggs:characteristicProperty</t>
        </is>
      </c>
    </row>
    <row r="460">
      <c r="B460" t="inlineStr">
        <is>
          <t>liquid_limit</t>
        </is>
      </c>
      <c r="C460" t="inlineStr">
        <is>
          <t>//diggs:parameterName</t>
        </is>
      </c>
      <c r="D460" t="inlineStr">
        <is>
          <t>ancestor::diggs:characteristicProperty</t>
        </is>
      </c>
    </row>
    <row r="461">
      <c r="B461" t="inlineStr">
        <is>
          <t>liquid_limit_oven_dried</t>
        </is>
      </c>
      <c r="C461" t="inlineStr">
        <is>
          <t>//diggs:parameterName</t>
        </is>
      </c>
      <c r="D461" t="inlineStr">
        <is>
          <t>ancestor::diggs:characteristicProperty</t>
        </is>
      </c>
    </row>
    <row r="462">
      <c r="B462" t="inlineStr">
        <is>
          <t>liquidity_index</t>
        </is>
      </c>
      <c r="C462" t="inlineStr">
        <is>
          <t>//diggs:parameterName</t>
        </is>
      </c>
      <c r="D462" t="inlineStr">
        <is>
          <t>ancestor::diggs:characteristicProperty</t>
        </is>
      </c>
    </row>
    <row r="463">
      <c r="B463" t="inlineStr">
        <is>
          <t>LOI</t>
        </is>
      </c>
      <c r="C463" t="inlineStr">
        <is>
          <t>//diggs:parameterName</t>
        </is>
      </c>
      <c r="D463" t="inlineStr">
        <is>
          <t>ancestor::diggs:characteristicProperty</t>
        </is>
      </c>
    </row>
    <row r="464">
      <c r="B464" t="inlineStr">
        <is>
          <t>lugeon_value</t>
        </is>
      </c>
      <c r="C464" t="inlineStr">
        <is>
          <t>//diggs:parameterName</t>
        </is>
      </c>
      <c r="D464" t="inlineStr">
        <is>
          <t>ancestor::diggs:characteristicProperty</t>
        </is>
      </c>
    </row>
    <row r="465">
      <c r="B465" t="inlineStr">
        <is>
          <t>marsh_funnel_time</t>
        </is>
      </c>
      <c r="C465" t="inlineStr">
        <is>
          <t>//diggs:parameterName</t>
        </is>
      </c>
      <c r="D465" t="inlineStr">
        <is>
          <t>ancestor::diggs:characteristicProperty</t>
        </is>
      </c>
    </row>
    <row r="466">
      <c r="B466" t="inlineStr">
        <is>
          <t>mass</t>
        </is>
      </c>
      <c r="C466" t="inlineStr">
        <is>
          <t>//diggs:parameterName</t>
        </is>
      </c>
      <c r="D466" t="inlineStr">
        <is>
          <t>ancestor::diggs:characteristicProperty</t>
        </is>
      </c>
    </row>
    <row r="467">
      <c r="B467" t="inlineStr">
        <is>
          <t>mass_loss</t>
        </is>
      </c>
      <c r="C467" t="inlineStr">
        <is>
          <t>//diggs:parameterName</t>
        </is>
      </c>
      <c r="D467" t="inlineStr">
        <is>
          <t>ancestor::diggs:characteristicProperty</t>
        </is>
      </c>
    </row>
    <row r="468">
      <c r="B468" t="inlineStr">
        <is>
          <t>material_index</t>
        </is>
      </c>
      <c r="C468" t="inlineStr">
        <is>
          <t>//diggs:parameterName</t>
        </is>
      </c>
      <c r="D468" t="inlineStr">
        <is>
          <t>ancestor::diggs:characteristicProperty</t>
        </is>
      </c>
    </row>
    <row r="469">
      <c r="B469" t="inlineStr">
        <is>
          <t>mcv</t>
        </is>
      </c>
      <c r="C469" t="inlineStr">
        <is>
          <t>//diggs:parameterName</t>
        </is>
      </c>
      <c r="D469" t="inlineStr">
        <is>
          <t>ancestor::diggs:characteristicProperty</t>
        </is>
      </c>
    </row>
    <row r="470">
      <c r="B470" t="inlineStr">
        <is>
          <t>mean_micro_deval_dry</t>
        </is>
      </c>
      <c r="C470" t="inlineStr">
        <is>
          <t>//diggs:parameterName</t>
        </is>
      </c>
      <c r="D470" t="inlineStr">
        <is>
          <t>ancestor::diggs:characteristicProperty</t>
        </is>
      </c>
    </row>
    <row r="471">
      <c r="B471" t="inlineStr">
        <is>
          <t>mean_micro_deval_wet</t>
        </is>
      </c>
      <c r="C471" t="inlineStr">
        <is>
          <t>//diggs:parameterName</t>
        </is>
      </c>
      <c r="D471" t="inlineStr">
        <is>
          <t>ancestor::diggs:characteristicProperty</t>
        </is>
      </c>
    </row>
    <row r="472">
      <c r="B472" t="inlineStr">
        <is>
          <t>menard_modulus</t>
        </is>
      </c>
      <c r="C472" t="inlineStr">
        <is>
          <t>//diggs:parameterName</t>
        </is>
      </c>
      <c r="D472" t="inlineStr">
        <is>
          <t>ancestor::diggs:characteristicProperty</t>
        </is>
      </c>
    </row>
    <row r="473">
      <c r="B473" t="inlineStr">
        <is>
          <t>modulus_shear</t>
        </is>
      </c>
      <c r="C473" t="inlineStr">
        <is>
          <t>//diggs:parameterName</t>
        </is>
      </c>
      <c r="D473" t="inlineStr">
        <is>
          <t>ancestor::diggs:characteristicProperty</t>
        </is>
      </c>
    </row>
    <row r="474">
      <c r="B474" t="inlineStr">
        <is>
          <t>mud_balance_density</t>
        </is>
      </c>
      <c r="C474" t="inlineStr">
        <is>
          <t>//diggs:parameterName</t>
        </is>
      </c>
      <c r="D474" t="inlineStr">
        <is>
          <t>ancestor::diggs:characteristicProperty</t>
        </is>
      </c>
    </row>
    <row r="475">
      <c r="B475" t="inlineStr">
        <is>
          <t>n_value</t>
        </is>
      </c>
      <c r="C475" t="inlineStr">
        <is>
          <t>//diggs:parameterName</t>
        </is>
      </c>
      <c r="D475" t="inlineStr">
        <is>
          <t>ancestor::diggs:characteristicProperty</t>
        </is>
      </c>
    </row>
    <row r="476">
      <c r="B476" t="inlineStr">
        <is>
          <t>n1_60</t>
        </is>
      </c>
      <c r="C476" t="inlineStr">
        <is>
          <t>//diggs:parameterName</t>
        </is>
      </c>
      <c r="D476" t="inlineStr">
        <is>
          <t>ancestor::diggs:characteristicProperty</t>
        </is>
      </c>
    </row>
    <row r="477">
      <c r="B477" t="inlineStr">
        <is>
          <t>n60</t>
        </is>
      </c>
      <c r="C477" t="inlineStr">
        <is>
          <t>//diggs:parameterName</t>
        </is>
      </c>
      <c r="D477" t="inlineStr">
        <is>
          <t>ancestor::diggs:characteristicProperty</t>
        </is>
      </c>
    </row>
    <row r="478">
      <c r="B478" t="inlineStr">
        <is>
          <t>non_plastic</t>
        </is>
      </c>
      <c r="C478" t="inlineStr">
        <is>
          <t>//diggs:parameterName</t>
        </is>
      </c>
      <c r="D478" t="inlineStr">
        <is>
          <t>ancestor::diggs:characteristicProperty</t>
        </is>
      </c>
    </row>
    <row r="479">
      <c r="B479" t="inlineStr">
        <is>
          <t>ocr</t>
        </is>
      </c>
      <c r="C479" t="inlineStr">
        <is>
          <t>//diggs:parameterName</t>
        </is>
      </c>
      <c r="D479" t="inlineStr">
        <is>
          <t>ancestor::diggs:characteristicProperty</t>
        </is>
      </c>
    </row>
    <row r="480">
      <c r="B480" t="inlineStr">
        <is>
          <t>p_wave_velocity</t>
        </is>
      </c>
      <c r="C480" t="inlineStr">
        <is>
          <t>//diggs:parameterName</t>
        </is>
      </c>
      <c r="D480" t="inlineStr">
        <is>
          <t>ancestor::diggs:characteristicProperty</t>
        </is>
      </c>
    </row>
    <row r="481">
      <c r="B481" t="inlineStr">
        <is>
          <t>p0_reading</t>
        </is>
      </c>
      <c r="C481" t="inlineStr">
        <is>
          <t>//diggs:parameterName</t>
        </is>
      </c>
      <c r="D481" t="inlineStr">
        <is>
          <t>ancestor::diggs:characteristicProperty</t>
        </is>
      </c>
    </row>
    <row r="482">
      <c r="B482" t="inlineStr">
        <is>
          <t>p1_reading</t>
        </is>
      </c>
      <c r="C482" t="inlineStr">
        <is>
          <t>//diggs:parameterName</t>
        </is>
      </c>
      <c r="D482" t="inlineStr">
        <is>
          <t>ancestor::diggs:characteristicProperty</t>
        </is>
      </c>
    </row>
    <row r="483">
      <c r="B483" t="inlineStr">
        <is>
          <t>p2_reading</t>
        </is>
      </c>
      <c r="C483" t="inlineStr">
        <is>
          <t>//diggs:parameterName</t>
        </is>
      </c>
      <c r="D483" t="inlineStr">
        <is>
          <t>ancestor::diggs:characteristicProperty</t>
        </is>
      </c>
    </row>
    <row r="484">
      <c r="B484" t="inlineStr">
        <is>
          <t>pen_increment</t>
        </is>
      </c>
      <c r="C484" t="inlineStr">
        <is>
          <t>//diggs:parameterName</t>
        </is>
      </c>
      <c r="D484" t="inlineStr">
        <is>
          <t>ancestor::diggs:characteristicProperty</t>
        </is>
      </c>
    </row>
    <row r="485">
      <c r="B485" t="inlineStr">
        <is>
          <t>percent_cobbles</t>
        </is>
      </c>
      <c r="C485" t="inlineStr">
        <is>
          <t>//diggs:parameterName</t>
        </is>
      </c>
      <c r="D485" t="inlineStr">
        <is>
          <t>ancestor::diggs:characteristicProperty</t>
        </is>
      </c>
    </row>
    <row r="486">
      <c r="B486" t="inlineStr">
        <is>
          <t>percent_fines</t>
        </is>
      </c>
      <c r="C486" t="inlineStr">
        <is>
          <t>//diggs:parameterName</t>
        </is>
      </c>
      <c r="D486" t="inlineStr">
        <is>
          <t>ancestor::diggs:characteristicProperty</t>
        </is>
      </c>
    </row>
    <row r="487">
      <c r="B487" t="inlineStr">
        <is>
          <t>percent_gravel</t>
        </is>
      </c>
      <c r="C487" t="inlineStr">
        <is>
          <t>//diggs:parameterName</t>
        </is>
      </c>
      <c r="D487" t="inlineStr">
        <is>
          <t>ancestor::diggs:characteristicProperty</t>
        </is>
      </c>
    </row>
    <row r="488">
      <c r="B488" t="inlineStr">
        <is>
          <t>percent_sand</t>
        </is>
      </c>
      <c r="C488" t="inlineStr">
        <is>
          <t>//diggs:parameterName</t>
        </is>
      </c>
      <c r="D488" t="inlineStr">
        <is>
          <t>ancestor::diggs:characteristicProperty</t>
        </is>
      </c>
    </row>
    <row r="489">
      <c r="B489" t="inlineStr">
        <is>
          <t>percent_silt</t>
        </is>
      </c>
      <c r="C489" t="inlineStr">
        <is>
          <t>//diggs:parameterName</t>
        </is>
      </c>
      <c r="D489" t="inlineStr">
        <is>
          <t>ancestor::diggs:characteristicProperty</t>
        </is>
      </c>
    </row>
    <row r="490">
      <c r="B490" t="inlineStr">
        <is>
          <t>pH</t>
        </is>
      </c>
      <c r="C490" t="inlineStr">
        <is>
          <t>//diggs:parameterName</t>
        </is>
      </c>
      <c r="D490" t="inlineStr">
        <is>
          <t>ancestor::diggs:characteristicProperty</t>
        </is>
      </c>
    </row>
    <row r="491">
      <c r="B491" t="inlineStr">
        <is>
          <t>pid_result</t>
        </is>
      </c>
      <c r="C491" t="inlineStr">
        <is>
          <t>//diggs:parameterName</t>
        </is>
      </c>
      <c r="D491" t="inlineStr">
        <is>
          <t>ancestor::diggs:characteristicProperty</t>
        </is>
      </c>
    </row>
    <row r="492">
      <c r="B492" t="inlineStr">
        <is>
          <t>plastic_limit</t>
        </is>
      </c>
      <c r="C492" t="inlineStr">
        <is>
          <t>//diggs:parameterName</t>
        </is>
      </c>
      <c r="D492" t="inlineStr">
        <is>
          <t>ancestor::diggs:characteristicProperty</t>
        </is>
      </c>
    </row>
    <row r="493">
      <c r="B493" t="inlineStr">
        <is>
          <t>plasticity_index</t>
        </is>
      </c>
      <c r="C493" t="inlineStr">
        <is>
          <t>//diggs:parameterName</t>
        </is>
      </c>
      <c r="D493" t="inlineStr">
        <is>
          <t>ancestor::diggs:characteristicProperty</t>
        </is>
      </c>
    </row>
    <row r="494">
      <c r="B494" t="inlineStr">
        <is>
          <t>point_load_test_index</t>
        </is>
      </c>
      <c r="C494" t="inlineStr">
        <is>
          <t>//diggs:parameterName</t>
        </is>
      </c>
      <c r="D494" t="inlineStr">
        <is>
          <t>ancestor::diggs:characteristicProperty</t>
        </is>
      </c>
    </row>
    <row r="495">
      <c r="B495" t="inlineStr">
        <is>
          <t>pore_pressure_equil</t>
        </is>
      </c>
      <c r="C495" t="inlineStr">
        <is>
          <t>//diggs:parameterName</t>
        </is>
      </c>
      <c r="D495" t="inlineStr">
        <is>
          <t>ancestor::diggs:characteristicProperty</t>
        </is>
      </c>
    </row>
    <row r="496">
      <c r="B496" t="inlineStr">
        <is>
          <t>pore_pressure_est</t>
        </is>
      </c>
      <c r="C496" t="inlineStr">
        <is>
          <t>//diggs:parameterName</t>
        </is>
      </c>
      <c r="D496" t="inlineStr">
        <is>
          <t>ancestor::diggs:characteristicProperty</t>
        </is>
      </c>
    </row>
    <row r="497">
      <c r="B497" t="inlineStr">
        <is>
          <t>pore_pressure_u1</t>
        </is>
      </c>
      <c r="C497" t="inlineStr">
        <is>
          <t>//diggs:parameterName</t>
        </is>
      </c>
      <c r="D497" t="inlineStr">
        <is>
          <t>ancestor::diggs:characteristicProperty</t>
        </is>
      </c>
    </row>
    <row r="498">
      <c r="B498" t="inlineStr">
        <is>
          <t>pore_pressure_u2</t>
        </is>
      </c>
      <c r="C498" t="inlineStr">
        <is>
          <t>//diggs:parameterName</t>
        </is>
      </c>
      <c r="D498" t="inlineStr">
        <is>
          <t>ancestor::diggs:characteristicProperty</t>
        </is>
      </c>
    </row>
    <row r="499">
      <c r="B499" t="inlineStr">
        <is>
          <t>pore_pressure_u3</t>
        </is>
      </c>
      <c r="C499" t="inlineStr">
        <is>
          <t>//diggs:parameterName</t>
        </is>
      </c>
      <c r="D499" t="inlineStr">
        <is>
          <t>ancestor::diggs:characteristicProperty</t>
        </is>
      </c>
    </row>
    <row r="500">
      <c r="B500" t="inlineStr">
        <is>
          <t>preconsolidation_pressure</t>
        </is>
      </c>
      <c r="C500" t="inlineStr">
        <is>
          <t>//diggs:parameterName</t>
        </is>
      </c>
      <c r="D500" t="inlineStr">
        <is>
          <t>ancestor::diggs:characteristicProperty</t>
        </is>
      </c>
    </row>
    <row r="501">
      <c r="B501" t="inlineStr">
        <is>
          <t>pressure_filtration_coeff</t>
        </is>
      </c>
      <c r="C501" t="inlineStr">
        <is>
          <t>//diggs:parameterName</t>
        </is>
      </c>
      <c r="D501" t="inlineStr">
        <is>
          <t>ancestor::diggs:characteristicProperty</t>
        </is>
      </c>
    </row>
    <row r="502">
      <c r="B502" t="inlineStr">
        <is>
          <t>pumping_rate</t>
        </is>
      </c>
      <c r="C502" t="inlineStr">
        <is>
          <t>//diggs:parameterName</t>
        </is>
      </c>
      <c r="D502" t="inlineStr">
        <is>
          <t>ancestor::diggs:characteristicProperty</t>
        </is>
      </c>
    </row>
    <row r="503">
      <c r="B503" t="inlineStr">
        <is>
          <t>recompression_index</t>
        </is>
      </c>
      <c r="C503" t="inlineStr">
        <is>
          <t>//diggs:parameterName</t>
        </is>
      </c>
      <c r="D503" t="inlineStr">
        <is>
          <t>ancestor::diggs:characteristicProperty</t>
        </is>
      </c>
    </row>
    <row r="504">
      <c r="B504" t="inlineStr">
        <is>
          <t>redox_potential</t>
        </is>
      </c>
      <c r="C504" t="inlineStr">
        <is>
          <t>//diggs:parameterName</t>
        </is>
      </c>
      <c r="D504" t="inlineStr">
        <is>
          <t>ancestor::diggs:characteristicProperty</t>
        </is>
      </c>
    </row>
    <row r="505">
      <c r="B505" t="inlineStr">
        <is>
          <t>relative_density</t>
        </is>
      </c>
      <c r="C505" t="inlineStr">
        <is>
          <t>//diggs:parameterName</t>
        </is>
      </c>
      <c r="D505" t="inlineStr">
        <is>
          <t>ancestor::diggs:characteristicProperty</t>
        </is>
      </c>
    </row>
    <row r="506">
      <c r="B506" t="inlineStr">
        <is>
          <t>resistivity</t>
        </is>
      </c>
      <c r="C506" t="inlineStr">
        <is>
          <t>//diggs:parameterName</t>
        </is>
      </c>
      <c r="D506" t="inlineStr">
        <is>
          <t>ancestor::diggs:characteristicProperty</t>
        </is>
      </c>
    </row>
    <row r="507">
      <c r="B507" t="inlineStr">
        <is>
          <t>rock_porosity</t>
        </is>
      </c>
      <c r="C507" t="inlineStr">
        <is>
          <t>//diggs:parameterName</t>
        </is>
      </c>
      <c r="D507" t="inlineStr">
        <is>
          <t>ancestor::diggs:characteristicProperty</t>
        </is>
      </c>
    </row>
    <row r="508">
      <c r="B508" t="inlineStr">
        <is>
          <t>schmidt_hardness_value</t>
        </is>
      </c>
      <c r="C508" t="inlineStr">
        <is>
          <t>//diggs:parameterName</t>
        </is>
      </c>
      <c r="D508" t="inlineStr">
        <is>
          <t>ancestor::diggs:characteristicProperty</t>
        </is>
      </c>
    </row>
    <row r="509">
      <c r="B509" t="inlineStr">
        <is>
          <t>sensitivity</t>
        </is>
      </c>
      <c r="C509" t="inlineStr">
        <is>
          <t>//diggs:parameterName</t>
        </is>
      </c>
      <c r="D509" t="inlineStr">
        <is>
          <t>ancestor::diggs:characteristicProperty</t>
        </is>
      </c>
    </row>
    <row r="510">
      <c r="B510" t="inlineStr">
        <is>
          <t>set_time</t>
        </is>
      </c>
      <c r="C510" t="inlineStr">
        <is>
          <t>//diggs:parameterName</t>
        </is>
      </c>
      <c r="D510" t="inlineStr">
        <is>
          <t>ancestor::diggs:characteristicProperty</t>
        </is>
      </c>
    </row>
    <row r="511">
      <c r="B511" t="inlineStr">
        <is>
          <t>shear_strength_drained</t>
        </is>
      </c>
      <c r="C511" t="inlineStr">
        <is>
          <t>//diggs:parameterName</t>
        </is>
      </c>
      <c r="D511" t="inlineStr">
        <is>
          <t>ancestor::diggs:characteristicProperty</t>
        </is>
      </c>
    </row>
    <row r="512">
      <c r="B512" t="inlineStr">
        <is>
          <t>shear_strength_undrained</t>
        </is>
      </c>
      <c r="C512" t="inlineStr">
        <is>
          <t>//diggs:parameterName</t>
        </is>
      </c>
      <c r="D512" t="inlineStr">
        <is>
          <t>ancestor::diggs:characteristicProperty</t>
        </is>
      </c>
    </row>
    <row r="513">
      <c r="B513" t="inlineStr">
        <is>
          <t>shear_strength_undrained_residual</t>
        </is>
      </c>
      <c r="C513" t="inlineStr">
        <is>
          <t>//diggs:parameterName</t>
        </is>
      </c>
      <c r="D513" t="inlineStr">
        <is>
          <t>ancestor::diggs:characteristicProperty</t>
        </is>
      </c>
    </row>
    <row r="514">
      <c r="B514" t="inlineStr">
        <is>
          <t>shear_velocity</t>
        </is>
      </c>
      <c r="C514" t="inlineStr">
        <is>
          <t>//diggs:parameterName</t>
        </is>
      </c>
      <c r="D514" t="inlineStr">
        <is>
          <t>ancestor::diggs:characteristicProperty</t>
        </is>
      </c>
    </row>
    <row r="515">
      <c r="B515" t="inlineStr">
        <is>
          <t>shore_hardness_value</t>
        </is>
      </c>
      <c r="C515" t="inlineStr">
        <is>
          <t>//diggs:parameterName</t>
        </is>
      </c>
      <c r="D515" t="inlineStr">
        <is>
          <t>ancestor::diggs:characteristicProperty</t>
        </is>
      </c>
    </row>
    <row r="516">
      <c r="B516" t="inlineStr">
        <is>
          <t>shrinkage</t>
        </is>
      </c>
      <c r="C516" t="inlineStr">
        <is>
          <t>//diggs:parameterName</t>
        </is>
      </c>
      <c r="D516" t="inlineStr">
        <is>
          <t>ancestor::diggs:characteristicProperty</t>
        </is>
      </c>
    </row>
    <row r="517">
      <c r="B517" t="inlineStr">
        <is>
          <t>shrinkage_limit</t>
        </is>
      </c>
      <c r="C517" t="inlineStr">
        <is>
          <t>//diggs:parameterName</t>
        </is>
      </c>
      <c r="D517" t="inlineStr">
        <is>
          <t>ancestor::diggs:characteristicProperty</t>
        </is>
      </c>
    </row>
    <row r="518">
      <c r="B518" t="inlineStr">
        <is>
          <t>shrinkage_ratio</t>
        </is>
      </c>
      <c r="C518" t="inlineStr">
        <is>
          <t>//diggs:parameterName</t>
        </is>
      </c>
      <c r="D518" t="inlineStr">
        <is>
          <t>ancestor::diggs:characteristicProperty</t>
        </is>
      </c>
    </row>
    <row r="519">
      <c r="B519" t="inlineStr">
        <is>
          <t>slake_durability_index</t>
        </is>
      </c>
      <c r="C519" t="inlineStr">
        <is>
          <t>//diggs:parameterName</t>
        </is>
      </c>
      <c r="D519" t="inlineStr">
        <is>
          <t>ancestor::diggs:characteristicProperty</t>
        </is>
      </c>
    </row>
    <row r="520">
      <c r="B520" t="inlineStr">
        <is>
          <t>sleeve_friction</t>
        </is>
      </c>
      <c r="C520" t="inlineStr">
        <is>
          <t>//diggs:parameterName</t>
        </is>
      </c>
      <c r="D520" t="inlineStr">
        <is>
          <t>ancestor::diggs:characteristicProperty</t>
        </is>
      </c>
    </row>
    <row r="521">
      <c r="B521" t="inlineStr">
        <is>
          <t>slump</t>
        </is>
      </c>
      <c r="C521" t="inlineStr">
        <is>
          <t>//diggs:parameterName</t>
        </is>
      </c>
      <c r="D521" t="inlineStr">
        <is>
          <t>ancestor::diggs:characteristicProperty</t>
        </is>
      </c>
    </row>
    <row r="522">
      <c r="B522" t="inlineStr">
        <is>
          <t>soil_moisture_content</t>
        </is>
      </c>
      <c r="C522" t="inlineStr">
        <is>
          <t>//diggs:parameterName</t>
        </is>
      </c>
      <c r="D522" t="inlineStr">
        <is>
          <t>ancestor::diggs:characteristicProperty</t>
        </is>
      </c>
    </row>
    <row r="523">
      <c r="B523" t="inlineStr">
        <is>
          <t>soil_suction</t>
        </is>
      </c>
      <c r="C523" t="inlineStr">
        <is>
          <t>//diggs:parameterName</t>
        </is>
      </c>
      <c r="D523" t="inlineStr">
        <is>
          <t>ancestor::diggs:characteristicProperty</t>
        </is>
      </c>
    </row>
    <row r="524">
      <c r="B524" t="inlineStr">
        <is>
          <t>soil_type</t>
        </is>
      </c>
      <c r="C524" t="inlineStr">
        <is>
          <t>//diggs:parameterName</t>
        </is>
      </c>
      <c r="D524" t="inlineStr">
        <is>
          <t>ancestor::diggs:characteristicProperty</t>
        </is>
      </c>
    </row>
    <row r="525">
      <c r="B525" t="inlineStr">
        <is>
          <t>specific_gravity_apparent</t>
        </is>
      </c>
      <c r="C525" t="inlineStr">
        <is>
          <t>//diggs:parameterName</t>
        </is>
      </c>
      <c r="D525" t="inlineStr">
        <is>
          <t>ancestor::diggs:characteristicProperty</t>
        </is>
      </c>
    </row>
    <row r="526">
      <c r="B526" t="inlineStr">
        <is>
          <t>specific_gravity_bulk</t>
        </is>
      </c>
      <c r="C526" t="inlineStr">
        <is>
          <t>//diggs:parameterName</t>
        </is>
      </c>
      <c r="D526" t="inlineStr">
        <is>
          <t>ancestor::diggs:characteristicProperty</t>
        </is>
      </c>
    </row>
    <row r="527">
      <c r="B527" t="inlineStr">
        <is>
          <t>specific_gravity_solids</t>
        </is>
      </c>
      <c r="C527" t="inlineStr">
        <is>
          <t>//diggs:parameterName</t>
        </is>
      </c>
      <c r="D527" t="inlineStr">
        <is>
          <t>ancestor::diggs:characteristicProperty</t>
        </is>
      </c>
    </row>
    <row r="528">
      <c r="B528" t="inlineStr">
        <is>
          <t>sulfate_content</t>
        </is>
      </c>
      <c r="C528" t="inlineStr">
        <is>
          <t>//diggs:parameterName</t>
        </is>
      </c>
      <c r="D528" t="inlineStr">
        <is>
          <t>ancestor::diggs:characteristicProperty</t>
        </is>
      </c>
    </row>
    <row r="529">
      <c r="B529" t="inlineStr">
        <is>
          <t>syneresis</t>
        </is>
      </c>
      <c r="C529" t="inlineStr">
        <is>
          <t>//diggs:parameterName</t>
        </is>
      </c>
      <c r="D529" t="inlineStr">
        <is>
          <t>ancestor::diggs:characteristicProperty</t>
        </is>
      </c>
    </row>
    <row r="530">
      <c r="B530" t="inlineStr">
        <is>
          <t>syneresis_surface_area_normalized</t>
        </is>
      </c>
      <c r="C530" t="inlineStr">
        <is>
          <t>//diggs:parameterName</t>
        </is>
      </c>
      <c r="D530" t="inlineStr">
        <is>
          <t>ancestor::diggs:characteristicProperty</t>
        </is>
      </c>
    </row>
    <row r="531">
      <c r="B531" t="inlineStr">
        <is>
          <t>t50</t>
        </is>
      </c>
      <c r="C531" t="inlineStr">
        <is>
          <t>//diggs:parameterName</t>
        </is>
      </c>
      <c r="D531" t="inlineStr">
        <is>
          <t>ancestor::diggs:characteristicProperty</t>
        </is>
      </c>
    </row>
    <row r="532">
      <c r="B532" t="inlineStr">
        <is>
          <t>temperature</t>
        </is>
      </c>
      <c r="C532" t="inlineStr">
        <is>
          <t>//diggs:parameterName</t>
        </is>
      </c>
      <c r="D532" t="inlineStr">
        <is>
          <t>ancestor::diggs:characteristicProperty</t>
        </is>
      </c>
    </row>
    <row r="533">
      <c r="B533" t="inlineStr">
        <is>
          <t>ten_percent_fines_value</t>
        </is>
      </c>
      <c r="C533" t="inlineStr">
        <is>
          <t>//diggs:parameterName</t>
        </is>
      </c>
      <c r="D533" t="inlineStr">
        <is>
          <t>ancestor::diggs:characteristicProperty</t>
        </is>
      </c>
    </row>
    <row r="534">
      <c r="B534" t="inlineStr">
        <is>
          <t>tensile_strength</t>
        </is>
      </c>
      <c r="C534" t="inlineStr">
        <is>
          <t>//diggs:parameterName</t>
        </is>
      </c>
      <c r="D534" t="inlineStr">
        <is>
          <t>ancestor::diggs:characteristicProperty</t>
        </is>
      </c>
    </row>
    <row r="535">
      <c r="B535" t="inlineStr">
        <is>
          <t>thrust</t>
        </is>
      </c>
      <c r="C535" t="inlineStr">
        <is>
          <t>//diggs:parameterName</t>
        </is>
      </c>
      <c r="D535" t="inlineStr">
        <is>
          <t>ancestor::diggs:characteristicProperty</t>
        </is>
      </c>
    </row>
    <row r="536">
      <c r="B536" t="inlineStr">
        <is>
          <t>time</t>
        </is>
      </c>
      <c r="C536" t="inlineStr">
        <is>
          <t>//diggs:parameterName</t>
        </is>
      </c>
      <c r="D536" t="inlineStr">
        <is>
          <t>ancestor::diggs:characteristicProperty</t>
        </is>
      </c>
    </row>
    <row r="537">
      <c r="B537" t="inlineStr">
        <is>
          <t>tip_resistance</t>
        </is>
      </c>
      <c r="C537" t="inlineStr">
        <is>
          <t>//diggs:parameterName</t>
        </is>
      </c>
      <c r="D537" t="inlineStr">
        <is>
          <t>ancestor::diggs:characteristicProperty</t>
        </is>
      </c>
    </row>
    <row r="538">
      <c r="B538" t="inlineStr">
        <is>
          <t>tip_resistance_corrected</t>
        </is>
      </c>
      <c r="C538" t="inlineStr">
        <is>
          <t>//diggs:parameterName</t>
        </is>
      </c>
      <c r="D538" t="inlineStr">
        <is>
          <t>ancestor::diggs:characteristicProperty</t>
        </is>
      </c>
    </row>
    <row r="539">
      <c r="B539" t="inlineStr">
        <is>
          <t>torque</t>
        </is>
      </c>
      <c r="C539" t="inlineStr">
        <is>
          <t>//diggs:parameterName</t>
        </is>
      </c>
      <c r="D539" t="inlineStr">
        <is>
          <t>ancestor::diggs:characteristicProperty</t>
        </is>
      </c>
    </row>
    <row r="540">
      <c r="B540" t="inlineStr">
        <is>
          <t>transducer_pressure</t>
        </is>
      </c>
      <c r="C540" t="inlineStr">
        <is>
          <t>//diggs:parameterName</t>
        </is>
      </c>
      <c r="D540" t="inlineStr">
        <is>
          <t>ancestor::diggs:characteristicProperty</t>
        </is>
      </c>
    </row>
    <row r="541">
      <c r="B541" t="inlineStr">
        <is>
          <t>u50</t>
        </is>
      </c>
      <c r="C541" t="inlineStr">
        <is>
          <t>//diggs:parameterName</t>
        </is>
      </c>
      <c r="D541" t="inlineStr">
        <is>
          <t>ancestor::diggs:characteristicProperty</t>
        </is>
      </c>
    </row>
    <row r="542">
      <c r="B542" t="inlineStr">
        <is>
          <t>uscs_group_name</t>
        </is>
      </c>
      <c r="C542" t="inlineStr">
        <is>
          <t>//diggs:parameterName</t>
        </is>
      </c>
      <c r="D542" t="inlineStr">
        <is>
          <t>ancestor::diggs:characteristicProperty</t>
        </is>
      </c>
    </row>
    <row r="543">
      <c r="B543" t="inlineStr">
        <is>
          <t>uscs_symbol</t>
        </is>
      </c>
      <c r="C543" t="inlineStr">
        <is>
          <t>//diggs:parameterName</t>
        </is>
      </c>
      <c r="D543" t="inlineStr">
        <is>
          <t>ancestor::diggs:characteristicProperty</t>
        </is>
      </c>
    </row>
    <row r="544">
      <c r="B544" t="inlineStr">
        <is>
          <t>uscs_symbol_425</t>
        </is>
      </c>
      <c r="C544" t="inlineStr">
        <is>
          <t>//diggs:parameterName</t>
        </is>
      </c>
      <c r="D544" t="inlineStr">
        <is>
          <t>ancestor::diggs:characteristicProperty</t>
        </is>
      </c>
    </row>
    <row r="545">
      <c r="B545" t="inlineStr">
        <is>
          <t>vertical_stress_total</t>
        </is>
      </c>
      <c r="C545" t="inlineStr">
        <is>
          <t>//diggs:parameterName</t>
        </is>
      </c>
      <c r="D545" t="inlineStr">
        <is>
          <t>ancestor::diggs:characteristicProperty</t>
        </is>
      </c>
    </row>
    <row r="546">
      <c r="B546" t="inlineStr">
        <is>
          <t>volume</t>
        </is>
      </c>
      <c r="C546" t="inlineStr">
        <is>
          <t>//diggs:parameterName</t>
        </is>
      </c>
      <c r="D546" t="inlineStr">
        <is>
          <t>ancestor::diggs:characteristicProperty</t>
        </is>
      </c>
    </row>
    <row r="547">
      <c r="B547" t="inlineStr">
        <is>
          <t>volume_loss</t>
        </is>
      </c>
      <c r="C547" t="inlineStr">
        <is>
          <t>//diggs:parameterName</t>
        </is>
      </c>
      <c r="D547" t="inlineStr">
        <is>
          <t>ancestor::diggs:characteristicProperty</t>
        </is>
      </c>
    </row>
    <row r="548">
      <c r="B548" t="inlineStr">
        <is>
          <t>volumetric_shrinkage</t>
        </is>
      </c>
      <c r="C548" t="inlineStr">
        <is>
          <t>//diggs:parameterName</t>
        </is>
      </c>
      <c r="D548" t="inlineStr">
        <is>
          <t>ancestor::diggs:characteristicProperty</t>
        </is>
      </c>
    </row>
    <row r="549">
      <c r="B549" t="inlineStr">
        <is>
          <t>washout_result</t>
        </is>
      </c>
      <c r="C549" t="inlineStr">
        <is>
          <t>//diggs:parameterName</t>
        </is>
      </c>
      <c r="D549" t="inlineStr">
        <is>
          <t>ancestor::diggs:characteristicProperty</t>
        </is>
      </c>
    </row>
    <row r="550">
      <c r="B550" t="inlineStr">
        <is>
          <t>water_content_natural</t>
        </is>
      </c>
      <c r="C550" t="inlineStr">
        <is>
          <t>//diggs:parameterName</t>
        </is>
      </c>
      <c r="D550" t="inlineStr">
        <is>
          <t>ancestor::diggs:characteristicProperty</t>
        </is>
      </c>
    </row>
    <row r="551">
      <c r="B551" t="inlineStr">
        <is>
          <t>water_content_optimum</t>
        </is>
      </c>
      <c r="C551" t="inlineStr">
        <is>
          <t>//diggs:parameterName</t>
        </is>
      </c>
      <c r="D551" t="inlineStr">
        <is>
          <t>ancestor::diggs:characteristicProperty</t>
        </is>
      </c>
    </row>
    <row r="552">
      <c r="B552" t="inlineStr">
        <is>
          <t>water_depth</t>
        </is>
      </c>
      <c r="C552" t="inlineStr">
        <is>
          <t>//diggs:parameterName</t>
        </is>
      </c>
      <c r="D552" t="inlineStr">
        <is>
          <t>ancestor::diggs:characteristicProperty</t>
        </is>
      </c>
    </row>
    <row r="553">
      <c r="B553" t="inlineStr">
        <is>
          <t>water_elev</t>
        </is>
      </c>
      <c r="C553" t="inlineStr">
        <is>
          <t>//diggs:parameterName</t>
        </is>
      </c>
      <c r="D553" t="inlineStr">
        <is>
          <t>ancestor::diggs:characteristicProperty</t>
        </is>
      </c>
    </row>
    <row r="554">
      <c r="B554" t="inlineStr">
        <is>
          <t>easily_oxidized_carbon</t>
        </is>
      </c>
      <c r="C554" t="inlineStr">
        <is>
          <t>//diggs:parameterName</t>
        </is>
      </c>
      <c r="D554" t="inlineStr">
        <is>
          <t>ancestor::diggs:characteristicProperty</t>
        </is>
      </c>
    </row>
    <row r="555">
      <c r="B555" t="inlineStr">
        <is>
          <t>total_carbon</t>
        </is>
      </c>
      <c r="C555" t="inlineStr">
        <is>
          <t>//diggs:parameterName</t>
        </is>
      </c>
      <c r="D555" t="inlineStr">
        <is>
          <t>ancestor::diggs:characteristicProperty</t>
        </is>
      </c>
    </row>
    <row r="556">
      <c r="B556" t="inlineStr">
        <is>
          <t>easily_oxidized_matter</t>
        </is>
      </c>
      <c r="C556" t="inlineStr">
        <is>
          <t>//diggs:parameterName</t>
        </is>
      </c>
      <c r="D556" t="inlineStr">
        <is>
          <t>ancestor::diggs:characteristicProperty</t>
        </is>
      </c>
    </row>
    <row r="557">
      <c r="B557" t="inlineStr">
        <is>
          <t>total_organic_matter</t>
        </is>
      </c>
      <c r="C557" t="inlineStr">
        <is>
          <t>//diggs:parameterName</t>
        </is>
      </c>
      <c r="D557" t="inlineStr">
        <is>
          <t>ancestor::diggs:characteristicProperty</t>
        </is>
      </c>
    </row>
    <row r="558">
      <c r="B558" t="inlineStr">
        <is>
          <t>free_swell_value</t>
        </is>
      </c>
      <c r="C558" t="inlineStr">
        <is>
          <t>//diggs:parameterName</t>
        </is>
      </c>
      <c r="D558" t="inlineStr">
        <is>
          <t>ancestor::diggs:characteristicProperty</t>
        </is>
      </c>
    </row>
    <row r="559">
      <c r="B559" t="inlineStr">
        <is>
          <t>swell_pressure</t>
        </is>
      </c>
      <c r="C559" t="inlineStr">
        <is>
          <t>//diggs:parameterName</t>
        </is>
      </c>
      <c r="D559" t="inlineStr">
        <is>
          <t>ancestor::diggs:characteristicProperty</t>
        </is>
      </c>
    </row>
    <row r="560">
      <c r="B560" t="inlineStr">
        <is>
          <t>d_value</t>
        </is>
      </c>
      <c r="C560" t="inlineStr">
        <is>
          <t>//diggs:parameterName</t>
        </is>
      </c>
      <c r="D560" t="inlineStr">
        <is>
          <t>ancestor::diggs:characteristicProperty</t>
        </is>
      </c>
    </row>
    <row r="561">
      <c r="B561" t="inlineStr">
        <is>
          <t>c_value</t>
        </is>
      </c>
      <c r="C561" t="inlineStr">
        <is>
          <t>//diggs:parameterName</t>
        </is>
      </c>
      <c r="D561" t="inlineStr">
        <is>
          <t>ancestor::diggs:characteristicProperty</t>
        </is>
      </c>
    </row>
    <row r="562">
      <c r="B562" t="inlineStr">
        <is>
          <t>water_content_difference</t>
        </is>
      </c>
      <c r="C562" t="inlineStr">
        <is>
          <t>//diggs:parameterName</t>
        </is>
      </c>
      <c r="D562" t="inlineStr">
        <is>
          <t>ancestor::diggs:characteristicProperty</t>
        </is>
      </c>
    </row>
    <row r="563">
      <c r="B563" t="inlineStr">
        <is>
          <t>d84</t>
        </is>
      </c>
      <c r="C563" t="inlineStr">
        <is>
          <t>//diggs:parameterName</t>
        </is>
      </c>
      <c r="D563" t="inlineStr">
        <is>
          <t>ancestor::diggs:characteristicProperty</t>
        </is>
      </c>
    </row>
    <row r="564">
      <c r="B564" t="inlineStr">
        <is>
          <t>d90</t>
        </is>
      </c>
      <c r="C564" t="inlineStr">
        <is>
          <t>//diggs:parameterName</t>
        </is>
      </c>
      <c r="D564" t="inlineStr">
        <is>
          <t>ancestor::diggs:characteristicProperty</t>
        </is>
      </c>
    </row>
    <row r="565">
      <c r="B565" t="inlineStr">
        <is>
          <t>percent_coarse_gravel</t>
        </is>
      </c>
      <c r="C565" t="inlineStr">
        <is>
          <t>//diggs:parameterName</t>
        </is>
      </c>
      <c r="D565" t="inlineStr">
        <is>
          <t>ancestor::diggs:characteristicProperty</t>
        </is>
      </c>
    </row>
    <row r="566">
      <c r="B566" t="inlineStr">
        <is>
          <t>percent_fine_gravel</t>
        </is>
      </c>
      <c r="C566" t="inlineStr">
        <is>
          <t>//diggs:parameterName</t>
        </is>
      </c>
      <c r="D566" t="inlineStr">
        <is>
          <t>ancestor::diggs:characteristicProperty</t>
        </is>
      </c>
    </row>
    <row r="567">
      <c r="B567" t="inlineStr">
        <is>
          <t>percent_coarse_sand</t>
        </is>
      </c>
      <c r="C567" t="inlineStr">
        <is>
          <t>//diggs:parameterName</t>
        </is>
      </c>
      <c r="D567" t="inlineStr">
        <is>
          <t>ancestor::diggs:characteristicProperty</t>
        </is>
      </c>
    </row>
    <row r="568">
      <c r="B568" t="inlineStr">
        <is>
          <t>percent_medium_sand</t>
        </is>
      </c>
      <c r="C568" t="inlineStr">
        <is>
          <t>//diggs:parameterName</t>
        </is>
      </c>
      <c r="D568" t="inlineStr">
        <is>
          <t>ancestor::diggs:characteristicProperty</t>
        </is>
      </c>
    </row>
    <row r="569">
      <c r="B569" t="inlineStr">
        <is>
          <t>percent_fine_sand</t>
        </is>
      </c>
      <c r="C569" t="inlineStr">
        <is>
          <t>//diggs:parameterName</t>
        </is>
      </c>
      <c r="D569" t="inlineStr">
        <is>
          <t>ancestor::diggs:characteristicProperty</t>
        </is>
      </c>
    </row>
    <row r="570">
      <c r="B570" t="inlineStr">
        <is>
          <t>aashto_percent_gravel</t>
        </is>
      </c>
      <c r="C570" t="inlineStr">
        <is>
          <t>//diggs:parameterName</t>
        </is>
      </c>
      <c r="D570" t="inlineStr">
        <is>
          <t>ancestor::diggs:characteristicProperty</t>
        </is>
      </c>
    </row>
    <row r="571">
      <c r="B571" t="inlineStr">
        <is>
          <t>aashto_percent_coarse_sand</t>
        </is>
      </c>
      <c r="C571" t="inlineStr">
        <is>
          <t>//diggs:parameterName</t>
        </is>
      </c>
      <c r="D571" t="inlineStr">
        <is>
          <t>ancestor::diggs:characteristicProperty</t>
        </is>
      </c>
    </row>
    <row r="572">
      <c r="B572" t="inlineStr">
        <is>
          <t>aashto_percent_fine_sand</t>
        </is>
      </c>
      <c r="C572" t="inlineStr">
        <is>
          <t>//diggs:parameterName</t>
        </is>
      </c>
      <c r="D572" t="inlineStr">
        <is>
          <t>ancestor::diggs:characteristicProperty</t>
        </is>
      </c>
    </row>
    <row r="573">
      <c r="B573" t="inlineStr">
        <is>
          <t>settlement</t>
        </is>
      </c>
      <c r="C573" t="inlineStr">
        <is>
          <t>//diggs:parameterName</t>
        </is>
      </c>
      <c r="D573" t="inlineStr">
        <is>
          <t>ancestor::diggs:characteristicProperty</t>
        </is>
      </c>
    </row>
    <row r="574">
      <c r="B574" t="inlineStr">
        <is>
          <t>differential_settlement</t>
        </is>
      </c>
      <c r="C574" t="inlineStr">
        <is>
          <t>//diggs:parameterName</t>
        </is>
      </c>
      <c r="D574" t="inlineStr">
        <is>
          <t>ancestor::diggs:characteristicProperty</t>
        </is>
      </c>
    </row>
    <row r="575">
      <c r="B575" t="inlineStr">
        <is>
          <t>settlement_reduction_ratio</t>
        </is>
      </c>
      <c r="C575" t="inlineStr">
        <is>
          <t>//diggs:parameterName</t>
        </is>
      </c>
      <c r="D575" t="inlineStr">
        <is>
          <t>ancestor::diggs:characteristicProperty</t>
        </is>
      </c>
    </row>
    <row r="576">
      <c r="B576" t="inlineStr">
        <is>
          <t>pore_pressure</t>
        </is>
      </c>
      <c r="C576" t="inlineStr">
        <is>
          <t>//diggs:parameterName</t>
        </is>
      </c>
      <c r="D576" t="inlineStr">
        <is>
          <t>ancestor::diggs:characteristicProperty</t>
        </is>
      </c>
    </row>
    <row r="577">
      <c r="B577" t="inlineStr">
        <is>
          <t>reinforcement_load_fraction</t>
        </is>
      </c>
      <c r="C577" t="inlineStr">
        <is>
          <t>//diggs:parameterName</t>
        </is>
      </c>
      <c r="D577" t="inlineStr">
        <is>
          <t>ancestor::diggs:characteristicProperty</t>
        </is>
      </c>
    </row>
    <row r="578">
      <c r="B578" t="inlineStr">
        <is>
          <t>critical_creep_load</t>
        </is>
      </c>
      <c r="C578" t="inlineStr">
        <is>
          <t>//diggs:parameterName</t>
        </is>
      </c>
      <c r="D578" t="inlineStr">
        <is>
          <t>ancestor::diggs:characteristicProperty</t>
        </is>
      </c>
    </row>
    <row r="579">
      <c r="B579" t="inlineStr">
        <is>
          <t>modulus_of_subgrade_reaction</t>
        </is>
      </c>
      <c r="C579" t="inlineStr">
        <is>
          <t>//diggs:parameterName</t>
        </is>
      </c>
      <c r="D579" t="inlineStr">
        <is>
          <t>ancestor::diggs:characteristicProperty</t>
        </is>
      </c>
    </row>
    <row r="580">
      <c r="B580" t="inlineStr">
        <is>
          <t>deformation_modulus_first_load</t>
        </is>
      </c>
      <c r="C580" t="inlineStr">
        <is>
          <t>//diggs:parameterName</t>
        </is>
      </c>
      <c r="D580" t="inlineStr">
        <is>
          <t>ancestor::diggs:characteristicProperty</t>
        </is>
      </c>
    </row>
    <row r="581">
      <c r="B581" t="inlineStr">
        <is>
          <t>deformation_modulus_second_load</t>
        </is>
      </c>
      <c r="C581" t="inlineStr">
        <is>
          <t>//diggs:parameterName</t>
        </is>
      </c>
      <c r="D581" t="inlineStr">
        <is>
          <t>ancestor::diggs:characteristicProperty</t>
        </is>
      </c>
    </row>
    <row r="582">
      <c r="B582" t="inlineStr">
        <is>
          <t>defect_depth</t>
        </is>
      </c>
      <c r="C582" t="inlineStr">
        <is>
          <t>//diggs:parameterName</t>
        </is>
      </c>
      <c r="D582" t="inlineStr">
        <is>
          <t>ancestor::diggs:characteristicProperty</t>
        </is>
      </c>
    </row>
    <row r="583">
      <c r="B583" t="inlineStr">
        <is>
          <t>effective_radius</t>
        </is>
      </c>
      <c r="C583" t="inlineStr">
        <is>
          <t>//diggs:parameterName</t>
        </is>
      </c>
      <c r="D583" t="inlineStr">
        <is>
          <t>ancestor::diggs:characteristicProperty</t>
        </is>
      </c>
    </row>
    <row r="584">
      <c r="B584" t="inlineStr">
        <is>
          <t>lateral_deflection</t>
        </is>
      </c>
      <c r="C584" t="inlineStr">
        <is>
          <t>//diggs:parameterName</t>
        </is>
      </c>
      <c r="D584" t="inlineStr">
        <is>
          <t>ancestor::diggs:characteristicProperty</t>
        </is>
      </c>
    </row>
    <row r="585">
      <c r="B585" t="inlineStr">
        <is>
          <t>magnesium_content</t>
        </is>
      </c>
      <c r="C585" t="inlineStr">
        <is>
          <t>//diggs:parameterName</t>
        </is>
      </c>
      <c r="D585" t="inlineStr">
        <is>
          <t>ancestor::diggs:characteristicProperty</t>
        </is>
      </c>
    </row>
    <row r="586">
      <c r="B586" t="inlineStr">
        <is>
          <t>cbr</t>
        </is>
      </c>
      <c r="C586" t="inlineStr">
        <is>
          <t>//diggs:parameterName</t>
        </is>
      </c>
      <c r="D586" t="inlineStr">
        <is>
          <t>ancestor::diggs:characteristicProperty</t>
        </is>
      </c>
    </row>
    <row r="587">
      <c r="B587" t="inlineStr">
        <is>
          <t>cbr_at_95_pct_mdd</t>
        </is>
      </c>
      <c r="C587" t="inlineStr">
        <is>
          <t>//diggs:parameterName</t>
        </is>
      </c>
      <c r="D587" t="inlineStr">
        <is>
          <t>ancestor::diggs:characteristicProperty</t>
        </is>
      </c>
    </row>
    <row r="588">
      <c r="B588" t="inlineStr">
        <is>
          <t>cbr_at_90_pct_mdd</t>
        </is>
      </c>
      <c r="C588" t="inlineStr">
        <is>
          <t>//diggs:parameterName</t>
        </is>
      </c>
      <c r="D588" t="inlineStr">
        <is>
          <t>ancestor::diggs:characteristicProperty</t>
        </is>
      </c>
    </row>
    <row r="589">
      <c r="B589" t="inlineStr">
        <is>
          <t>cbr_at_98_100_pct_mdd</t>
        </is>
      </c>
      <c r="C589" t="inlineStr">
        <is>
          <t>//diggs:parameterName</t>
        </is>
      </c>
      <c r="D589" t="inlineStr">
        <is>
          <t>ancestor::diggs:characteristicProperty</t>
        </is>
      </c>
    </row>
    <row r="590">
      <c r="B590" t="inlineStr">
        <is>
          <t>cbr_as_compacted</t>
        </is>
      </c>
      <c r="C590" t="inlineStr">
        <is>
          <t>//diggs:parameterName</t>
        </is>
      </c>
      <c r="D590" t="inlineStr">
        <is>
          <t>ancestor::diggs:characteristicProperty</t>
        </is>
      </c>
    </row>
    <row r="591">
      <c r="B591" t="inlineStr">
        <is>
          <t>apparent_resistivity_min</t>
        </is>
      </c>
      <c r="C591" t="inlineStr">
        <is>
          <t>//diggs:parameterName</t>
        </is>
      </c>
      <c r="D591" t="inlineStr">
        <is>
          <t>ancestor::diggs:characteristicProperty</t>
        </is>
      </c>
    </row>
    <row r="592">
      <c r="B592" t="inlineStr">
        <is>
          <t>apparent_resistivity_max</t>
        </is>
      </c>
      <c r="C592" t="inlineStr">
        <is>
          <t>//diggs:parameterName</t>
        </is>
      </c>
      <c r="D592" t="inlineStr">
        <is>
          <t>ancestor::diggs:characteristicProperty</t>
        </is>
      </c>
    </row>
    <row r="593">
      <c r="B593" t="inlineStr">
        <is>
          <t>corrosivity_classification_palmer</t>
        </is>
      </c>
      <c r="C593" t="inlineStr">
        <is>
          <t>//diggs:parameterName</t>
        </is>
      </c>
      <c r="D593" t="inlineStr">
        <is>
          <t>ancestor::diggs:characteristicProperty</t>
        </is>
      </c>
    </row>
    <row r="594">
      <c r="B594" t="inlineStr">
        <is>
          <t>thermal_conductivity</t>
        </is>
      </c>
      <c r="C594" t="inlineStr">
        <is>
          <t>//diggs:parameterName</t>
        </is>
      </c>
      <c r="D594" t="inlineStr">
        <is>
          <t>ancestor::diggs:characteristicProperty</t>
        </is>
      </c>
    </row>
    <row r="595">
      <c r="B595" t="inlineStr">
        <is>
          <t>thermal_resistivity</t>
        </is>
      </c>
      <c r="C595" t="inlineStr">
        <is>
          <t>//diggs:parameterName</t>
        </is>
      </c>
      <c r="D595" t="inlineStr">
        <is>
          <t>ancestor::diggs:characteristicProperty</t>
        </is>
      </c>
    </row>
    <row r="596">
      <c r="B596" t="inlineStr">
        <is>
          <t>sulfate_water_soluble</t>
        </is>
      </c>
      <c r="C596" t="inlineStr">
        <is>
          <t>//diggs:parameterName</t>
        </is>
      </c>
      <c r="D596" t="inlineStr">
        <is>
          <t>ancestor::diggs:characteristicProperty</t>
        </is>
      </c>
    </row>
    <row r="597">
      <c r="B597" t="inlineStr">
        <is>
          <t>sulfate_acid_soluble</t>
        </is>
      </c>
      <c r="C597" t="inlineStr">
        <is>
          <t>//diggs:parameterName</t>
        </is>
      </c>
      <c r="D597" t="inlineStr">
        <is>
          <t>ancestor::diggs:characteristicProperty</t>
        </is>
      </c>
    </row>
    <row r="598">
      <c r="B598" t="inlineStr">
        <is>
          <t>chloride_water_soluble</t>
        </is>
      </c>
      <c r="C598" t="inlineStr">
        <is>
          <t>//diggs:parameterName</t>
        </is>
      </c>
      <c r="D598" t="inlineStr">
        <is>
          <t>ancestor::diggs:characteristicProperty</t>
        </is>
      </c>
    </row>
    <row r="599">
      <c r="B599" t="inlineStr">
        <is>
          <t>chloride_acid_soluble</t>
        </is>
      </c>
      <c r="C599" t="inlineStr">
        <is>
          <t>//diggs:parameterName</t>
        </is>
      </c>
      <c r="D599" t="inlineStr">
        <is>
          <t>ancestor::diggs:characteristicProperty</t>
        </is>
      </c>
    </row>
    <row r="600">
      <c r="B600" t="inlineStr">
        <is>
          <t>magnesium_water_soluble</t>
        </is>
      </c>
      <c r="C600" t="inlineStr">
        <is>
          <t>//diggs:parameterName</t>
        </is>
      </c>
      <c r="D600" t="inlineStr">
        <is>
          <t>ancestor::diggs:characteristicProperty</t>
        </is>
      </c>
    </row>
    <row r="601">
      <c r="B601" t="inlineStr">
        <is>
          <t>total_organic_carbon</t>
        </is>
      </c>
      <c r="C601" t="inlineStr">
        <is>
          <t>//diggs:parameterName</t>
        </is>
      </c>
      <c r="D601" t="inlineStr">
        <is>
          <t>ancestor::diggs:characteristicProperty</t>
        </is>
      </c>
    </row>
    <row r="602">
      <c r="B602" t="inlineStr">
        <is>
          <t>carbonate_content</t>
        </is>
      </c>
      <c r="C602" t="inlineStr">
        <is>
          <t>//diggs:parameterName</t>
        </is>
      </c>
      <c r="D602" t="inlineStr">
        <is>
          <t>ancestor::diggs:characteristicProperty</t>
        </is>
      </c>
    </row>
    <row r="603">
      <c r="B603" t="inlineStr">
        <is>
          <t>total_sulfur</t>
        </is>
      </c>
      <c r="C603" t="inlineStr">
        <is>
          <t>//diggs:parameterName</t>
        </is>
      </c>
      <c r="D603" t="inlineStr">
        <is>
          <t>ancestor::diggs:characteristicProperty</t>
        </is>
      </c>
    </row>
    <row r="604">
      <c r="B604" t="inlineStr">
        <is>
          <t>total_sulfide</t>
        </is>
      </c>
      <c r="C604" t="inlineStr">
        <is>
          <t>//diggs:parameterName</t>
        </is>
      </c>
      <c r="D604" t="inlineStr">
        <is>
          <t>ancestor::diggs:characteristicProperty</t>
        </is>
      </c>
    </row>
    <row r="605">
      <c r="B605" t="inlineStr">
        <is>
          <t>sulfide_acid_soluble</t>
        </is>
      </c>
      <c r="C605" t="inlineStr">
        <is>
          <t>//diggs:parameterName</t>
        </is>
      </c>
      <c r="D605" t="inlineStr">
        <is>
          <t>ancestor::diggs:characteristicProperty</t>
        </is>
      </c>
    </row>
    <row r="606">
      <c r="B606" t="inlineStr">
        <is>
          <t>total_dissolved_solids</t>
        </is>
      </c>
      <c r="C606" t="inlineStr">
        <is>
          <t>//diggs:parameterName</t>
        </is>
      </c>
      <c r="D606" t="inlineStr">
        <is>
          <t>ancestor::diggs:characteristicProperty</t>
        </is>
      </c>
    </row>
    <row r="607">
      <c r="B607" t="inlineStr">
        <is>
          <t>dry_unit_weight</t>
        </is>
      </c>
      <c r="C607" t="inlineStr">
        <is>
          <t>//diggs:parameterName</t>
        </is>
      </c>
      <c r="D607" t="inlineStr">
        <is>
          <t>ancestor::diggs:characteristicProperty</t>
        </is>
      </c>
    </row>
    <row r="608">
      <c r="B608" t="inlineStr">
        <is>
          <t>unit_weight_max</t>
        </is>
      </c>
      <c r="C608" t="inlineStr">
        <is>
          <t>//diggs:parameterName</t>
        </is>
      </c>
      <c r="D608" t="inlineStr">
        <is>
          <t>ancestor::diggs:characteristicProperty</t>
        </is>
      </c>
    </row>
    <row r="609">
      <c r="B609" t="inlineStr">
        <is>
          <t>maximum_axial_load</t>
        </is>
      </c>
      <c r="C609" t="inlineStr">
        <is>
          <t>//diggs:propertyClass</t>
        </is>
      </c>
      <c r="D609" t="inlineStr">
        <is>
          <t>ancestor::diggs:measurement//diggs:procedure/diggs:UnconfinedCompressiveStrengthTest</t>
        </is>
      </c>
    </row>
    <row r="610">
      <c r="B610" t="inlineStr">
        <is>
          <t>deformation_modulus_e50</t>
        </is>
      </c>
      <c r="C610" t="inlineStr">
        <is>
          <t>//diggs:propertyClass</t>
        </is>
      </c>
      <c r="D610" t="inlineStr">
        <is>
          <t>ancestor::diggs:measurement//diggs:procedure/diggs:UnconfinedCompressiveStrengthTest</t>
        </is>
      </c>
    </row>
    <row r="611">
      <c r="B611" t="inlineStr">
        <is>
          <t>length_diameter_correction_factor</t>
        </is>
      </c>
      <c r="C611" t="inlineStr">
        <is>
          <t>//diggs:propertyClass</t>
        </is>
      </c>
      <c r="D611" t="inlineStr">
        <is>
          <t>ancestor::diggs:measurement//diggs:procedure/diggs:UnconfinedCompressiveStrengthTest</t>
        </is>
      </c>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88"/>
  <sheetViews>
    <sheetView topLeftCell="A123" zoomScale="130" zoomScaleNormal="130" workbookViewId="0">
      <selection activeCell="E150" sqref="E150"/>
    </sheetView>
  </sheetViews>
  <sheetFormatPr baseColWidth="10" defaultColWidth="11" defaultRowHeight="16"/>
  <cols>
    <col width="21.1640625" customWidth="1" min="2" max="2"/>
    <col width="54.1640625" customWidth="1" min="3" max="3"/>
    <col width="35.6640625" bestFit="1" customWidth="1" min="4" max="4"/>
    <col width="10.6640625" customWidth="1" min="5" max="5"/>
    <col hidden="1" width="11" customWidth="1" min="6" max="6"/>
  </cols>
  <sheetData>
    <row r="1">
      <c r="A1" t="inlineStr">
        <is>
          <t>DataType</t>
        </is>
      </c>
      <c r="B1" t="inlineStr">
        <is>
          <t>DataType2</t>
        </is>
      </c>
      <c r="C1" t="inlineStr">
        <is>
          <t>QuantityClass</t>
        </is>
      </c>
      <c r="D1" t="inlineStr">
        <is>
          <t>Column2</t>
        </is>
      </c>
    </row>
    <row r="2">
      <c r="B2" t="inlineStr">
        <is>
          <t>anyURI</t>
        </is>
      </c>
      <c r="C2" t="inlineStr">
        <is>
          <t>absorbed dose</t>
        </is>
      </c>
      <c r="E2">
        <f>VLOOKUP(C2,J$2:J$300,1,FALSE)</f>
        <v/>
      </c>
      <c r="F2">
        <f>SUBSTITUTE(PROPER(LOWER(C2))," ","")</f>
        <v/>
      </c>
      <c r="J2" t="inlineStr">
        <is>
          <t>(amount of substance per time) per area</t>
        </is>
      </c>
    </row>
    <row r="3">
      <c r="B3" t="inlineStr">
        <is>
          <t>base64binary</t>
        </is>
      </c>
      <c r="C3" t="inlineStr">
        <is>
          <t>activity [of radioactivity]</t>
        </is>
      </c>
      <c r="E3">
        <f>VLOOKUP(C3,J$2:J$300,1,FALSE)</f>
        <v/>
      </c>
      <c r="F3">
        <f>SUBSTITUTE(PROPER(LOWER(C3))," ","")</f>
        <v/>
      </c>
      <c r="J3" t="inlineStr">
        <is>
          <t>(energy per mass) per time</t>
        </is>
      </c>
    </row>
    <row r="4">
      <c r="B4" s="9" t="inlineStr">
        <is>
          <t>boolean</t>
        </is>
      </c>
      <c r="C4" t="inlineStr">
        <is>
          <t>amount of substance</t>
        </is>
      </c>
      <c r="E4">
        <f>VLOOKUP(C4,J$2:J$300,1,FALSE)</f>
        <v/>
      </c>
      <c r="F4">
        <f>SUBSTITUTE(PROPER(LOWER(C4))," ","")</f>
        <v/>
      </c>
      <c r="J4" t="inlineStr">
        <is>
          <t>(mass per time) per area</t>
        </is>
      </c>
    </row>
    <row r="5">
      <c r="B5" s="9" t="inlineStr">
        <is>
          <t>byte</t>
        </is>
      </c>
      <c r="C5" t="inlineStr">
        <is>
          <t>amount of substance per amount of substance</t>
        </is>
      </c>
      <c r="E5">
        <f>VLOOKUP(C5,J$2:J$300,1,FALSE)</f>
        <v/>
      </c>
      <c r="F5">
        <f>SUBSTITUTE(PROPER(LOWER(C5))," ","")</f>
        <v/>
      </c>
      <c r="J5" t="inlineStr">
        <is>
          <t>(mass per time) per length</t>
        </is>
      </c>
    </row>
    <row r="6">
      <c r="B6" t="inlineStr">
        <is>
          <t>date</t>
        </is>
      </c>
      <c r="C6" t="inlineStr">
        <is>
          <t>amount of substance per area</t>
        </is>
      </c>
      <c r="E6">
        <f>VLOOKUP(C6,J$2:J$300,1,FALSE)</f>
        <v/>
      </c>
      <c r="F6">
        <f>SUBSTITUTE(PROPER(LOWER(C6))," ","")</f>
        <v/>
      </c>
      <c r="J6" t="inlineStr">
        <is>
          <t>(mass per volume) per length</t>
        </is>
      </c>
    </row>
    <row r="7">
      <c r="B7" t="inlineStr">
        <is>
          <t>dateTime</t>
        </is>
      </c>
      <c r="C7" t="inlineStr">
        <is>
          <t>amount of substance per mass</t>
        </is>
      </c>
      <c r="D7" t="inlineStr">
        <is>
          <t>use for cation exchange capacity</t>
        </is>
      </c>
      <c r="E7">
        <f>VLOOKUP(C7,J$2:J$300,1,FALSE)</f>
        <v/>
      </c>
      <c r="F7">
        <f>SUBSTITUTE(PROPER(LOWER(C7))," ","")</f>
        <v/>
      </c>
      <c r="J7" t="inlineStr">
        <is>
          <t>(volume per time) length</t>
        </is>
      </c>
    </row>
    <row r="8">
      <c r="B8" t="inlineStr">
        <is>
          <t>decimal</t>
        </is>
      </c>
      <c r="C8" t="inlineStr">
        <is>
          <t>amount of substance per time</t>
        </is>
      </c>
      <c r="E8">
        <f>VLOOKUP(C8,J$2:J$300,1,FALSE)</f>
        <v/>
      </c>
      <c r="F8">
        <f>SUBSTITUTE(PROPER(LOWER(C8))," ","")</f>
        <v/>
      </c>
      <c r="J8" t="inlineStr">
        <is>
          <t>(volume per time) per (pressure length)</t>
        </is>
      </c>
    </row>
    <row r="9">
      <c r="B9" s="9" t="inlineStr">
        <is>
          <t>double</t>
        </is>
      </c>
      <c r="C9" t="inlineStr">
        <is>
          <t>(amount of substance per time) per area</t>
        </is>
      </c>
      <c r="E9">
        <f>VLOOKUP(C9,J$2:J$300,1,FALSE)</f>
        <v/>
      </c>
      <c r="F9">
        <f>SUBSTITUTE(PROPER(LOWER(C9))," ","")</f>
        <v/>
      </c>
      <c r="J9" t="inlineStr">
        <is>
          <t>(volume per time) per area</t>
        </is>
      </c>
    </row>
    <row r="10">
      <c r="B10" t="inlineStr">
        <is>
          <t>duration</t>
        </is>
      </c>
      <c r="C10" t="inlineStr">
        <is>
          <t>amount of substance per volume</t>
        </is>
      </c>
      <c r="E10">
        <f>VLOOKUP(C10,J$2:J$300,1,FALSE)</f>
        <v/>
      </c>
      <c r="F10">
        <f>SUBSTITUTE(PROPER(LOWER(C10))," ","")</f>
        <v/>
      </c>
      <c r="J10" t="inlineStr">
        <is>
          <t>(volume per time) per length</t>
        </is>
      </c>
    </row>
    <row r="11">
      <c r="B11" s="9" t="inlineStr">
        <is>
          <t>float</t>
        </is>
      </c>
      <c r="C11" t="inlineStr">
        <is>
          <t>angle per length</t>
        </is>
      </c>
      <c r="E11">
        <f>VLOOKUP(C11,J$2:J$300,1,FALSE)</f>
        <v/>
      </c>
      <c r="F11">
        <f>SUBSTITUTE(PROPER(LOWER(C11))," ","")</f>
        <v/>
      </c>
      <c r="J11" t="inlineStr">
        <is>
          <t>(volume per time) per pressure</t>
        </is>
      </c>
    </row>
    <row r="12">
      <c r="B12" t="inlineStr">
        <is>
          <t>gDay</t>
        </is>
      </c>
      <c r="C12" t="inlineStr">
        <is>
          <t>angle per volume</t>
        </is>
      </c>
      <c r="E12">
        <f>VLOOKUP(C12,J$2:J$300,1,FALSE)</f>
        <v/>
      </c>
      <c r="F12">
        <f>SUBSTITUTE(PROPER(LOWER(C12))," ","")</f>
        <v/>
      </c>
      <c r="J12" t="inlineStr">
        <is>
          <t>(volume per time) per time</t>
        </is>
      </c>
    </row>
    <row r="13">
      <c r="B13" t="inlineStr">
        <is>
          <t>gMonth</t>
        </is>
      </c>
      <c r="C13" t="inlineStr">
        <is>
          <t>angular acceleration</t>
        </is>
      </c>
      <c r="E13">
        <f>VLOOKUP(C13,J$2:J$300,1,FALSE)</f>
        <v/>
      </c>
      <c r="F13">
        <f>SUBSTITUTE(PROPER(LOWER(C13))," ","")</f>
        <v/>
      </c>
      <c r="J13" t="inlineStr">
        <is>
          <t>(volume per time) per volume</t>
        </is>
      </c>
    </row>
    <row r="14">
      <c r="B14" t="inlineStr">
        <is>
          <t>gMonthDay</t>
        </is>
      </c>
      <c r="C14" t="inlineStr">
        <is>
          <t>angular velocity</t>
        </is>
      </c>
      <c r="E14">
        <f>VLOOKUP(C14,J$2:J$300,1,FALSE)</f>
        <v/>
      </c>
      <c r="F14">
        <f>SUBSTITUTE(PROPER(LOWER(C14))," ","")</f>
        <v/>
      </c>
      <c r="J14" t="inlineStr">
        <is>
          <t>API gamma ray</t>
        </is>
      </c>
    </row>
    <row r="15">
      <c r="B15" t="inlineStr">
        <is>
          <t>gYear</t>
        </is>
      </c>
      <c r="C15" t="inlineStr">
        <is>
          <t>api gamma ray</t>
        </is>
      </c>
      <c r="E15">
        <f>VLOOKUP(C15,J$2:J$300,1,FALSE)</f>
        <v/>
      </c>
      <c r="F15">
        <f>SUBSTITUTE(PROPER(LOWER(C15))," ","")</f>
        <v/>
      </c>
      <c r="J15" t="inlineStr">
        <is>
          <t>API gravity</t>
        </is>
      </c>
    </row>
    <row r="16">
      <c r="B16" t="inlineStr">
        <is>
          <t>gYearMonth</t>
        </is>
      </c>
      <c r="C16" t="inlineStr">
        <is>
          <t>api gravity</t>
        </is>
      </c>
      <c r="E16">
        <f>VLOOKUP(C16,J$2:J$300,1,FALSE)</f>
        <v/>
      </c>
      <c r="F16">
        <f>SUBSTITUTE(PROPER(LOWER(C16))," ","")</f>
        <v/>
      </c>
      <c r="J16" t="inlineStr">
        <is>
          <t>API neutron</t>
        </is>
      </c>
    </row>
    <row r="17">
      <c r="B17" t="inlineStr">
        <is>
          <t>hexBinary</t>
        </is>
      </c>
      <c r="C17" t="inlineStr">
        <is>
          <t>api neutron</t>
        </is>
      </c>
      <c r="E17">
        <f>VLOOKUP(C17,J$2:J$300,1,FALSE)</f>
        <v/>
      </c>
      <c r="F17">
        <f>SUBSTITUTE(PROPER(LOWER(C17))," ","")</f>
        <v/>
      </c>
      <c r="J17" t="inlineStr">
        <is>
          <t>absorbed dose</t>
        </is>
      </c>
    </row>
    <row r="18">
      <c r="B18" t="inlineStr">
        <is>
          <t>integer</t>
        </is>
      </c>
      <c r="C18" t="inlineStr">
        <is>
          <t>area</t>
        </is>
      </c>
      <c r="E18">
        <f>VLOOKUP(C18,J$2:J$300,1,FALSE)</f>
        <v/>
      </c>
      <c r="F18">
        <f>SUBSTITUTE(PROPER(LOWER(C18))," ","")</f>
        <v/>
      </c>
      <c r="J18" t="inlineStr">
        <is>
          <t>activity [of radioactivity]</t>
        </is>
      </c>
    </row>
    <row r="19">
      <c r="B19" t="inlineStr">
        <is>
          <t>language</t>
        </is>
      </c>
      <c r="C19" t="inlineStr">
        <is>
          <t>area per amount of substance</t>
        </is>
      </c>
      <c r="E19">
        <f>VLOOKUP(C19,J$2:J$300,1,FALSE)</f>
        <v/>
      </c>
      <c r="F19">
        <f>SUBSTITUTE(PROPER(LOWER(C19))," ","")</f>
        <v/>
      </c>
      <c r="J19" t="inlineStr">
        <is>
          <t>amount of substance</t>
        </is>
      </c>
    </row>
    <row r="20">
      <c r="B20" s="9" t="inlineStr">
        <is>
          <t>long</t>
        </is>
      </c>
      <c r="C20" t="inlineStr">
        <is>
          <t>area per area</t>
        </is>
      </c>
      <c r="E20">
        <f>VLOOKUP(C20,J$2:J$300,1,FALSE)</f>
        <v/>
      </c>
      <c r="F20">
        <f>SUBSTITUTE(PROPER(LOWER(C20))," ","")</f>
        <v/>
      </c>
      <c r="J20" t="inlineStr">
        <is>
          <t>amount of substance per amount of substance</t>
        </is>
      </c>
    </row>
    <row r="21">
      <c r="B21" t="inlineStr">
        <is>
          <t>negativeInteger</t>
        </is>
      </c>
      <c r="C21" t="inlineStr">
        <is>
          <t>area per count</t>
        </is>
      </c>
      <c r="D21" t="inlineStr">
        <is>
          <t>In EML schema but not in EML dictionary</t>
        </is>
      </c>
      <c r="E21">
        <f>VLOOKUP(C21,J$2:J$300,1,FALSE)</f>
        <v/>
      </c>
      <c r="F21">
        <f>SUBSTITUTE(PROPER(LOWER(C21))," ","")</f>
        <v/>
      </c>
      <c r="J21" t="inlineStr">
        <is>
          <t>amount of substance per area</t>
        </is>
      </c>
    </row>
    <row r="22">
      <c r="B22" t="inlineStr">
        <is>
          <t>nonNegativeInteger</t>
        </is>
      </c>
      <c r="C22" t="inlineStr">
        <is>
          <t>area per mass</t>
        </is>
      </c>
      <c r="E22">
        <f>VLOOKUP(C22,J$2:J$300,1,FALSE)</f>
        <v/>
      </c>
      <c r="F22">
        <f>SUBSTITUTE(PROPER(LOWER(C22))," ","")</f>
        <v/>
      </c>
      <c r="J22" t="inlineStr">
        <is>
          <t>amount of substance per time</t>
        </is>
      </c>
    </row>
    <row r="23">
      <c r="B23" t="inlineStr">
        <is>
          <t>nonPositiveInteger</t>
        </is>
      </c>
      <c r="C23" t="inlineStr">
        <is>
          <t>area per time</t>
        </is>
      </c>
      <c r="E23">
        <f>VLOOKUP(C23,J$2:J$300,1,FALSE)</f>
        <v/>
      </c>
      <c r="F23">
        <f>SUBSTITUTE(PROPER(LOWER(C23))," ","")</f>
        <v/>
      </c>
      <c r="J23" t="inlineStr">
        <is>
          <t>amount of substance per volume</t>
        </is>
      </c>
    </row>
    <row r="24">
      <c r="B24" t="inlineStr">
        <is>
          <t>normalizedString</t>
        </is>
      </c>
      <c r="C24" t="inlineStr">
        <is>
          <t>area per volume</t>
        </is>
      </c>
      <c r="E24">
        <f>VLOOKUP(C24,J$2:J$300,1,FALSE)</f>
        <v/>
      </c>
      <c r="F24">
        <f>SUBSTITUTE(PROPER(LOWER(C24))," ","")</f>
        <v/>
      </c>
      <c r="J24" t="inlineStr">
        <is>
          <t>angle per length</t>
        </is>
      </c>
    </row>
    <row r="25">
      <c r="B25" t="inlineStr">
        <is>
          <t>positiveInteger</t>
        </is>
      </c>
      <c r="C25" t="inlineStr">
        <is>
          <t>attenuation per frequency interval</t>
        </is>
      </c>
      <c r="E25">
        <f>VLOOKUP(C25,J$2:J$300,1,FALSE)</f>
        <v/>
      </c>
      <c r="F25">
        <f>SUBSTITUTE(PROPER(LOWER(C25))," ","")</f>
        <v/>
      </c>
      <c r="J25" t="inlineStr">
        <is>
          <t>angle per volume</t>
        </is>
      </c>
    </row>
    <row r="26">
      <c r="B26" t="inlineStr">
        <is>
          <t>short</t>
        </is>
      </c>
      <c r="C26" t="inlineStr">
        <is>
          <t>capacitance</t>
        </is>
      </c>
      <c r="E26">
        <f>VLOOKUP(C26,J$2:J$300,1,FALSE)</f>
        <v/>
      </c>
      <c r="F26">
        <f>SUBSTITUTE(PROPER(LOWER(C26))," ","")</f>
        <v/>
      </c>
      <c r="J26" t="inlineStr">
        <is>
          <t>angular acceleration</t>
        </is>
      </c>
    </row>
    <row r="27">
      <c r="B27" s="9" t="inlineStr">
        <is>
          <t>string</t>
        </is>
      </c>
      <c r="C27" t="inlineStr">
        <is>
          <t>data transfer speed</t>
        </is>
      </c>
      <c r="E27">
        <f>VLOOKUP(C27,J$2:J$300,1,FALSE)</f>
        <v/>
      </c>
      <c r="F27">
        <f>SUBSTITUTE(PROPER(LOWER(C27))," ","")</f>
        <v/>
      </c>
      <c r="J27" t="inlineStr">
        <is>
          <t>angular velocity</t>
        </is>
      </c>
    </row>
    <row r="28">
      <c r="B28" s="9" t="inlineStr">
        <is>
          <t>string</t>
        </is>
      </c>
      <c r="C28" t="inlineStr">
        <is>
          <t>diffusion coefficient</t>
        </is>
      </c>
      <c r="E28">
        <f>VLOOKUP(C28,J$2:J$300,1,FALSE)</f>
        <v/>
      </c>
      <c r="F28">
        <f>SUBSTITUTE(PROPER(LOWER(C28))," ","")</f>
        <v/>
      </c>
      <c r="J28" t="inlineStr">
        <is>
          <t>area</t>
        </is>
      </c>
    </row>
    <row r="29">
      <c r="B29" t="inlineStr">
        <is>
          <t>time</t>
        </is>
      </c>
      <c r="C29" t="inlineStr">
        <is>
          <t>diffusive time of flight</t>
        </is>
      </c>
      <c r="D29" t="inlineStr">
        <is>
          <t>In EML schema but not in EML dictionary</t>
        </is>
      </c>
      <c r="E29">
        <f>VLOOKUP(C29,J$2:J$300,1,FALSE)</f>
        <v/>
      </c>
      <c r="F29">
        <f>SUBSTITUTE(PROPER(LOWER(C29))," ","")</f>
        <v/>
      </c>
      <c r="J29" t="inlineStr">
        <is>
          <t>area per amount of substance</t>
        </is>
      </c>
    </row>
    <row r="30">
      <c r="B30" t="inlineStr">
        <is>
          <t>token</t>
        </is>
      </c>
      <c r="C30" t="inlineStr">
        <is>
          <t>digital storage</t>
        </is>
      </c>
      <c r="E30">
        <f>VLOOKUP(C30,J$2:J$300,1,FALSE)</f>
        <v/>
      </c>
      <c r="F30">
        <f>SUBSTITUTE(PROPER(LOWER(C30))," ","")</f>
        <v/>
      </c>
      <c r="J30" t="inlineStr">
        <is>
          <t>area per area</t>
        </is>
      </c>
    </row>
    <row r="31">
      <c r="B31" t="inlineStr">
        <is>
          <t>unsignedByte</t>
        </is>
      </c>
      <c r="C31" t="inlineStr">
        <is>
          <t>dimensionless</t>
        </is>
      </c>
      <c r="E31">
        <f>VLOOKUP(C31,J$2:J$300,1,FALSE)</f>
        <v/>
      </c>
      <c r="F31">
        <f>SUBSTITUTE(PROPER(LOWER(C31))," ","")</f>
        <v/>
      </c>
      <c r="J31" t="inlineStr">
        <is>
          <t>area per mass</t>
        </is>
      </c>
    </row>
    <row r="32">
      <c r="B32" t="inlineStr">
        <is>
          <t>unsignedInt</t>
        </is>
      </c>
      <c r="C32" t="inlineStr">
        <is>
          <t>dipole moment</t>
        </is>
      </c>
      <c r="E32">
        <f>VLOOKUP(C32,J$2:J$300,1,FALSE)</f>
        <v/>
      </c>
      <c r="F32">
        <f>SUBSTITUTE(PROPER(LOWER(C32))," ","")</f>
        <v/>
      </c>
      <c r="J32" t="inlineStr">
        <is>
          <t>area per time</t>
        </is>
      </c>
    </row>
    <row r="33">
      <c r="B33" t="inlineStr">
        <is>
          <t>unsignedLong</t>
        </is>
      </c>
      <c r="C33" t="inlineStr">
        <is>
          <t>dose equivalent</t>
        </is>
      </c>
      <c r="E33">
        <f>VLOOKUP(C33,J$2:J$300,1,FALSE)</f>
        <v/>
      </c>
      <c r="F33">
        <f>SUBSTITUTE(PROPER(LOWER(C33))," ","")</f>
        <v/>
      </c>
      <c r="J33" t="inlineStr">
        <is>
          <t>area per volume</t>
        </is>
      </c>
    </row>
    <row r="34">
      <c r="B34" t="inlineStr">
        <is>
          <t>unsignedShort</t>
        </is>
      </c>
      <c r="C34" t="inlineStr">
        <is>
          <t>dynamic viscosity</t>
        </is>
      </c>
      <c r="E34">
        <f>VLOOKUP(C34,J$2:J$300,1,FALSE)</f>
        <v/>
      </c>
      <c r="F34">
        <f>SUBSTITUTE(PROPER(LOWER(C34))," ","")</f>
        <v/>
      </c>
      <c r="J34" t="inlineStr">
        <is>
          <t>attenuation per frequency interval</t>
        </is>
      </c>
    </row>
    <row r="35">
      <c r="B35" s="9" t="inlineStr">
        <is>
          <t>vector</t>
        </is>
      </c>
      <c r="C35" t="inlineStr">
        <is>
          <t>electric charge</t>
        </is>
      </c>
      <c r="E35">
        <f>VLOOKUP(C35,J$2:J$300,1,FALSE)</f>
        <v/>
      </c>
      <c r="F35">
        <f>SUBSTITUTE(PROPER(LOWER(C35))," ","")</f>
        <v/>
      </c>
      <c r="J35" t="inlineStr">
        <is>
          <t>capacitance</t>
        </is>
      </c>
    </row>
    <row r="36">
      <c r="C36" t="inlineStr">
        <is>
          <t>electric charge per area</t>
        </is>
      </c>
      <c r="E36">
        <f>VLOOKUP(C36,J$2:J$300,1,FALSE)</f>
        <v/>
      </c>
      <c r="F36">
        <f>SUBSTITUTE(PROPER(LOWER(C36))," ","")</f>
        <v/>
      </c>
      <c r="J36" t="inlineStr">
        <is>
          <t>data transfer speed</t>
        </is>
      </c>
    </row>
    <row r="37">
      <c r="C37" t="inlineStr">
        <is>
          <t>electric charge per mass</t>
        </is>
      </c>
      <c r="E37">
        <f>VLOOKUP(C37,J$2:J$300,1,FALSE)</f>
        <v/>
      </c>
      <c r="F37">
        <f>SUBSTITUTE(PROPER(LOWER(C37))," ","")</f>
        <v/>
      </c>
      <c r="J37" t="inlineStr">
        <is>
          <t>diffusion coefficient</t>
        </is>
      </c>
    </row>
    <row r="38">
      <c r="C38" t="inlineStr">
        <is>
          <t>electric charge per volume</t>
        </is>
      </c>
      <c r="E38">
        <f>VLOOKUP(C38,J$2:J$300,1,FALSE)</f>
        <v/>
      </c>
      <c r="F38">
        <f>SUBSTITUTE(PROPER(LOWER(C38))," ","")</f>
        <v/>
      </c>
      <c r="J38" t="inlineStr">
        <is>
          <t>digital storage</t>
        </is>
      </c>
    </row>
    <row r="39">
      <c r="C39" t="inlineStr">
        <is>
          <t>electric conductance</t>
        </is>
      </c>
      <c r="E39">
        <f>VLOOKUP(C39,J$2:J$300,1,FALSE)</f>
        <v/>
      </c>
      <c r="F39">
        <f>SUBSTITUTE(PROPER(LOWER(C39))," ","")</f>
        <v/>
      </c>
      <c r="J39" t="inlineStr">
        <is>
          <t>dimensionless</t>
        </is>
      </c>
    </row>
    <row r="40">
      <c r="C40" t="inlineStr">
        <is>
          <t>electric conductivity</t>
        </is>
      </c>
      <c r="E40">
        <f>VLOOKUP(C40,J$2:J$300,1,FALSE)</f>
        <v/>
      </c>
      <c r="F40">
        <f>SUBSTITUTE(PROPER(LOWER(C40))," ","")</f>
        <v/>
      </c>
      <c r="J40" t="inlineStr">
        <is>
          <t>dipole moment</t>
        </is>
      </c>
    </row>
    <row r="41">
      <c r="C41" t="inlineStr">
        <is>
          <t>electric current</t>
        </is>
      </c>
      <c r="E41">
        <f>VLOOKUP(C41,J$2:J$300,1,FALSE)</f>
        <v/>
      </c>
      <c r="F41">
        <f>SUBSTITUTE(PROPER(LOWER(C41))," ","")</f>
        <v/>
      </c>
      <c r="J41" t="inlineStr">
        <is>
          <t>dose equivalent</t>
        </is>
      </c>
    </row>
    <row r="42">
      <c r="C42" t="inlineStr">
        <is>
          <t>electric current density</t>
        </is>
      </c>
      <c r="E42">
        <f>VLOOKUP(C42,J$2:J$300,1,FALSE)</f>
        <v/>
      </c>
      <c r="F42">
        <f>SUBSTITUTE(PROPER(LOWER(C42))," ","")</f>
        <v/>
      </c>
      <c r="J42" t="inlineStr">
        <is>
          <t>dynamic viscosity</t>
        </is>
      </c>
    </row>
    <row r="43">
      <c r="C43" t="inlineStr">
        <is>
          <t>electric field strength</t>
        </is>
      </c>
      <c r="E43">
        <f>VLOOKUP(C43,J$2:J$300,1,FALSE)</f>
        <v/>
      </c>
      <c r="F43">
        <f>SUBSTITUTE(PROPER(LOWER(C43))," ","")</f>
        <v/>
      </c>
      <c r="J43" t="inlineStr">
        <is>
          <t>electric charge</t>
        </is>
      </c>
    </row>
    <row r="44">
      <c r="C44" t="inlineStr">
        <is>
          <t>electric potential difference</t>
        </is>
      </c>
      <c r="E44">
        <f>VLOOKUP(C44,J$2:J$300,1,FALSE)</f>
        <v/>
      </c>
      <c r="F44">
        <f>SUBSTITUTE(PROPER(LOWER(C44))," ","")</f>
        <v/>
      </c>
      <c r="J44" t="inlineStr">
        <is>
          <t>electric charge per area</t>
        </is>
      </c>
    </row>
    <row r="45">
      <c r="C45" t="inlineStr">
        <is>
          <t>electric resistance</t>
        </is>
      </c>
      <c r="E45">
        <f>VLOOKUP(C45,J$2:J$300,1,FALSE)</f>
        <v/>
      </c>
      <c r="F45">
        <f>SUBSTITUTE(PROPER(LOWER(C45))," ","")</f>
        <v/>
      </c>
      <c r="J45" t="inlineStr">
        <is>
          <t>electric charge per mass</t>
        </is>
      </c>
    </row>
    <row r="46">
      <c r="C46" t="inlineStr">
        <is>
          <t>electric resistance per length</t>
        </is>
      </c>
      <c r="E46">
        <f>VLOOKUP(C46,J$2:J$300,1,FALSE)</f>
        <v/>
      </c>
      <c r="F46">
        <f>SUBSTITUTE(PROPER(LOWER(C46))," ","")</f>
        <v/>
      </c>
      <c r="J46" t="inlineStr">
        <is>
          <t>electric charge per volume</t>
        </is>
      </c>
    </row>
    <row r="47">
      <c r="C47" t="inlineStr">
        <is>
          <t>electrical resistivity</t>
        </is>
      </c>
      <c r="E47">
        <f>VLOOKUP(C47,J$2:J$300,1,FALSE)</f>
        <v/>
      </c>
      <c r="F47">
        <f>SUBSTITUTE(PROPER(LOWER(C47))," ","")</f>
        <v/>
      </c>
      <c r="J47" t="inlineStr">
        <is>
          <t>electric conductance</t>
        </is>
      </c>
    </row>
    <row r="48">
      <c r="C48" t="inlineStr">
        <is>
          <t>electromagnetic moment</t>
        </is>
      </c>
      <c r="E48">
        <f>VLOOKUP(C48,J$2:J$300,1,FALSE)</f>
        <v/>
      </c>
      <c r="F48">
        <f>SUBSTITUTE(PROPER(LOWER(C48))," ","")</f>
        <v/>
      </c>
      <c r="J48" t="inlineStr">
        <is>
          <t>electric conductivity</t>
        </is>
      </c>
    </row>
    <row r="49">
      <c r="C49" t="inlineStr">
        <is>
          <t>energy</t>
        </is>
      </c>
      <c r="E49">
        <f>VLOOKUP(C49,J$2:J$300,1,FALSE)</f>
        <v/>
      </c>
      <c r="F49">
        <f>SUBSTITUTE(PROPER(LOWER(C49))," ","")</f>
        <v/>
      </c>
      <c r="J49" t="inlineStr">
        <is>
          <t>electric current</t>
        </is>
      </c>
    </row>
    <row r="50">
      <c r="C50" t="inlineStr">
        <is>
          <t>energy length per area</t>
        </is>
      </c>
      <c r="E50">
        <f>VLOOKUP(C50,J$2:J$300,1,FALSE)</f>
        <v/>
      </c>
      <c r="F50">
        <f>SUBSTITUTE(PROPER(LOWER(C50))," ","")</f>
        <v/>
      </c>
      <c r="J50" t="inlineStr">
        <is>
          <t>electric current density</t>
        </is>
      </c>
    </row>
    <row r="51">
      <c r="C51" t="inlineStr">
        <is>
          <t>energy length per time area temperature</t>
        </is>
      </c>
      <c r="E51">
        <f>VLOOKUP(C51,J$2:J$300,1,FALSE)</f>
        <v/>
      </c>
      <c r="F51">
        <f>SUBSTITUTE(PROPER(LOWER(C51))," ","")</f>
        <v/>
      </c>
      <c r="J51" t="inlineStr">
        <is>
          <t>electric field strength</t>
        </is>
      </c>
    </row>
    <row r="52">
      <c r="C52" t="inlineStr">
        <is>
          <t>energy per area</t>
        </is>
      </c>
      <c r="E52">
        <f>VLOOKUP(C52,J$2:J$300,1,FALSE)</f>
        <v/>
      </c>
      <c r="F52">
        <f>SUBSTITUTE(PROPER(LOWER(C52))," ","")</f>
        <v/>
      </c>
      <c r="J52" t="inlineStr">
        <is>
          <t>electric potential difference</t>
        </is>
      </c>
    </row>
    <row r="53">
      <c r="C53" t="inlineStr">
        <is>
          <t>energy per length</t>
        </is>
      </c>
      <c r="E53">
        <f>VLOOKUP(C53,J$2:J$300,1,FALSE)</f>
        <v/>
      </c>
      <c r="F53">
        <f>SUBSTITUTE(PROPER(LOWER(C53))," ","")</f>
        <v/>
      </c>
      <c r="J53" t="inlineStr">
        <is>
          <t>electric resistance</t>
        </is>
      </c>
    </row>
    <row r="54">
      <c r="C54" t="inlineStr">
        <is>
          <t>energy per mass</t>
        </is>
      </c>
      <c r="E54">
        <f>VLOOKUP(C54,J$2:J$300,1,FALSE)</f>
        <v/>
      </c>
      <c r="F54">
        <f>SUBSTITUTE(PROPER(LOWER(C54))," ","")</f>
        <v/>
      </c>
      <c r="J54" t="inlineStr">
        <is>
          <t>electric resistance per length</t>
        </is>
      </c>
    </row>
    <row r="55">
      <c r="C55" t="inlineStr">
        <is>
          <t>(energy per mass) per time</t>
        </is>
      </c>
      <c r="E55">
        <f>VLOOKUP(C55,J$2:J$300,1,FALSE)</f>
        <v/>
      </c>
      <c r="F55">
        <f>SUBSTITUTE(PROPER(LOWER(C55))," ","")</f>
        <v/>
      </c>
      <c r="J55" t="inlineStr">
        <is>
          <t>electrical resistivity</t>
        </is>
      </c>
    </row>
    <row r="56">
      <c r="C56" t="inlineStr">
        <is>
          <t>energy per volume</t>
        </is>
      </c>
      <c r="E56">
        <f>VLOOKUP(C56,J$2:J$300,1,FALSE)</f>
        <v/>
      </c>
      <c r="F56">
        <f>SUBSTITUTE(PROPER(LOWER(C56))," ","")</f>
        <v/>
      </c>
      <c r="J56" t="inlineStr">
        <is>
          <t>electromagnetic moment</t>
        </is>
      </c>
    </row>
    <row r="57">
      <c r="C57" t="inlineStr">
        <is>
          <t>force</t>
        </is>
      </c>
      <c r="E57">
        <f>VLOOKUP(C57,J$2:J$300,1,FALSE)</f>
        <v/>
      </c>
      <c r="F57">
        <f>SUBSTITUTE(PROPER(LOWER(C57))," ","")</f>
        <v/>
      </c>
      <c r="J57" t="inlineStr">
        <is>
          <t>energy</t>
        </is>
      </c>
    </row>
    <row r="58">
      <c r="C58" t="inlineStr">
        <is>
          <t>force area</t>
        </is>
      </c>
      <c r="E58">
        <f>VLOOKUP(C58,J$2:J$300,1,FALSE)</f>
        <v/>
      </c>
      <c r="F58">
        <f>SUBSTITUTE(PROPER(LOWER(C58))," ","")</f>
        <v/>
      </c>
      <c r="J58" t="inlineStr">
        <is>
          <t>energy length per area</t>
        </is>
      </c>
    </row>
    <row r="59">
      <c r="C59" t="inlineStr">
        <is>
          <t>force length per length</t>
        </is>
      </c>
      <c r="E59">
        <f>VLOOKUP(C59,J$2:J$300,1,FALSE)</f>
        <v/>
      </c>
      <c r="F59">
        <f>SUBSTITUTE(PROPER(LOWER(C59))," ","")</f>
        <v/>
      </c>
      <c r="J59" t="inlineStr">
        <is>
          <t>energy length per time area temperature</t>
        </is>
      </c>
    </row>
    <row r="60">
      <c r="C60" t="inlineStr">
        <is>
          <t>force or mass per volume</t>
        </is>
      </c>
      <c r="D60" t="inlineStr">
        <is>
          <t>use for geotechnical densities</t>
        </is>
      </c>
      <c r="E60">
        <f>VLOOKUP(C60,J$2:J$300,1,FALSE)</f>
        <v/>
      </c>
      <c r="F60">
        <f>SUBSTITUTE(PROPER(LOWER(C60))," ","")</f>
        <v/>
      </c>
      <c r="J60" t="inlineStr">
        <is>
          <t>energy per area</t>
        </is>
      </c>
    </row>
    <row r="61">
      <c r="C61" t="inlineStr">
        <is>
          <t>force per force</t>
        </is>
      </c>
      <c r="E61">
        <f>VLOOKUP(C61,J$2:J$300,1,FALSE)</f>
        <v/>
      </c>
      <c r="F61">
        <f>SUBSTITUTE(PROPER(LOWER(C61))," ","")</f>
        <v/>
      </c>
      <c r="J61" t="inlineStr">
        <is>
          <t>energy per length</t>
        </is>
      </c>
    </row>
    <row r="62">
      <c r="C62" t="inlineStr">
        <is>
          <t>force per length</t>
        </is>
      </c>
      <c r="E62">
        <f>VLOOKUP(C62,J$2:J$300,1,FALSE)</f>
        <v/>
      </c>
      <c r="F62">
        <f>SUBSTITUTE(PROPER(LOWER(C62))," ","")</f>
        <v/>
      </c>
      <c r="J62" t="inlineStr">
        <is>
          <t>energy per mass</t>
        </is>
      </c>
    </row>
    <row r="63">
      <c r="C63" t="inlineStr">
        <is>
          <t>force per volume</t>
        </is>
      </c>
      <c r="E63">
        <f>VLOOKUP(C63,J$2:J$300,1,FALSE)</f>
        <v/>
      </c>
      <c r="F63">
        <f>SUBSTITUTE(PROPER(LOWER(C63))," ","")</f>
        <v/>
      </c>
      <c r="J63" t="inlineStr">
        <is>
          <t>energy per volume</t>
        </is>
      </c>
    </row>
    <row r="64">
      <c r="C64" t="inlineStr">
        <is>
          <t>frequency</t>
        </is>
      </c>
      <c r="E64">
        <f>VLOOKUP(C64,J$2:J$300,1,FALSE)</f>
        <v/>
      </c>
      <c r="F64">
        <f>SUBSTITUTE(PROPER(LOWER(C64))," ","")</f>
        <v/>
      </c>
      <c r="J64" t="inlineStr">
        <is>
          <t>force</t>
        </is>
      </c>
    </row>
    <row r="65">
      <c r="C65" t="inlineStr">
        <is>
          <t>frequency interval</t>
        </is>
      </c>
      <c r="E65">
        <f>VLOOKUP(C65,J$2:J$300,1,FALSE)</f>
        <v/>
      </c>
      <c r="F65">
        <f>SUBSTITUTE(PROPER(LOWER(C65))," ","")</f>
        <v/>
      </c>
      <c r="J65" t="inlineStr">
        <is>
          <t>force area</t>
        </is>
      </c>
    </row>
    <row r="66">
      <c r="C66" t="inlineStr">
        <is>
          <t>gravitational gradient</t>
        </is>
      </c>
      <c r="D66" t="inlineStr">
        <is>
          <t>use for gravity gradients</t>
        </is>
      </c>
      <c r="E66">
        <f>VLOOKUP(C66,J$2:J$300,1,FALSE)</f>
        <v/>
      </c>
      <c r="F66">
        <f>SUBSTITUTE(PROPER(LOWER(C66))," ","")</f>
        <v/>
      </c>
      <c r="J66" t="inlineStr">
        <is>
          <t>force length per length</t>
        </is>
      </c>
    </row>
    <row r="67">
      <c r="C67" t="inlineStr">
        <is>
          <t>heat capacity</t>
        </is>
      </c>
      <c r="E67">
        <f>VLOOKUP(C67,J$2:J$300,1,FALSE)</f>
        <v/>
      </c>
      <c r="F67">
        <f>SUBSTITUTE(PROPER(LOWER(C67))," ","")</f>
        <v/>
      </c>
      <c r="J67" t="inlineStr">
        <is>
          <t>force per force</t>
        </is>
      </c>
    </row>
    <row r="68">
      <c r="C68" t="inlineStr">
        <is>
          <t>heat flow rate</t>
        </is>
      </c>
      <c r="E68">
        <f>VLOOKUP(C68,J$2:J$300,1,FALSE)</f>
        <v/>
      </c>
      <c r="F68">
        <f>SUBSTITUTE(PROPER(LOWER(C68))," ","")</f>
        <v/>
      </c>
      <c r="J68" t="inlineStr">
        <is>
          <t>force per length</t>
        </is>
      </c>
    </row>
    <row r="69">
      <c r="C69" t="inlineStr">
        <is>
          <t>heat transfer coefficient</t>
        </is>
      </c>
      <c r="E69">
        <f>VLOOKUP(C69,J$2:J$300,1,FALSE)</f>
        <v/>
      </c>
      <c r="F69">
        <f>SUBSTITUTE(PROPER(LOWER(C69))," ","")</f>
        <v/>
      </c>
      <c r="J69" t="inlineStr">
        <is>
          <t>force per volume</t>
        </is>
      </c>
    </row>
    <row r="70">
      <c r="C70" t="inlineStr">
        <is>
          <t>illuminance</t>
        </is>
      </c>
      <c r="E70">
        <f>VLOOKUP(C70,J$2:J$300,1,FALSE)</f>
        <v/>
      </c>
      <c r="F70">
        <f>SUBSTITUTE(PROPER(LOWER(C70))," ","")</f>
        <v/>
      </c>
      <c r="J70" t="inlineStr">
        <is>
          <t>frequency</t>
        </is>
      </c>
    </row>
    <row r="71">
      <c r="C71" t="inlineStr">
        <is>
          <t>inductance</t>
        </is>
      </c>
      <c r="E71">
        <f>VLOOKUP(C71,J$2:J$300,1,FALSE)</f>
        <v/>
      </c>
      <c r="F71">
        <f>SUBSTITUTE(PROPER(LOWER(C71))," ","")</f>
        <v/>
      </c>
      <c r="J71" t="inlineStr">
        <is>
          <t>frequency interval</t>
        </is>
      </c>
    </row>
    <row r="72">
      <c r="C72" t="inlineStr">
        <is>
          <t>isothermal compressibility</t>
        </is>
      </c>
      <c r="E72">
        <f>VLOOKUP(C72,J$2:J$300,1,FALSE)</f>
        <v/>
      </c>
      <c r="F72">
        <f>SUBSTITUTE(PROPER(LOWER(C72))," ","")</f>
        <v/>
      </c>
      <c r="J72" t="inlineStr">
        <is>
          <t>heat capacity</t>
        </is>
      </c>
    </row>
    <row r="73">
      <c r="C73" t="inlineStr">
        <is>
          <t>kinematic viscosity</t>
        </is>
      </c>
      <c r="E73">
        <f>VLOOKUP(C73,J$2:J$300,1,FALSE)</f>
        <v/>
      </c>
      <c r="F73">
        <f>SUBSTITUTE(PROPER(LOWER(C73))," ","")</f>
        <v/>
      </c>
      <c r="J73" t="inlineStr">
        <is>
          <t>heat flow rate</t>
        </is>
      </c>
    </row>
    <row r="74">
      <c r="C74" t="inlineStr">
        <is>
          <t>length</t>
        </is>
      </c>
      <c r="E74">
        <f>VLOOKUP(C74,J$2:J$300,1,FALSE)</f>
        <v/>
      </c>
      <c r="F74">
        <f>SUBSTITUTE(PROPER(LOWER(C74))," ","")</f>
        <v/>
      </c>
      <c r="J74" t="inlineStr">
        <is>
          <t>heat transfer coefficient</t>
        </is>
      </c>
    </row>
    <row r="75">
      <c r="C75" t="inlineStr">
        <is>
          <t>length per length</t>
        </is>
      </c>
      <c r="E75">
        <f>VLOOKUP(C75,J$2:J$300,1,FALSE)</f>
        <v/>
      </c>
      <c r="F75">
        <f>SUBSTITUTE(PROPER(LOWER(C75))," ","")</f>
        <v/>
      </c>
      <c r="J75" t="inlineStr">
        <is>
          <t>illuminance</t>
        </is>
      </c>
    </row>
    <row r="76">
      <c r="C76" t="inlineStr">
        <is>
          <t>length per mass</t>
        </is>
      </c>
      <c r="E76">
        <f>VLOOKUP(C76,J$2:J$300,1,FALSE)</f>
        <v/>
      </c>
      <c r="F76">
        <f>SUBSTITUTE(PROPER(LOWER(C76))," ","")</f>
        <v/>
      </c>
      <c r="J76" t="inlineStr">
        <is>
          <t>inductance</t>
        </is>
      </c>
    </row>
    <row r="77">
      <c r="C77" t="inlineStr">
        <is>
          <t>length per pressure</t>
        </is>
      </c>
      <c r="E77">
        <f>VLOOKUP(C77,J$2:J$300,1,FALSE)</f>
        <v/>
      </c>
      <c r="F77">
        <f>SUBSTITUTE(PROPER(LOWER(C77))," ","")</f>
        <v/>
      </c>
      <c r="J77" t="inlineStr">
        <is>
          <t>isothermal compressibility</t>
        </is>
      </c>
    </row>
    <row r="78">
      <c r="C78" t="inlineStr">
        <is>
          <t>length per temperature</t>
        </is>
      </c>
      <c r="E78">
        <f>VLOOKUP(C78,J$2:J$300,1,FALSE)</f>
        <v/>
      </c>
      <c r="F78">
        <f>SUBSTITUTE(PROPER(LOWER(C78))," ","")</f>
        <v/>
      </c>
      <c r="J78" t="inlineStr">
        <is>
          <t>kinematic viscosity</t>
        </is>
      </c>
    </row>
    <row r="79">
      <c r="C79" t="inlineStr">
        <is>
          <t>length per time</t>
        </is>
      </c>
      <c r="E79">
        <f>VLOOKUP(C79,J$2:J$300,1,FALSE)</f>
        <v/>
      </c>
      <c r="F79">
        <f>SUBSTITUTE(PROPER(LOWER(C79))," ","")</f>
        <v/>
      </c>
      <c r="J79" t="inlineStr">
        <is>
          <t>length</t>
        </is>
      </c>
    </row>
    <row r="80">
      <c r="C80" t="inlineStr">
        <is>
          <t>length per volume</t>
        </is>
      </c>
      <c r="E80">
        <f>VLOOKUP(C80,J$2:J$300,1,FALSE)</f>
        <v/>
      </c>
      <c r="F80">
        <f>SUBSTITUTE(PROPER(LOWER(C80))," ","")</f>
        <v/>
      </c>
      <c r="J80" t="inlineStr">
        <is>
          <t>length per length</t>
        </is>
      </c>
    </row>
    <row r="81">
      <c r="C81" t="inlineStr">
        <is>
          <t>light exposure</t>
        </is>
      </c>
      <c r="E81">
        <f>VLOOKUP(C81,J$2:J$300,1,FALSE)</f>
        <v/>
      </c>
      <c r="F81">
        <f>SUBSTITUTE(PROPER(LOWER(C81))," ","")</f>
        <v/>
      </c>
      <c r="J81" t="inlineStr">
        <is>
          <t>length per mass</t>
        </is>
      </c>
    </row>
    <row r="82">
      <c r="C82" t="inlineStr">
        <is>
          <t>linear acceleration</t>
        </is>
      </c>
      <c r="E82">
        <f>VLOOKUP(C82,J$2:J$300,1,FALSE)</f>
        <v/>
      </c>
      <c r="F82">
        <f>SUBSTITUTE(PROPER(LOWER(C82))," ","")</f>
        <v/>
      </c>
      <c r="J82" t="inlineStr">
        <is>
          <t>length per pressure</t>
        </is>
      </c>
    </row>
    <row r="83">
      <c r="C83" t="inlineStr">
        <is>
          <t>linear thermal expansion</t>
        </is>
      </c>
      <c r="E83">
        <f>VLOOKUP(C83,J$2:J$300,1,FALSE)</f>
        <v/>
      </c>
      <c r="F83">
        <f>SUBSTITUTE(PROPER(LOWER(C83))," ","")</f>
        <v/>
      </c>
      <c r="J83" t="inlineStr">
        <is>
          <t>length per temperature</t>
        </is>
      </c>
    </row>
    <row r="84">
      <c r="C84" t="inlineStr">
        <is>
          <t>logarithmic power ratio</t>
        </is>
      </c>
      <c r="E84">
        <f>VLOOKUP(C84,J$2:J$300,1,FALSE)</f>
        <v/>
      </c>
      <c r="F84">
        <f>SUBSTITUTE(PROPER(LOWER(C84))," ","")</f>
        <v/>
      </c>
      <c r="J84" t="inlineStr">
        <is>
          <t>length per time</t>
        </is>
      </c>
    </row>
    <row r="85">
      <c r="C85" t="inlineStr">
        <is>
          <t>logarithmic power ratio per length</t>
        </is>
      </c>
      <c r="E85">
        <f>VLOOKUP(C85,J$2:J$300,1,FALSE)</f>
        <v/>
      </c>
      <c r="F85">
        <f>SUBSTITUTE(PROPER(LOWER(C85))," ","")</f>
        <v/>
      </c>
      <c r="J85" t="inlineStr">
        <is>
          <t>length per volume</t>
        </is>
      </c>
    </row>
    <row r="86">
      <c r="C86" t="inlineStr">
        <is>
          <t>luminance</t>
        </is>
      </c>
      <c r="E86">
        <f>VLOOKUP(C86,J$2:J$300,1,FALSE)</f>
        <v/>
      </c>
      <c r="F86">
        <f>SUBSTITUTE(PROPER(LOWER(C86))," ","")</f>
        <v/>
      </c>
      <c r="J86" t="inlineStr">
        <is>
          <t>light exposure</t>
        </is>
      </c>
    </row>
    <row r="87">
      <c r="C87" t="inlineStr">
        <is>
          <t>luminous efficacy</t>
        </is>
      </c>
      <c r="E87">
        <f>VLOOKUP(C87,J$2:J$300,1,FALSE)</f>
        <v/>
      </c>
      <c r="F87">
        <f>SUBSTITUTE(PROPER(LOWER(C87))," ","")</f>
        <v/>
      </c>
      <c r="J87" t="inlineStr">
        <is>
          <t>linear acceleration</t>
        </is>
      </c>
    </row>
    <row r="88">
      <c r="C88" t="inlineStr">
        <is>
          <t>luminous flux</t>
        </is>
      </c>
      <c r="E88">
        <f>VLOOKUP(C88,J$2:J$300,1,FALSE)</f>
        <v/>
      </c>
      <c r="F88">
        <f>SUBSTITUTE(PROPER(LOWER(C88))," ","")</f>
        <v/>
      </c>
      <c r="J88" t="inlineStr">
        <is>
          <t>linear thermal expansion</t>
        </is>
      </c>
    </row>
    <row r="89">
      <c r="C89" t="inlineStr">
        <is>
          <t>luminous intensity</t>
        </is>
      </c>
      <c r="E89">
        <f>VLOOKUP(C89,J$2:J$300,1,FALSE)</f>
        <v/>
      </c>
      <c r="F89">
        <f>SUBSTITUTE(PROPER(LOWER(C89))," ","")</f>
        <v/>
      </c>
      <c r="J89" t="inlineStr">
        <is>
          <t>logarithmic power ratio</t>
        </is>
      </c>
    </row>
    <row r="90">
      <c r="C90" t="inlineStr">
        <is>
          <t>magnetic dipole moment</t>
        </is>
      </c>
      <c r="E90">
        <f>VLOOKUP(C90,J$2:J$300,1,FALSE)</f>
        <v/>
      </c>
      <c r="F90">
        <f>SUBSTITUTE(PROPER(LOWER(C90))," ","")</f>
        <v/>
      </c>
      <c r="J90" t="inlineStr">
        <is>
          <t>logarithmic power ratio per length</t>
        </is>
      </c>
    </row>
    <row r="91">
      <c r="C91" t="inlineStr">
        <is>
          <t>magnetic field strength</t>
        </is>
      </c>
      <c r="E91">
        <f>VLOOKUP(C91,J$2:J$300,1,FALSE)</f>
        <v/>
      </c>
      <c r="F91">
        <f>SUBSTITUTE(PROPER(LOWER(C91))," ","")</f>
        <v/>
      </c>
      <c r="J91" t="inlineStr">
        <is>
          <t>luminance</t>
        </is>
      </c>
    </row>
    <row r="92">
      <c r="C92" t="inlineStr">
        <is>
          <t>magnetic flux</t>
        </is>
      </c>
      <c r="E92">
        <f>VLOOKUP(C92,J$2:J$300,1,FALSE)</f>
        <v/>
      </c>
      <c r="F92">
        <f>SUBSTITUTE(PROPER(LOWER(C92))," ","")</f>
        <v/>
      </c>
      <c r="J92" t="inlineStr">
        <is>
          <t>luminous efficacy</t>
        </is>
      </c>
    </row>
    <row r="93">
      <c r="C93" t="inlineStr">
        <is>
          <t>magnetic flux density</t>
        </is>
      </c>
      <c r="E93">
        <f>VLOOKUP(C93,J$2:J$300,1,FALSE)</f>
        <v/>
      </c>
      <c r="F93">
        <f>SUBSTITUTE(PROPER(LOWER(C93))," ","")</f>
        <v/>
      </c>
      <c r="J93" t="inlineStr">
        <is>
          <t>luminous flux</t>
        </is>
      </c>
    </row>
    <row r="94">
      <c r="C94" t="inlineStr">
        <is>
          <t>magnetic flux density per length</t>
        </is>
      </c>
      <c r="E94">
        <f>VLOOKUP(C94,J$2:J$300,1,FALSE)</f>
        <v/>
      </c>
      <c r="F94">
        <f>SUBSTITUTE(PROPER(LOWER(C94))," ","")</f>
        <v/>
      </c>
      <c r="J94" t="inlineStr">
        <is>
          <t>luminous intensity</t>
        </is>
      </c>
    </row>
    <row r="95">
      <c r="C95" t="inlineStr">
        <is>
          <t>magnetic permeability</t>
        </is>
      </c>
      <c r="E95">
        <f>VLOOKUP(C95,J$2:J$300,1,FALSE)</f>
        <v/>
      </c>
      <c r="F95">
        <f>SUBSTITUTE(PROPER(LOWER(C95))," ","")</f>
        <v/>
      </c>
      <c r="J95" t="inlineStr">
        <is>
          <t>magnetic dipole moment</t>
        </is>
      </c>
    </row>
    <row r="96">
      <c r="C96" t="inlineStr">
        <is>
          <t>magnetic vector potential</t>
        </is>
      </c>
      <c r="E96">
        <f>VLOOKUP(C96,J$2:J$300,1,FALSE)</f>
        <v/>
      </c>
      <c r="F96">
        <f>SUBSTITUTE(PROPER(LOWER(C96))," ","")</f>
        <v/>
      </c>
      <c r="J96" t="inlineStr">
        <is>
          <t>magnetic field strength</t>
        </is>
      </c>
    </row>
    <row r="97">
      <c r="C97" t="inlineStr">
        <is>
          <t>mass</t>
        </is>
      </c>
      <c r="E97">
        <f>VLOOKUP(C97,J$2:J$300,1,FALSE)</f>
        <v/>
      </c>
      <c r="F97">
        <f>SUBSTITUTE(PROPER(LOWER(C97))," ","")</f>
        <v/>
      </c>
      <c r="J97" t="inlineStr">
        <is>
          <t>magnetic flux</t>
        </is>
      </c>
    </row>
    <row r="98">
      <c r="C98" t="inlineStr">
        <is>
          <t>mass length</t>
        </is>
      </c>
      <c r="E98">
        <f>VLOOKUP(C98,J$2:J$300,1,FALSE)</f>
        <v/>
      </c>
      <c r="F98">
        <f>SUBSTITUTE(PROPER(LOWER(C98))," ","")</f>
        <v/>
      </c>
      <c r="J98" t="inlineStr">
        <is>
          <t>magnetic flux density</t>
        </is>
      </c>
    </row>
    <row r="99">
      <c r="C99" t="inlineStr">
        <is>
          <t>mass per area</t>
        </is>
      </c>
      <c r="E99">
        <f>VLOOKUP(C99,J$2:J$300,1,FALSE)</f>
        <v/>
      </c>
      <c r="F99">
        <f>SUBSTITUTE(PROPER(LOWER(C99))," ","")</f>
        <v/>
      </c>
      <c r="J99" t="inlineStr">
        <is>
          <t>magnetic flux density per length</t>
        </is>
      </c>
    </row>
    <row r="100">
      <c r="C100" t="inlineStr">
        <is>
          <t>mass per energy</t>
        </is>
      </c>
      <c r="E100">
        <f>VLOOKUP(C100,J$2:J$300,1,FALSE)</f>
        <v/>
      </c>
      <c r="F100">
        <f>SUBSTITUTE(PROPER(LOWER(C100))," ","")</f>
        <v/>
      </c>
      <c r="J100" t="inlineStr">
        <is>
          <t>magnetic permeability</t>
        </is>
      </c>
    </row>
    <row r="101">
      <c r="C101" t="inlineStr">
        <is>
          <t>mass per length</t>
        </is>
      </c>
      <c r="E101">
        <f>VLOOKUP(C101,J$2:J$300,1,FALSE)</f>
        <v/>
      </c>
      <c r="F101">
        <f>SUBSTITUTE(PROPER(LOWER(C101))," ","")</f>
        <v/>
      </c>
      <c r="J101" t="inlineStr">
        <is>
          <t>magnetic vector potential</t>
        </is>
      </c>
    </row>
    <row r="102">
      <c r="C102" t="inlineStr">
        <is>
          <t>mass per mass</t>
        </is>
      </c>
      <c r="E102">
        <f>VLOOKUP(C102,J$2:J$300,1,FALSE)</f>
        <v/>
      </c>
      <c r="F102">
        <f>SUBSTITUTE(PROPER(LOWER(C102))," ","")</f>
        <v/>
      </c>
      <c r="J102" t="inlineStr">
        <is>
          <t>mass</t>
        </is>
      </c>
    </row>
    <row r="103">
      <c r="C103" t="inlineStr">
        <is>
          <t>mass per time</t>
        </is>
      </c>
      <c r="E103">
        <f>VLOOKUP(C103,J$2:J$300,1,FALSE)</f>
        <v/>
      </c>
      <c r="F103">
        <f>SUBSTITUTE(PROPER(LOWER(C103))," ","")</f>
        <v/>
      </c>
      <c r="J103" t="inlineStr">
        <is>
          <t>mass length</t>
        </is>
      </c>
    </row>
    <row r="104">
      <c r="C104" t="inlineStr">
        <is>
          <t>(mass per time) per area</t>
        </is>
      </c>
      <c r="E104">
        <f>VLOOKUP(C104,J$2:J$300,1,FALSE)</f>
        <v/>
      </c>
      <c r="F104">
        <f>SUBSTITUTE(PROPER(LOWER(C104))," ","")</f>
        <v/>
      </c>
      <c r="J104" t="inlineStr">
        <is>
          <t>mass per area</t>
        </is>
      </c>
    </row>
    <row r="105">
      <c r="C105" t="inlineStr">
        <is>
          <t>(mass per time) per length</t>
        </is>
      </c>
      <c r="E105">
        <f>VLOOKUP(C105,J$2:J$300,1,FALSE)</f>
        <v/>
      </c>
      <c r="F105">
        <f>SUBSTITUTE(PROPER(LOWER(C105))," ","")</f>
        <v/>
      </c>
      <c r="J105" t="inlineStr">
        <is>
          <t>mass per energy</t>
        </is>
      </c>
    </row>
    <row r="106">
      <c r="C106" t="inlineStr">
        <is>
          <t>mass per volume</t>
        </is>
      </c>
      <c r="E106">
        <f>VLOOKUP(C106,J$2:J$300,1,FALSE)</f>
        <v/>
      </c>
      <c r="F106">
        <f>SUBSTITUTE(PROPER(LOWER(C106))," ","")</f>
        <v/>
      </c>
      <c r="J106" t="inlineStr">
        <is>
          <t>mass per length</t>
        </is>
      </c>
    </row>
    <row r="107">
      <c r="C107" t="inlineStr">
        <is>
          <t>(mass per volume) per length</t>
        </is>
      </c>
      <c r="E107">
        <f>VLOOKUP(C107,J$2:J$300,1,FALSE)</f>
        <v/>
      </c>
      <c r="F107">
        <f>SUBSTITUTE(PROPER(LOWER(C107))," ","")</f>
        <v/>
      </c>
      <c r="J107" t="inlineStr">
        <is>
          <t>mass per mass</t>
        </is>
      </c>
    </row>
    <row r="108">
      <c r="C108" t="inlineStr">
        <is>
          <t>(mass per volume) per pressure</t>
        </is>
      </c>
      <c r="D108" t="inlineStr">
        <is>
          <t>In EML schema but not in EML dictionary</t>
        </is>
      </c>
      <c r="E108">
        <f>VLOOKUP(C108,J$2:J$300,1,FALSE)</f>
        <v/>
      </c>
      <c r="F108">
        <f>SUBSTITUTE(PROPER(LOWER(C108))," ","")</f>
        <v/>
      </c>
      <c r="J108" t="inlineStr">
        <is>
          <t>mass per time</t>
        </is>
      </c>
    </row>
    <row r="109">
      <c r="C109" t="inlineStr">
        <is>
          <t>(mass per volume) per temperature</t>
        </is>
      </c>
      <c r="D109" t="inlineStr">
        <is>
          <t>In EML schema but not in EML dictionary</t>
        </is>
      </c>
      <c r="E109">
        <f>VLOOKUP(C109,J$2:J$300,1,FALSE)</f>
        <v/>
      </c>
      <c r="F109">
        <f>SUBSTITUTE(PROPER(LOWER(C109))," ","")</f>
        <v/>
      </c>
      <c r="J109" t="inlineStr">
        <is>
          <t>mass per volume</t>
        </is>
      </c>
    </row>
    <row r="110">
      <c r="C110" t="inlineStr">
        <is>
          <t>mobility</t>
        </is>
      </c>
      <c r="E110">
        <f>VLOOKUP(C110,J$2:J$300,1,FALSE)</f>
        <v/>
      </c>
      <c r="F110">
        <f>SUBSTITUTE(PROPER(LOWER(C110))," ","")</f>
        <v/>
      </c>
      <c r="J110" t="inlineStr">
        <is>
          <t>mobility</t>
        </is>
      </c>
    </row>
    <row r="111">
      <c r="C111" t="inlineStr">
        <is>
          <t>molar energy</t>
        </is>
      </c>
      <c r="E111">
        <f>VLOOKUP(C111,J$2:J$300,1,FALSE)</f>
        <v/>
      </c>
      <c r="F111">
        <f>SUBSTITUTE(PROPER(LOWER(C111))," ","")</f>
        <v/>
      </c>
      <c r="J111" t="inlineStr">
        <is>
          <t>molar energy</t>
        </is>
      </c>
    </row>
    <row r="112">
      <c r="C112" t="inlineStr">
        <is>
          <t>molar heat capacity</t>
        </is>
      </c>
      <c r="E112">
        <f>VLOOKUP(C112,J$2:J$300,1,FALSE)</f>
        <v/>
      </c>
      <c r="F112">
        <f>SUBSTITUTE(PROPER(LOWER(C112))," ","")</f>
        <v/>
      </c>
      <c r="J112" t="inlineStr">
        <is>
          <t>molar heat capacity</t>
        </is>
      </c>
    </row>
    <row r="113">
      <c r="C113" t="inlineStr">
        <is>
          <t>molar volume</t>
        </is>
      </c>
      <c r="E113">
        <f>VLOOKUP(C113,J$2:J$300,1,FALSE)</f>
        <v/>
      </c>
      <c r="F113">
        <f>SUBSTITUTE(PROPER(LOWER(C113))," ","")</f>
        <v/>
      </c>
      <c r="J113" t="inlineStr">
        <is>
          <t>molar volume</t>
        </is>
      </c>
    </row>
    <row r="114">
      <c r="C114" t="inlineStr">
        <is>
          <t>molecular weight</t>
        </is>
      </c>
      <c r="E114">
        <f>VLOOKUP(C114,J$2:J$300,1,FALSE)</f>
        <v/>
      </c>
      <c r="F114">
        <f>SUBSTITUTE(PROPER(LOWER(C114))," ","")</f>
        <v/>
      </c>
      <c r="J114" t="inlineStr">
        <is>
          <t>molecular weight</t>
        </is>
      </c>
    </row>
    <row r="115">
      <c r="C115" t="inlineStr">
        <is>
          <t>moment of force</t>
        </is>
      </c>
      <c r="E115">
        <f>VLOOKUP(C115,J$2:J$300,1,FALSE)</f>
        <v/>
      </c>
      <c r="F115">
        <f>SUBSTITUTE(PROPER(LOWER(C115))," ","")</f>
        <v/>
      </c>
      <c r="J115" t="inlineStr">
        <is>
          <t>moment of force</t>
        </is>
      </c>
    </row>
    <row r="116">
      <c r="C116" t="inlineStr">
        <is>
          <t>moment of inertia</t>
        </is>
      </c>
      <c r="E116">
        <f>VLOOKUP(C116,J$2:J$300,1,FALSE)</f>
        <v/>
      </c>
      <c r="F116">
        <f>SUBSTITUTE(PROPER(LOWER(C116))," ","")</f>
        <v/>
      </c>
      <c r="J116" t="inlineStr">
        <is>
          <t>moment of inertia</t>
        </is>
      </c>
    </row>
    <row r="117">
      <c r="C117" t="inlineStr">
        <is>
          <t>momentum</t>
        </is>
      </c>
      <c r="E117">
        <f>VLOOKUP(C117,J$2:J$300,1,FALSE)</f>
        <v/>
      </c>
      <c r="F117">
        <f>SUBSTITUTE(PROPER(LOWER(C117))," ","")</f>
        <v/>
      </c>
      <c r="J117" t="inlineStr">
        <is>
          <t>momentum</t>
        </is>
      </c>
    </row>
    <row r="118">
      <c r="C118" t="inlineStr">
        <is>
          <t>normalized power</t>
        </is>
      </c>
      <c r="E118">
        <f>VLOOKUP(C118,J$2:J$300,1,FALSE)</f>
        <v/>
      </c>
      <c r="F118">
        <f>SUBSTITUTE(PROPER(LOWER(C118))," ","")</f>
        <v/>
      </c>
      <c r="J118" t="inlineStr">
        <is>
          <t>normalized power</t>
        </is>
      </c>
    </row>
    <row r="119">
      <c r="C119" t="inlineStr">
        <is>
          <t>permeability length</t>
        </is>
      </c>
      <c r="E119">
        <f>VLOOKUP(C119,J$2:J$300,1,FALSE)</f>
        <v/>
      </c>
      <c r="F119">
        <f>SUBSTITUTE(PROPER(LOWER(C119))," ","")</f>
        <v/>
      </c>
      <c r="J119" t="inlineStr">
        <is>
          <t>permeability length</t>
        </is>
      </c>
    </row>
    <row r="120">
      <c r="C120" t="inlineStr">
        <is>
          <t>permeability rock</t>
        </is>
      </c>
      <c r="E120">
        <f>VLOOKUP(C120,J$2:J$300,1,FALSE)</f>
        <v/>
      </c>
      <c r="F120">
        <f>SUBSTITUTE(PROPER(LOWER(C120))," ","")</f>
        <v/>
      </c>
      <c r="J120" t="inlineStr">
        <is>
          <t>permeability rock</t>
        </is>
      </c>
    </row>
    <row r="121">
      <c r="C121" t="inlineStr">
        <is>
          <t>permittivity</t>
        </is>
      </c>
      <c r="E121">
        <f>VLOOKUP(C121,J$2:J$300,1,FALSE)</f>
        <v/>
      </c>
      <c r="F121">
        <f>SUBSTITUTE(PROPER(LOWER(C121))," ","")</f>
        <v/>
      </c>
      <c r="J121" t="inlineStr">
        <is>
          <t>permittivity</t>
        </is>
      </c>
    </row>
    <row r="122">
      <c r="C122" t="inlineStr">
        <is>
          <t>plane angle</t>
        </is>
      </c>
      <c r="E122">
        <f>VLOOKUP(C122,J$2:J$300,1,FALSE)</f>
        <v/>
      </c>
      <c r="F122">
        <f>SUBSTITUTE(PROPER(LOWER(C122))," ","")</f>
        <v/>
      </c>
      <c r="J122" t="inlineStr">
        <is>
          <t>plane angle</t>
        </is>
      </c>
    </row>
    <row r="123">
      <c r="C123" t="inlineStr">
        <is>
          <t>potential difference per power drop</t>
        </is>
      </c>
      <c r="E123">
        <f>VLOOKUP(C123,J$2:J$300,1,FALSE)</f>
        <v/>
      </c>
      <c r="F123">
        <f>SUBSTITUTE(PROPER(LOWER(C123))," ","")</f>
        <v/>
      </c>
      <c r="J123" t="inlineStr">
        <is>
          <t>potential difference per power drop</t>
        </is>
      </c>
    </row>
    <row r="124">
      <c r="C124" t="inlineStr">
        <is>
          <t>power</t>
        </is>
      </c>
      <c r="E124">
        <f>VLOOKUP(C124,J$2:J$300,1,FALSE)</f>
        <v/>
      </c>
      <c r="F124">
        <f>SUBSTITUTE(PROPER(LOWER(C124))," ","")</f>
        <v/>
      </c>
      <c r="J124" t="inlineStr">
        <is>
          <t>power</t>
        </is>
      </c>
    </row>
    <row r="125">
      <c r="C125" t="inlineStr">
        <is>
          <t>power per area</t>
        </is>
      </c>
      <c r="E125">
        <f>VLOOKUP(C125,J$2:J$300,1,FALSE)</f>
        <v/>
      </c>
      <c r="F125">
        <f>SUBSTITUTE(PROPER(LOWER(C125))," ","")</f>
        <v/>
      </c>
      <c r="J125" t="inlineStr">
        <is>
          <t>power per area</t>
        </is>
      </c>
    </row>
    <row r="126">
      <c r="C126" t="inlineStr">
        <is>
          <t>power per power</t>
        </is>
      </c>
      <c r="E126">
        <f>VLOOKUP(C126,J$2:J$300,1,FALSE)</f>
        <v/>
      </c>
      <c r="F126">
        <f>SUBSTITUTE(PROPER(LOWER(C126))," ","")</f>
        <v/>
      </c>
      <c r="J126" t="inlineStr">
        <is>
          <t>power per power</t>
        </is>
      </c>
    </row>
    <row r="127">
      <c r="C127" t="inlineStr">
        <is>
          <t>power per volume</t>
        </is>
      </c>
      <c r="E127">
        <f>VLOOKUP(C127,J$2:J$300,1,FALSE)</f>
        <v/>
      </c>
      <c r="F127">
        <f>SUBSTITUTE(PROPER(LOWER(C127))," ","")</f>
        <v/>
      </c>
      <c r="J127" t="inlineStr">
        <is>
          <t>power per volume</t>
        </is>
      </c>
    </row>
    <row r="128">
      <c r="C128" t="inlineStr">
        <is>
          <t>pressure</t>
        </is>
      </c>
      <c r="E128">
        <f>VLOOKUP(C128,J$2:J$300,1,FALSE)</f>
        <v/>
      </c>
      <c r="F128">
        <f>SUBSTITUTE(PROPER(LOWER(C128))," ","")</f>
        <v/>
      </c>
      <c r="J128" t="inlineStr">
        <is>
          <t>pressure</t>
        </is>
      </c>
    </row>
    <row r="129">
      <c r="C129" t="inlineStr">
        <is>
          <t>pressure per pressure</t>
        </is>
      </c>
      <c r="D129" t="inlineStr">
        <is>
          <t>In EML schema but not in EML dictionary</t>
        </is>
      </c>
      <c r="E129">
        <f>VLOOKUP(C129,J$2:J$300,1,FALSE)</f>
        <v/>
      </c>
      <c r="F129">
        <f>SUBSTITUTE(PROPER(LOWER(C129))," ","")</f>
        <v/>
      </c>
      <c r="J129" t="inlineStr">
        <is>
          <t>pressure per time</t>
        </is>
      </c>
    </row>
    <row r="130">
      <c r="C130" t="inlineStr">
        <is>
          <t>pressure per time</t>
        </is>
      </c>
      <c r="E130">
        <f>VLOOKUP(C130,J$2:J$300,1,FALSE)</f>
        <v/>
      </c>
      <c r="F130">
        <f>SUBSTITUTE(PROPER(LOWER(C130))," ","")</f>
        <v/>
      </c>
      <c r="J130" t="inlineStr">
        <is>
          <t>pressure per volume</t>
        </is>
      </c>
    </row>
    <row r="131">
      <c r="C131" t="inlineStr">
        <is>
          <t>pressure per volume</t>
        </is>
      </c>
      <c r="E131">
        <f>VLOOKUP(C131,J$2:J$300,1,FALSE)</f>
        <v/>
      </c>
      <c r="F131">
        <f>SUBSTITUTE(PROPER(LOWER(C131))," ","")</f>
        <v/>
      </c>
      <c r="J131" t="inlineStr">
        <is>
          <t>pressure squared</t>
        </is>
      </c>
    </row>
    <row r="132">
      <c r="C132" t="inlineStr">
        <is>
          <t>pressure squared</t>
        </is>
      </c>
      <c r="E132">
        <f>VLOOKUP(C132,J$2:J$300,1,FALSE)</f>
        <v/>
      </c>
      <c r="F132">
        <f>SUBSTITUTE(PROPER(LOWER(C132))," ","")</f>
        <v/>
      </c>
      <c r="J132" t="inlineStr">
        <is>
          <t>pressure squared per (force time per area)</t>
        </is>
      </c>
    </row>
    <row r="133">
      <c r="C133" t="inlineStr">
        <is>
          <t>pressure squared per (force time per area)</t>
        </is>
      </c>
      <c r="E133">
        <f>VLOOKUP(C133,J$2:J$300,1,FALSE)</f>
        <v/>
      </c>
      <c r="F133">
        <f>SUBSTITUTE(PROPER(LOWER(C133))," ","")</f>
        <v/>
      </c>
      <c r="J133" t="inlineStr">
        <is>
          <t>pressure time per volume</t>
        </is>
      </c>
    </row>
    <row r="134">
      <c r="C134" t="inlineStr">
        <is>
          <t>pressure time per volume</t>
        </is>
      </c>
      <c r="E134">
        <f>VLOOKUP(C134,J$2:J$300,1,FALSE)</f>
        <v/>
      </c>
      <c r="F134">
        <f>SUBSTITUTE(PROPER(LOWER(C134))," ","")</f>
        <v/>
      </c>
      <c r="J134" t="inlineStr">
        <is>
          <t>quantity of light</t>
        </is>
      </c>
    </row>
    <row r="135">
      <c r="C135" t="inlineStr">
        <is>
          <t>quantity of light</t>
        </is>
      </c>
      <c r="E135">
        <f>VLOOKUP(C135,J$2:J$300,1,FALSE)</f>
        <v/>
      </c>
      <c r="F135">
        <f>SUBSTITUTE(PROPER(LOWER(C135))," ","")</f>
        <v/>
      </c>
      <c r="J135" t="inlineStr">
        <is>
          <t>radiance</t>
        </is>
      </c>
    </row>
    <row r="136">
      <c r="C136" t="inlineStr">
        <is>
          <t>radiance</t>
        </is>
      </c>
      <c r="E136">
        <f>VLOOKUP(C136,J$2:J$300,1,FALSE)</f>
        <v/>
      </c>
      <c r="F136">
        <f>SUBSTITUTE(PROPER(LOWER(C136))," ","")</f>
        <v/>
      </c>
      <c r="J136" t="inlineStr">
        <is>
          <t>radiant intensity</t>
        </is>
      </c>
    </row>
    <row r="137">
      <c r="C137" t="inlineStr">
        <is>
          <t>radiant intensity</t>
        </is>
      </c>
      <c r="E137">
        <f>VLOOKUP(C137,J$2:J$300,1,FALSE)</f>
        <v/>
      </c>
      <c r="F137">
        <f>SUBSTITUTE(PROPER(LOWER(C137))," ","")</f>
        <v/>
      </c>
      <c r="J137" t="inlineStr">
        <is>
          <t>reciprocal (mass time)</t>
        </is>
      </c>
    </row>
    <row r="138">
      <c r="C138" t="inlineStr">
        <is>
          <t>reciprocal area</t>
        </is>
      </c>
      <c r="E138">
        <f>VLOOKUP(C138,J$2:J$300,1,FALSE)</f>
        <v/>
      </c>
      <c r="F138">
        <f>SUBSTITUTE(PROPER(LOWER(C138))," ","")</f>
        <v/>
      </c>
      <c r="J138" t="inlineStr">
        <is>
          <t>reciprocal area</t>
        </is>
      </c>
    </row>
    <row r="139">
      <c r="C139" t="inlineStr">
        <is>
          <t>reciprocal electric potential difference</t>
        </is>
      </c>
      <c r="E139">
        <f>VLOOKUP(C139,J$2:J$300,1,FALSE)</f>
        <v/>
      </c>
      <c r="F139">
        <f>SUBSTITUTE(PROPER(LOWER(C139))," ","")</f>
        <v/>
      </c>
      <c r="J139" t="inlineStr">
        <is>
          <t>reciprocal electric potential difference</t>
        </is>
      </c>
    </row>
    <row r="140">
      <c r="C140" t="inlineStr">
        <is>
          <t>reciprocal force</t>
        </is>
      </c>
      <c r="E140">
        <f>VLOOKUP(C140,J$2:J$300,1,FALSE)</f>
        <v/>
      </c>
      <c r="F140">
        <f>SUBSTITUTE(PROPER(LOWER(C140))," ","")</f>
        <v/>
      </c>
      <c r="J140" t="inlineStr">
        <is>
          <t>reciprocal force</t>
        </is>
      </c>
    </row>
    <row r="141">
      <c r="C141" t="inlineStr">
        <is>
          <t>reciprocal length</t>
        </is>
      </c>
      <c r="E141">
        <f>VLOOKUP(C141,J$2:J$300,1,FALSE)</f>
        <v/>
      </c>
      <c r="F141">
        <f>SUBSTITUTE(PROPER(LOWER(C141))," ","")</f>
        <v/>
      </c>
      <c r="J141" t="inlineStr">
        <is>
          <t>reciprocal length</t>
        </is>
      </c>
    </row>
    <row r="142">
      <c r="C142" t="inlineStr">
        <is>
          <t>reciprocal mass</t>
        </is>
      </c>
      <c r="E142">
        <f>VLOOKUP(C142,J$2:J$300,1,FALSE)</f>
        <v/>
      </c>
      <c r="F142">
        <f>SUBSTITUTE(PROPER(LOWER(C142))," ","")</f>
        <v/>
      </c>
      <c r="J142" t="inlineStr">
        <is>
          <t>reciprocal mass</t>
        </is>
      </c>
    </row>
    <row r="143">
      <c r="C143" t="inlineStr">
        <is>
          <t>reciprocal (mass time)</t>
        </is>
      </c>
      <c r="E143">
        <f>VLOOKUP(C143,J$2:J$300,1,FALSE)</f>
        <v/>
      </c>
      <c r="F143">
        <f>SUBSTITUTE(PROPER(LOWER(C143))," ","")</f>
        <v/>
      </c>
      <c r="J143" t="inlineStr">
        <is>
          <t>reciprocal pressure</t>
        </is>
      </c>
    </row>
    <row r="144">
      <c r="C144" t="inlineStr">
        <is>
          <t>reciprocal pressure</t>
        </is>
      </c>
      <c r="E144">
        <f>VLOOKUP(C144,J$2:J$300,1,FALSE)</f>
        <v/>
      </c>
      <c r="F144">
        <f>SUBSTITUTE(PROPER(LOWER(C144))," ","")</f>
        <v/>
      </c>
      <c r="J144" t="inlineStr">
        <is>
          <t>reciprocal time</t>
        </is>
      </c>
    </row>
    <row r="145">
      <c r="C145" t="inlineStr">
        <is>
          <t>reciprocal time</t>
        </is>
      </c>
      <c r="E145">
        <f>VLOOKUP(C145,J$2:J$300,1,FALSE)</f>
        <v/>
      </c>
      <c r="F145">
        <f>SUBSTITUTE(PROPER(LOWER(C145))," ","")</f>
        <v/>
      </c>
      <c r="J145" t="inlineStr">
        <is>
          <t>reciprocal volume</t>
        </is>
      </c>
    </row>
    <row r="146">
      <c r="C146" t="inlineStr">
        <is>
          <t>reciprocal volume</t>
        </is>
      </c>
      <c r="E146">
        <f>VLOOKUP(C146,J$2:J$300,1,FALSE)</f>
        <v/>
      </c>
      <c r="F146">
        <f>SUBSTITUTE(PROPER(LOWER(C146))," ","")</f>
        <v/>
      </c>
      <c r="J146" t="inlineStr">
        <is>
          <t>reluctance</t>
        </is>
      </c>
    </row>
    <row r="147">
      <c r="C147" t="inlineStr">
        <is>
          <t>relative rate</t>
        </is>
      </c>
      <c r="D147" t="inlineStr">
        <is>
          <t>use for strain rate</t>
        </is>
      </c>
      <c r="E147">
        <f>VLOOKUP(C147,J$2:J$300,1,FALSE)</f>
        <v/>
      </c>
      <c r="F147">
        <f>SUBSTITUTE(PROPER(LOWER(C147))," ","")</f>
        <v/>
      </c>
      <c r="J147" t="inlineStr">
        <is>
          <t>second moment of area</t>
        </is>
      </c>
    </row>
    <row r="148">
      <c r="C148" t="inlineStr">
        <is>
          <t>reluctance</t>
        </is>
      </c>
      <c r="E148">
        <f>VLOOKUP(C148,J$2:J$300,1,FALSE)</f>
        <v/>
      </c>
      <c r="F148">
        <f>SUBSTITUTE(PROPER(LOWER(C148))," ","")</f>
        <v/>
      </c>
      <c r="J148" t="inlineStr">
        <is>
          <t>signaling event per time</t>
        </is>
      </c>
    </row>
    <row r="149">
      <c r="C149" t="inlineStr">
        <is>
          <t>second moment of area</t>
        </is>
      </c>
      <c r="E149">
        <f>VLOOKUP(C149,J$2:J$300,1,FALSE)</f>
        <v/>
      </c>
      <c r="F149">
        <f>SUBSTITUTE(PROPER(LOWER(C149))," ","")</f>
        <v/>
      </c>
      <c r="J149" t="inlineStr">
        <is>
          <t>solid angle</t>
        </is>
      </c>
    </row>
    <row r="150">
      <c r="C150" t="inlineStr">
        <is>
          <t>signaling event per time</t>
        </is>
      </c>
      <c r="E150">
        <f>VLOOKUP(C150,J$2:J$300,1,FALSE)</f>
        <v/>
      </c>
      <c r="F150">
        <f>SUBSTITUTE(PROPER(LOWER(C150))," ","")</f>
        <v/>
      </c>
      <c r="J150" t="inlineStr">
        <is>
          <t>specific heat capacity</t>
        </is>
      </c>
    </row>
    <row r="151">
      <c r="C151" t="inlineStr">
        <is>
          <t>solid angle</t>
        </is>
      </c>
      <c r="E151">
        <f>VLOOKUP(C151,J$2:J$300,1,FALSE)</f>
        <v/>
      </c>
      <c r="F151">
        <f>SUBSTITUTE(PROPER(LOWER(C151))," ","")</f>
        <v/>
      </c>
      <c r="J151" t="inlineStr">
        <is>
          <t>temperature interval</t>
        </is>
      </c>
    </row>
    <row r="152">
      <c r="C152" t="inlineStr">
        <is>
          <t>specific heat capacity</t>
        </is>
      </c>
      <c r="E152">
        <f>VLOOKUP(C152,J$2:J$300,1,FALSE)</f>
        <v/>
      </c>
      <c r="F152">
        <f>SUBSTITUTE(PROPER(LOWER(C152))," ","")</f>
        <v/>
      </c>
      <c r="J152" t="inlineStr">
        <is>
          <t>temperature interval per length</t>
        </is>
      </c>
    </row>
    <row r="153">
      <c r="C153" t="inlineStr">
        <is>
          <t>temperature interval</t>
        </is>
      </c>
      <c r="E153">
        <f>VLOOKUP(C153,J$2:J$300,1,FALSE)</f>
        <v/>
      </c>
      <c r="F153">
        <f>SUBSTITUTE(PROPER(LOWER(C153))," ","")</f>
        <v/>
      </c>
      <c r="J153" t="inlineStr">
        <is>
          <t>temperature interval per pressure</t>
        </is>
      </c>
    </row>
    <row r="154">
      <c r="C154" t="inlineStr">
        <is>
          <t>temperature interval per length</t>
        </is>
      </c>
      <c r="E154">
        <f>VLOOKUP(C154,J$2:J$300,1,FALSE)</f>
        <v/>
      </c>
      <c r="F154">
        <f>SUBSTITUTE(PROPER(LOWER(C154))," ","")</f>
        <v/>
      </c>
      <c r="J154" t="inlineStr">
        <is>
          <t>temperature interval per time</t>
        </is>
      </c>
    </row>
    <row r="155">
      <c r="C155" t="inlineStr">
        <is>
          <t>temperature interval per pressure</t>
        </is>
      </c>
      <c r="E155">
        <f>VLOOKUP(C155,J$2:J$300,1,FALSE)</f>
        <v/>
      </c>
      <c r="F155">
        <f>SUBSTITUTE(PROPER(LOWER(C155))," ","")</f>
        <v/>
      </c>
      <c r="J155" t="inlineStr">
        <is>
          <t>thermal conductance</t>
        </is>
      </c>
    </row>
    <row r="156">
      <c r="C156" t="inlineStr">
        <is>
          <t>temperature interval per time</t>
        </is>
      </c>
      <c r="E156">
        <f>VLOOKUP(C156,J$2:J$300,1,FALSE)</f>
        <v/>
      </c>
      <c r="F156">
        <f>SUBSTITUTE(PROPER(LOWER(C156))," ","")</f>
        <v/>
      </c>
      <c r="J156" t="inlineStr">
        <is>
          <t>thermal conductivity</t>
        </is>
      </c>
    </row>
    <row r="157">
      <c r="C157" t="inlineStr">
        <is>
          <t>thermal conductance</t>
        </is>
      </c>
      <c r="E157">
        <f>VLOOKUP(C157,J$2:J$300,1,FALSE)</f>
        <v/>
      </c>
      <c r="F157">
        <f>SUBSTITUTE(PROPER(LOWER(C157))," ","")</f>
        <v/>
      </c>
      <c r="J157" t="inlineStr">
        <is>
          <t>thermal diffusivity</t>
        </is>
      </c>
    </row>
    <row r="158">
      <c r="C158" t="inlineStr">
        <is>
          <t>thermal conductivity</t>
        </is>
      </c>
      <c r="E158">
        <f>VLOOKUP(C158,J$2:J$300,1,FALSE)</f>
        <v/>
      </c>
      <c r="F158">
        <f>SUBSTITUTE(PROPER(LOWER(C158))," ","")</f>
        <v/>
      </c>
      <c r="J158" t="inlineStr">
        <is>
          <t>thermal insulance</t>
        </is>
      </c>
    </row>
    <row r="159">
      <c r="C159" t="inlineStr">
        <is>
          <t>thermal diffusivity</t>
        </is>
      </c>
      <c r="E159">
        <f>VLOOKUP(C159,J$2:J$300,1,FALSE)</f>
        <v/>
      </c>
      <c r="F159">
        <f>SUBSTITUTE(PROPER(LOWER(C159))," ","")</f>
        <v/>
      </c>
      <c r="J159" t="inlineStr">
        <is>
          <t>thermal resistance</t>
        </is>
      </c>
    </row>
    <row r="160">
      <c r="C160" t="inlineStr">
        <is>
          <t>thermal insulance</t>
        </is>
      </c>
      <c r="E160">
        <f>VLOOKUP(C160,J$2:J$300,1,FALSE)</f>
        <v/>
      </c>
      <c r="F160">
        <f>SUBSTITUTE(PROPER(LOWER(C160))," ","")</f>
        <v/>
      </c>
      <c r="J160" t="inlineStr">
        <is>
          <t>thermodynamic temperature</t>
        </is>
      </c>
    </row>
    <row r="161">
      <c r="C161" t="inlineStr">
        <is>
          <t>thermal resistance</t>
        </is>
      </c>
      <c r="E161">
        <f>VLOOKUP(C161,J$2:J$300,1,FALSE)</f>
        <v/>
      </c>
      <c r="F161">
        <f>SUBSTITUTE(PROPER(LOWER(C161))," ","")</f>
        <v/>
      </c>
      <c r="J161" t="inlineStr">
        <is>
          <t>time</t>
        </is>
      </c>
    </row>
    <row r="162">
      <c r="C162" t="inlineStr">
        <is>
          <t>thermodynamic temperature</t>
        </is>
      </c>
      <c r="E162">
        <f>VLOOKUP(C162,J$2:J$300,1,FALSE)</f>
        <v/>
      </c>
      <c r="F162">
        <f>SUBSTITUTE(PROPER(LOWER(C162))," ","")</f>
        <v/>
      </c>
      <c r="J162" t="inlineStr">
        <is>
          <t>time per length</t>
        </is>
      </c>
    </row>
    <row r="163">
      <c r="C163" t="inlineStr">
        <is>
          <t>thermodynamic temperature per thermodynamic temperature</t>
        </is>
      </c>
      <c r="D163" t="inlineStr">
        <is>
          <t>In EML schema but not in EML dictionary</t>
        </is>
      </c>
      <c r="E163">
        <f>VLOOKUP(C163,J$2:J$300,1,FALSE)</f>
        <v/>
      </c>
      <c r="F163">
        <f>SUBSTITUTE(PROPER(LOWER(C163))," ","")</f>
        <v/>
      </c>
      <c r="J163" t="inlineStr">
        <is>
          <t>time per mass</t>
        </is>
      </c>
    </row>
    <row r="164">
      <c r="C164" t="inlineStr">
        <is>
          <t>time</t>
        </is>
      </c>
      <c r="E164">
        <f>VLOOKUP(C164,J$2:J$300,1,FALSE)</f>
        <v/>
      </c>
      <c r="F164">
        <f>SUBSTITUTE(PROPER(LOWER(C164))," ","")</f>
        <v/>
      </c>
      <c r="J164" t="inlineStr">
        <is>
          <t>time per time</t>
        </is>
      </c>
    </row>
    <row r="165">
      <c r="C165" t="inlineStr">
        <is>
          <t>time per length</t>
        </is>
      </c>
      <c r="E165">
        <f>VLOOKUP(C165,J$2:J$300,1,FALSE)</f>
        <v/>
      </c>
      <c r="F165">
        <f>SUBSTITUTE(PROPER(LOWER(C165))," ","")</f>
        <v/>
      </c>
      <c r="J165" t="inlineStr">
        <is>
          <t>time per volume</t>
        </is>
      </c>
    </row>
    <row r="166">
      <c r="C166" t="inlineStr">
        <is>
          <t>time per mass</t>
        </is>
      </c>
      <c r="E166">
        <f>VLOOKUP(C166,J$2:J$300,1,FALSE)</f>
        <v/>
      </c>
      <c r="F166">
        <f>SUBSTITUTE(PROPER(LOWER(C166))," ","")</f>
        <v/>
      </c>
      <c r="J166" t="inlineStr">
        <is>
          <t>volume</t>
        </is>
      </c>
    </row>
    <row r="167">
      <c r="C167" t="inlineStr">
        <is>
          <t>time per time</t>
        </is>
      </c>
      <c r="E167">
        <f>VLOOKUP(C167,J$2:J$300,1,FALSE)</f>
        <v/>
      </c>
      <c r="F167">
        <f>SUBSTITUTE(PROPER(LOWER(C167))," ","")</f>
        <v/>
      </c>
      <c r="J167" t="inlineStr">
        <is>
          <t>volume flow rate per volume flow rate</t>
        </is>
      </c>
    </row>
    <row r="168">
      <c r="C168" t="inlineStr">
        <is>
          <t>time per volume</t>
        </is>
      </c>
      <c r="E168">
        <f>VLOOKUP(C168,J$2:J$300,1,FALSE)</f>
        <v/>
      </c>
      <c r="F168">
        <f>SUBSTITUTE(PROPER(LOWER(C168))," ","")</f>
        <v/>
      </c>
      <c r="J168" t="inlineStr">
        <is>
          <t>volume per length</t>
        </is>
      </c>
    </row>
    <row r="169">
      <c r="C169" t="inlineStr">
        <is>
          <t>volume</t>
        </is>
      </c>
      <c r="E169">
        <f>VLOOKUP(C169,J$2:J$300,1,FALSE)</f>
        <v/>
      </c>
      <c r="F169">
        <f>SUBSTITUTE(PROPER(LOWER(C169))," ","")</f>
        <v/>
      </c>
      <c r="J169" t="inlineStr">
        <is>
          <t>volume per mass</t>
        </is>
      </c>
    </row>
    <row r="170">
      <c r="C170" t="inlineStr">
        <is>
          <t>volume flow rate per volume flow rate</t>
        </is>
      </c>
      <c r="E170">
        <f>VLOOKUP(C170,J$2:J$300,1,FALSE)</f>
        <v/>
      </c>
      <c r="F170">
        <f>SUBSTITUTE(PROPER(LOWER(C170))," ","")</f>
        <v/>
      </c>
      <c r="J170" t="inlineStr">
        <is>
          <t>volume per pressure</t>
        </is>
      </c>
    </row>
    <row r="171">
      <c r="C171" t="inlineStr">
        <is>
          <t>volume per area</t>
        </is>
      </c>
      <c r="E171">
        <f>VLOOKUP(C171,J$2:J$300,1,FALSE)</f>
        <v/>
      </c>
      <c r="F171">
        <f>SUBSTITUTE(PROPER(LOWER(C171))," ","")</f>
        <v/>
      </c>
      <c r="J171" t="inlineStr">
        <is>
          <t>volume per rotation</t>
        </is>
      </c>
    </row>
    <row r="172">
      <c r="C172" t="inlineStr">
        <is>
          <t>volume per length</t>
        </is>
      </c>
      <c r="E172">
        <f>VLOOKUP(C172,J$2:J$300,1,FALSE)</f>
        <v/>
      </c>
      <c r="F172">
        <f>SUBSTITUTE(PROPER(LOWER(C172))," ","")</f>
        <v/>
      </c>
      <c r="J172" t="inlineStr">
        <is>
          <t>volume per time</t>
        </is>
      </c>
    </row>
    <row r="173">
      <c r="C173" t="inlineStr">
        <is>
          <t>volume per mass</t>
        </is>
      </c>
      <c r="E173">
        <f>VLOOKUP(C173,J$2:J$300,1,FALSE)</f>
        <v/>
      </c>
      <c r="F173">
        <f>SUBSTITUTE(PROPER(LOWER(C173))," ","")</f>
        <v/>
      </c>
      <c r="J173" t="inlineStr">
        <is>
          <t>volume per volume</t>
        </is>
      </c>
    </row>
    <row r="174">
      <c r="C174" t="inlineStr">
        <is>
          <t>volume per pressure</t>
        </is>
      </c>
      <c r="E174">
        <f>VLOOKUP(C174,J$2:J$300,1,FALSE)</f>
        <v/>
      </c>
      <c r="F174">
        <f>SUBSTITUTE(PROPER(LOWER(C174))," ","")</f>
        <v/>
      </c>
      <c r="J174" t="inlineStr">
        <is>
          <t>volumetric heat transfer coefficient</t>
        </is>
      </c>
    </row>
    <row r="175">
      <c r="C175" t="inlineStr">
        <is>
          <t>volume per rotation</t>
        </is>
      </c>
      <c r="E175">
        <f>VLOOKUP(C175,J$2:J$300,1,FALSE)</f>
        <v/>
      </c>
      <c r="F175">
        <f>VLOOKUP(K175,D$2:D$199,1,FALSE)</f>
        <v/>
      </c>
      <c r="J175" t="inlineStr">
        <is>
          <t>volumetric thermal expansion</t>
        </is>
      </c>
    </row>
    <row r="176">
      <c r="C176" t="inlineStr">
        <is>
          <t>volume per time</t>
        </is>
      </c>
      <c r="E176">
        <f>VLOOKUP(C176,J$2:J$300,1,FALSE)</f>
        <v/>
      </c>
      <c r="F176">
        <f>SUBSTITUTE(PROPER(LOWER(C176))," ","")</f>
        <v/>
      </c>
    </row>
    <row r="177">
      <c r="C177" t="inlineStr">
        <is>
          <t>(volume per time) length</t>
        </is>
      </c>
      <c r="E177">
        <f>VLOOKUP(C177,J$2:J$300,1,FALSE)</f>
        <v/>
      </c>
      <c r="F177">
        <f>SUBSTITUTE(PROPER(LOWER(C177))," ","")</f>
        <v/>
      </c>
    </row>
    <row r="178">
      <c r="C178" t="inlineStr">
        <is>
          <t>(volume per time) per area</t>
        </is>
      </c>
      <c r="E178">
        <f>VLOOKUP(C178,J$2:J$300,1,FALSE)</f>
        <v/>
      </c>
      <c r="F178">
        <f>SUBSTITUTE(PROPER(LOWER(C178))," ","")</f>
        <v/>
      </c>
    </row>
    <row r="179">
      <c r="C179" t="inlineStr">
        <is>
          <t>(volume per time) per length</t>
        </is>
      </c>
      <c r="E179">
        <f>VLOOKUP(C179,J$2:J$300,1,FALSE)</f>
        <v/>
      </c>
      <c r="F179">
        <f>SUBSTITUTE(PROPER(LOWER(C179))," ","")</f>
        <v/>
      </c>
    </row>
    <row r="180">
      <c r="C180" t="inlineStr">
        <is>
          <t>(volume per time) per pressure</t>
        </is>
      </c>
      <c r="E180">
        <f>VLOOKUP(C180,J$2:J$300,1,FALSE)</f>
        <v/>
      </c>
      <c r="F180">
        <f>SUBSTITUTE(PROPER(LOWER(C180))," ","")</f>
        <v/>
      </c>
    </row>
    <row r="181">
      <c r="C181" t="inlineStr">
        <is>
          <t>(volume per time) per (pressure length)</t>
        </is>
      </c>
      <c r="E181">
        <f>VLOOKUP(C181,J$2:J$300,1,FALSE)</f>
        <v/>
      </c>
      <c r="F181">
        <f>SUBSTITUTE(PROPER(LOWER(C181))," ","")</f>
        <v/>
      </c>
    </row>
    <row r="182">
      <c r="C182" t="inlineStr">
        <is>
          <t>(volume per time) per time</t>
        </is>
      </c>
      <c r="E182">
        <f>VLOOKUP(C182,J$2:J$300,1,FALSE)</f>
        <v/>
      </c>
      <c r="F182">
        <f>SUBSTITUTE(PROPER(LOWER(C182))," ","")</f>
        <v/>
      </c>
    </row>
    <row r="183">
      <c r="C183" t="inlineStr">
        <is>
          <t>(volume per time) per volume</t>
        </is>
      </c>
      <c r="E183">
        <f>VLOOKUP(C183,J$2:J$300,1,FALSE)</f>
        <v/>
      </c>
      <c r="F183">
        <f>SUBSTITUTE(PROPER(LOWER(C183))," ","")</f>
        <v/>
      </c>
    </row>
    <row r="184">
      <c r="C184" t="inlineStr">
        <is>
          <t>volume per volume</t>
        </is>
      </c>
      <c r="E184">
        <f>VLOOKUP(C184,J$2:J$300,1,FALSE)</f>
        <v/>
      </c>
      <c r="F184">
        <f>SUBSTITUTE(PROPER(LOWER(C184))," ","")</f>
        <v/>
      </c>
    </row>
    <row r="185">
      <c r="C185" t="inlineStr">
        <is>
          <t>volumetric heat transfer coefficient</t>
        </is>
      </c>
      <c r="E185">
        <f>VLOOKUP(C185,J$2:J$300,1,FALSE)</f>
        <v/>
      </c>
      <c r="F185">
        <f>SUBSTITUTE(PROPER(LOWER(C185))," ","")</f>
        <v/>
      </c>
    </row>
    <row r="186">
      <c r="C186" t="inlineStr">
        <is>
          <t>volumetric thermal expansion</t>
        </is>
      </c>
      <c r="E186">
        <f>VLOOKUP(C186,J$2:J$300,1,FALSE)</f>
        <v/>
      </c>
      <c r="F186">
        <f>SUBSTITUTE(PROPER(LOWER(C186))," ","")</f>
        <v/>
      </c>
    </row>
    <row r="187">
      <c r="C187" t="inlineStr">
        <is>
          <t>reciprocal time(0.5)</t>
        </is>
      </c>
      <c r="D187" t="inlineStr">
        <is>
          <t>used for pressure filtration</t>
        </is>
      </c>
      <c r="E187">
        <f>VLOOKUP(C187,J$2:J$300,1,FALSE)</f>
        <v/>
      </c>
    </row>
    <row r="188">
      <c r="C188" t="inlineStr">
        <is>
          <t>volume or mass loss</t>
        </is>
      </c>
      <c r="D188" t="inlineStr">
        <is>
          <t>used for pressure filtration</t>
        </is>
      </c>
      <c r="E188">
        <f>VLOOKUP(C188,J$2:J$300,1,FALSE)</f>
        <v/>
      </c>
    </row>
  </sheetData>
  <pageMargins left="0.7" right="0.7" top="0.75" bottom="0.75" header="0.3" footer="0.3"/>
  <pageSetup orientation="portrait" horizontalDpi="0" verticalDpi="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2018-10-28T20:07:54Z</dcterms:created>
  <dcterms:modified xsi:type="dcterms:W3CDTF">2026-09-30T19:59:40Z</dcterms:modified>
  <cp:lastModifiedBy>Dan Ponti</cp:lastModifiedBy>
  <cp:lastPrinted>2024-01-23T07:37:04Z</cp:lastPrinted>
</cp:coreProperties>
</file>