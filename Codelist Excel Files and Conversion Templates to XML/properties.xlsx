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020" yWindow="2560" windowWidth="35840" windowHeight="20700" tabRatio="500" firstSheet="0" activeTab="1"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ValueBindings" sheetId="4" state="visible" r:id="rId4"/>
    <sheet xmlns:r="http://schemas.openxmlformats.org/officeDocument/2006/relationships" name="Lists" sheetId="5" state="visible" r:id="rId5"/>
  </sheets>
  <externalReferences>
    <externalReference xmlns:r="http://schemas.openxmlformats.org/officeDocument/2006/relationships" r:id="rId6"/>
  </externalReferences>
  <definedNames/>
  <calcPr calcId="191029" fullCalcOnLoad="1"/>
</workbook>
</file>

<file path=xl/styles.xml><?xml version="1.0" encoding="utf-8"?>
<styleSheet xmlns="http://schemas.openxmlformats.org/spreadsheetml/2006/main">
  <numFmts count="0"/>
  <fonts count="20">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Aptos Narrow"/>
      <family val="2"/>
      <color rgb="FF000000"/>
      <sz val="12"/>
    </font>
    <font>
      <name val="Calibri"/>
      <family val="2"/>
      <color rgb="FF000000"/>
      <sz val="12"/>
      <scheme val="minor"/>
    </font>
    <font>
      <name val="Calibri"/>
      <family val="2"/>
      <color theme="1"/>
      <sz val="12"/>
      <scheme val="minor"/>
    </font>
    <font>
      <name val="Calibri"/>
      <family val="2"/>
      <color rgb="FF211E1E"/>
      <sz val="12"/>
      <scheme val="minor"/>
    </font>
    <font>
      <name val="Calibri"/>
      <family val="2"/>
      <color theme="3"/>
      <sz val="12"/>
      <scheme val="minor"/>
    </font>
    <font>
      <name val="Calibri"/>
      <family val="2"/>
      <color rgb="FF44546A"/>
      <sz val="12"/>
      <scheme val="minor"/>
    </font>
    <font>
      <name val="Calibri"/>
      <family val="2"/>
      <color rgb="FFFF0000"/>
      <sz val="12"/>
      <scheme val="minor"/>
    </font>
    <font>
      <name val="Aptos Narrow"/>
      <family val="2"/>
      <sz val="12"/>
    </font>
    <font>
      <name val="Times"/>
      <color rgb="FF231F20"/>
      <sz val="12"/>
    </font>
    <font>
      <name val="Arial"/>
      <family val="2"/>
      <color rgb="FF000000"/>
      <sz val="12"/>
    </font>
  </fonts>
  <fills count="6">
    <fill>
      <patternFill/>
    </fill>
    <fill>
      <patternFill patternType="gray125"/>
    </fill>
    <fill>
      <patternFill patternType="solid">
        <fgColor rgb="FF4472C4"/>
        <bgColor rgb="FF4472C4"/>
      </patternFill>
    </fill>
    <fill>
      <patternFill patternType="solid">
        <fgColor rgb="FFDBE5F1"/>
        <bgColor indexed="64"/>
      </patternFill>
    </fill>
    <fill>
      <patternFill patternType="solid">
        <fgColor rgb="FFD9E1F2"/>
        <bgColor rgb="FFD9E1F2"/>
      </patternFill>
    </fill>
    <fill>
      <patternFill patternType="solid">
        <fgColor rgb="FFB4C6E7"/>
        <bgColor rgb="FFB4C6E7"/>
      </patternFill>
    </fill>
  </fills>
  <borders count="6">
    <border>
      <left/>
      <right/>
      <top/>
      <bottom/>
      <diagonal/>
    </border>
    <border>
      <left style="thin">
        <color rgb="FFFFFFFF"/>
      </left>
      <right style="thin">
        <color rgb="FFFFFFFF"/>
      </right>
      <top/>
      <bottom style="thick">
        <color rgb="FFFFFFFF"/>
      </bottom>
      <diagonal/>
    </border>
    <border>
      <left/>
      <right style="thin">
        <color rgb="FFFFFFFF"/>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bottom style="thin">
        <color indexed="64"/>
      </bottom>
      <diagonal/>
    </border>
  </borders>
  <cellStyleXfs count="3">
    <xf numFmtId="0" fontId="12" fillId="0" borderId="0"/>
    <xf numFmtId="0" fontId="2" fillId="0" borderId="0"/>
    <xf numFmtId="0" fontId="3" fillId="0" borderId="0"/>
  </cellStyleXfs>
  <cellXfs count="40">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1" fillId="0" borderId="0" pivotButton="0" quotePrefix="0" xfId="0"/>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8" fillId="2" borderId="1" pivotButton="0" quotePrefix="0" xfId="0"/>
    <xf numFmtId="0" fontId="9" fillId="0" borderId="0" pivotButton="0" quotePrefix="0" xfId="0"/>
    <xf numFmtId="0" fontId="0" fillId="0" borderId="0" applyAlignment="1" pivotButton="0" quotePrefix="0" xfId="0">
      <alignment vertical="center"/>
    </xf>
    <xf numFmtId="0" fontId="10" fillId="0" borderId="0" applyAlignment="1" pivotButton="0" quotePrefix="0" xfId="0">
      <alignment vertical="center" wrapText="1"/>
    </xf>
    <xf numFmtId="0" fontId="11" fillId="0" borderId="0" applyAlignment="1" pivotButton="0" quotePrefix="0" xfId="0">
      <alignment vertical="center" wrapText="1"/>
    </xf>
    <xf numFmtId="0" fontId="0" fillId="0" borderId="0" applyAlignment="1" pivotButton="0" quotePrefix="0" xfId="0">
      <alignment wrapText="1"/>
    </xf>
    <xf numFmtId="0" fontId="12" fillId="0" borderId="0" applyAlignment="1" pivotButton="0" quotePrefix="0" xfId="0">
      <alignment vertical="center" wrapText="1"/>
    </xf>
    <xf numFmtId="0" fontId="10" fillId="0" borderId="0" applyAlignment="1" pivotButton="0" quotePrefix="0" xfId="0">
      <alignment vertical="center"/>
    </xf>
    <xf numFmtId="0" fontId="13" fillId="0" borderId="0" applyAlignment="1" pivotButton="0" quotePrefix="0" xfId="0">
      <alignment vertical="center" wrapText="1"/>
    </xf>
    <xf numFmtId="0" fontId="0" fillId="0" borderId="0" applyAlignment="1" pivotButton="0" quotePrefix="0" xfId="0">
      <alignment horizontal="left" vertical="center" wrapText="1"/>
    </xf>
    <xf numFmtId="0" fontId="4" fillId="0" borderId="0" applyAlignment="1" pivotButton="0" quotePrefix="0" xfId="0">
      <alignment vertical="center"/>
    </xf>
    <xf numFmtId="0" fontId="4" fillId="0" borderId="0" applyAlignment="1" pivotButton="0" quotePrefix="0" xfId="0">
      <alignment horizontal="left" vertical="center"/>
    </xf>
    <xf numFmtId="0" fontId="10" fillId="0" borderId="2" applyAlignment="1" pivotButton="0" quotePrefix="0" xfId="0">
      <alignment vertical="center"/>
    </xf>
    <xf numFmtId="0" fontId="14" fillId="0" borderId="0" pivotButton="0" quotePrefix="0" xfId="0"/>
    <xf numFmtId="0" fontId="4" fillId="3" borderId="0" applyAlignment="1" pivotButton="0" quotePrefix="0" xfId="0">
      <alignment horizontal="left" vertical="center" wrapText="1"/>
    </xf>
    <xf numFmtId="0" fontId="11" fillId="0" borderId="3" applyAlignment="1" pivotButton="0" quotePrefix="0" xfId="0">
      <alignment vertical="center" wrapText="1"/>
    </xf>
    <xf numFmtId="0" fontId="0" fillId="0" borderId="2" applyAlignment="1" pivotButton="0" quotePrefix="0" xfId="0">
      <alignment vertical="center" wrapText="1"/>
    </xf>
    <xf numFmtId="0" fontId="11" fillId="4" borderId="0" applyAlignment="1" pivotButton="0" quotePrefix="0" xfId="0">
      <alignment vertical="center" wrapText="1"/>
    </xf>
    <xf numFmtId="0" fontId="14" fillId="0" borderId="0" applyAlignment="1" pivotButton="0" quotePrefix="0" xfId="0">
      <alignment vertical="center" wrapText="1"/>
    </xf>
    <xf numFmtId="0" fontId="1" fillId="0" borderId="0" applyAlignment="1" pivotButton="0" quotePrefix="0" xfId="0">
      <alignment vertical="center"/>
    </xf>
    <xf numFmtId="0" fontId="4" fillId="0" borderId="0" applyAlignment="1" pivotButton="0" quotePrefix="0" xfId="0">
      <alignment vertical="center" wrapText="1"/>
    </xf>
    <xf numFmtId="0" fontId="15" fillId="5" borderId="0" pivotButton="0" quotePrefix="0" xfId="0"/>
    <xf numFmtId="0" fontId="14" fillId="0" borderId="4" pivotButton="0" quotePrefix="0" xfId="0"/>
    <xf numFmtId="0" fontId="4" fillId="3" borderId="0" applyAlignment="1" pivotButton="0" quotePrefix="0" xfId="0">
      <alignment vertical="center" wrapText="1"/>
    </xf>
    <xf numFmtId="0" fontId="16" fillId="0" borderId="0" applyAlignment="1" pivotButton="0" quotePrefix="0" xfId="0">
      <alignment vertical="center" wrapText="1"/>
    </xf>
    <xf numFmtId="0" fontId="17" fillId="0" borderId="0" applyAlignment="1" pivotButton="0" quotePrefix="0" xfId="0">
      <alignment vertical="center" wrapText="1"/>
    </xf>
    <xf numFmtId="0" fontId="11" fillId="0" borderId="5" applyAlignment="1" pivotButton="0" quotePrefix="0" xfId="0">
      <alignment vertical="center" wrapText="1"/>
    </xf>
    <xf numFmtId="0" fontId="17" fillId="0" borderId="0" applyAlignment="1" pivotButton="0" quotePrefix="0" xfId="0">
      <alignment vertical="center"/>
    </xf>
    <xf numFmtId="0" fontId="4" fillId="0" borderId="2" applyAlignment="1" pivotButton="0" quotePrefix="0" xfId="0">
      <alignment vertical="center" wrapText="1"/>
    </xf>
    <xf numFmtId="0" fontId="18" fillId="0" borderId="0" applyAlignment="1" pivotButton="0" quotePrefix="0" xfId="0">
      <alignment wrapText="1"/>
    </xf>
    <xf numFmtId="0" fontId="0" fillId="0" borderId="0" applyAlignment="1" pivotButton="0" quotePrefix="0" xfId="0">
      <alignment vertical="center" wrapText="1"/>
    </xf>
    <xf numFmtId="0" fontId="19" fillId="0" borderId="0" pivotButton="0" quotePrefix="0" xfId="0"/>
  </cellXfs>
  <cellStyles count="3">
    <cellStyle name="Normal" xfId="0" builtinId="0"/>
    <cellStyle name="Hyperlink" xfId="1" builtinId="8" hidden="1"/>
    <cellStyle name="Followed Hyperlink" xfId="2" builtinId="9" hidden="1"/>
  </cellStyles>
  <dxfs count="23">
    <dxf>
      <font>
        <name val="Calibri"/>
        <family val="2"/>
        <strike val="0"/>
        <outline val="0"/>
        <shadow val="0"/>
        <condense val="0"/>
        <color theme="3"/>
        <extend val="0"/>
        <sz val="12"/>
        <vertAlign val="baseline"/>
        <scheme val="minor"/>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dxf>
    <dxf>
      <alignment horizontal="general" vertical="center" wrapText="1"/>
    </dxf>
    <dxf>
      <alignment horizontal="general" vertical="center" wrapText="1"/>
    </dxf>
    <dxf>
      <alignment horizontal="general" vertical="center" wrapText="1"/>
    </dxf>
    <dxf>
      <alignment horizontal="general" vertical="center" wrapText="1"/>
    </dxf>
    <dxf>
      <fill>
        <patternFill>
          <fgColor indexed="64"/>
          <bgColor auto="1"/>
        </patternFill>
      </fill>
      <alignment horizontal="general" vertical="center" wrapText="1"/>
    </dxf>
    <dxf>
      <alignment horizontal="general" vertical="center" wrapText="1"/>
    </dxf>
    <dxf>
      <font>
        <name val="Calibri"/>
        <strike val="0"/>
        <outline val="0"/>
        <shadow val="0"/>
        <sz val="12"/>
        <vertAlign val="baseline"/>
        <scheme val="minor"/>
      </font>
      <alignment horizontal="general" vertical="center" wrapText="1"/>
    </dxf>
    <dxf>
      <alignment horizontal="general" vertical="center" wrapText="1"/>
    </dxf>
    <dxf>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openxmlformats.org/officeDocument/2006/relationships/externalLinkPath" Target="file:///D:/Users/dponti/GitHub/def/Codelist%20Excel%20Files%20and%20Conversion%20Templates%20to%20XML/sensor_properties.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AssociatedElements"/>
    </sheetNames>
    <sheetDataSet>
      <sheetData sheetId="0" refreshError="1"/>
    </sheetDataSet>
  </externalBook>
</externalLink>
</file>

<file path=xl/tables/table1.xml><?xml version="1.0" encoding="utf-8"?>
<table xmlns="http://schemas.openxmlformats.org/spreadsheetml/2006/main" id="1" name="DictionaryName" displayName="DictionaryName" ref="A1:E3" headerRowCount="1" totalsRowShown="0" headerRowDxfId="10" dataDxfId="9">
  <autoFilter ref="A1:E3"/>
  <tableColumns count="5">
    <tableColumn id="1" name="Start" dataDxfId="8"/>
    <tableColumn id="4" name="Dictionary ID" dataDxfId="7"/>
    <tableColumn id="5" name="DictionaryFile"/>
    <tableColumn id="2" name="DictionaryName" dataDxfId="6"/>
    <tableColumn id="3" name="Description" dataDxfId="5"/>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J213" headerRowCount="1" totalsRowShown="0" headerRowDxfId="22" dataDxfId="21">
  <autoFilter ref="A1:J213"/>
  <sortState ref="A2:H180">
    <sortCondition ref="B1:B180"/>
  </sortState>
  <tableColumns count="10">
    <tableColumn id="1" name="Start" dataDxfId="20">
      <calculatedColumnFormula>IF(ISNA(VLOOKUP(B2,AssociatedElements!B$2:B623,1,FALSE)),"Not used","")</calculatedColumnFormula>
    </tableColumn>
    <tableColumn id="10" name="ID" dataDxfId="19"/>
    <tableColumn id="7" name="Name" dataDxfId="18"/>
    <tableColumn id="3" name="Description" dataDxfId="17"/>
    <tableColumn id="4" name="DataType" dataDxfId="16"/>
    <tableColumn id="5" name="QuantityClass" dataDxfId="15"/>
    <tableColumn id="6" name="Authority" dataDxfId="14"/>
    <tableColumn id="9" name="Reference" dataDxfId="13"/>
    <tableColumn id="2" name="SLD Comment" dataDxfId="12"/>
    <tableColumn id="8" name="SLD Changed" dataDxfId="11"/>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36" headerRowCount="1" totalsRowShown="0" headerRowDxfId="4">
  <autoFilter ref="A1:D336"/>
  <sortState ref="A2:D294">
    <sortCondition ref="B1:B294"/>
  </sortState>
  <tableColumns count="4">
    <tableColumn id="1" name="Start" dataDxfId="3">
      <calculatedColumnFormula>IF(ISNA(VLOOKUP([1]AssociatedElements!B2,Definitions!B$2:B$1604,1,FALSE)),"Not listed","")</calculatedColumnFormula>
    </tableColumn>
    <tableColumn id="4" name="ID" dataDxfId="2"/>
    <tableColumn id="2" name="SourceElement" dataDxfId="1"/>
    <tableColumn id="3" name="ConditionalElement" dataDxfId="0"/>
  </tableColumns>
  <tableStyleInfo name="TableStyleMedium9" showFirstColumn="0" showLastColumn="0" showRowStripes="1" showColumnStripes="0"/>
</table>
</file>

<file path=xl/tables/table4.xml><?xml version="1.0" encoding="utf-8"?>
<table xmlns="http://schemas.openxmlformats.org/spreadsheetml/2006/main" id="4" name="Table6" displayName="Table6" ref="A1:D188" headerRowCount="1" totalsRowShown="0">
  <autoFilter ref="A1:D188"/>
  <sortState ref="A2:C186">
    <sortCondition ref="C1:C186"/>
  </sortState>
  <tableColumns count="4">
    <tableColumn id="1" name="DataType"/>
    <tableColumn id="2" name="DataType2"/>
    <tableColumn id="3" name="QuantityClass"/>
    <tableColumn id="4" name="Column2"/>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codeName="Sheet1">
    <outlinePr summaryBelow="1" summaryRight="1"/>
    <pageSetUpPr/>
  </sheetPr>
  <dimension ref="A1:E3"/>
  <sheetViews>
    <sheetView workbookViewId="0">
      <selection activeCell="E3" sqref="E3"/>
    </sheetView>
  </sheetViews>
  <sheetFormatPr baseColWidth="10" defaultColWidth="11" defaultRowHeight="16"/>
  <cols>
    <col width="7.5" customWidth="1" min="1" max="1"/>
    <col width="41.33203125" customWidth="1" min="2" max="2"/>
    <col width="26.33203125" customWidth="1" min="3" max="3"/>
    <col width="30.6640625" customWidth="1" min="4" max="4"/>
    <col width="76" customWidth="1" min="5" max="5"/>
  </cols>
  <sheetData>
    <row r="1" ht="17" customFormat="1" customHeight="1" s="3" thickBot="1">
      <c r="A1" s="3" t="inlineStr">
        <is>
          <t>Start</t>
        </is>
      </c>
      <c r="B1" s="3" t="inlineStr">
        <is>
          <t>Dictionary ID</t>
        </is>
      </c>
      <c r="C1" s="8" t="inlineStr">
        <is>
          <t>DictionaryFile</t>
        </is>
      </c>
      <c r="D1" s="3" t="inlineStr">
        <is>
          <t>DictionaryName</t>
        </is>
      </c>
      <c r="E1" s="3" t="inlineStr">
        <is>
          <t>Description</t>
        </is>
      </c>
    </row>
    <row r="2" ht="18" customFormat="1" customHeight="1" s="3" thickTop="1">
      <c r="A2" s="1" t="n"/>
      <c r="B2" s="1" t="n"/>
      <c r="C2" s="1" t="n"/>
      <c r="D2" s="1" t="n"/>
      <c r="E2" s="1" t="inlineStr">
        <is>
          <t>Leave this line blank</t>
        </is>
      </c>
    </row>
    <row r="3" ht="136" customFormat="1" customHeight="1" s="38">
      <c r="B3" s="10" t="inlineStr">
        <is>
          <t>propertyClass</t>
        </is>
      </c>
      <c r="C3" s="10" t="inlineStr">
        <is>
          <t>properties</t>
        </is>
      </c>
      <c r="D3" s="10" t="inlineStr">
        <is>
          <t>DIGGS Measurement Properties</t>
        </is>
      </c>
      <c r="E3" s="38" t="inlineStr">
        <is>
          <t xml:space="preserve">This dictionary contains the values for the propertyClass property of the diggs:Property object and the measurand property of the diggs:Detector object when used within the Test and Monitor DIGGS features. These values serve to define the ultimate results of geotechnical and environmental tests and monitoring activities that result from test procedures and monitoring sensors. The Xpaths to these occurrences are: 1) //diggs:Property/diggs:propertyClass (for Test, MaterialTest or Monitor) 2)//diggs:Detector/diggs:measurand (for measurand).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K271"/>
  <sheetViews>
    <sheetView tabSelected="1" topLeftCell="A197" zoomScale="150" zoomScaleNormal="150" workbookViewId="0">
      <selection activeCell="F199" sqref="F199"/>
    </sheetView>
  </sheetViews>
  <sheetFormatPr baseColWidth="10" defaultColWidth="10.83203125" defaultRowHeight="16"/>
  <cols>
    <col width="7" customWidth="1" style="38" min="1" max="1"/>
    <col width="25.83203125" customWidth="1" style="38" min="2" max="2"/>
    <col width="31.6640625" customWidth="1" style="38" min="3" max="3"/>
    <col width="54" customWidth="1" style="10" min="4" max="4"/>
    <col width="11.1640625" customWidth="1" style="38" min="5" max="5"/>
    <col width="25.6640625" bestFit="1" customWidth="1" style="38" min="6" max="6"/>
    <col width="17.83203125" customWidth="1" style="38" min="7" max="7"/>
    <col width="20.83203125" customWidth="1" style="38" min="8" max="8"/>
    <col width="10.83203125" customWidth="1" style="38" min="9" max="9"/>
    <col width="10.83203125" customWidth="1" style="38" min="10" max="16384"/>
  </cols>
  <sheetData>
    <row r="1" ht="34" customFormat="1" customHeight="1" s="1">
      <c r="A1" s="1" t="inlineStr">
        <is>
          <t>Start</t>
        </is>
      </c>
      <c r="B1" s="1" t="inlineStr">
        <is>
          <t>ID</t>
        </is>
      </c>
      <c r="C1" s="1" t="inlineStr">
        <is>
          <t>Name</t>
        </is>
      </c>
      <c r="D1" s="27" t="inlineStr">
        <is>
          <t>Description</t>
        </is>
      </c>
      <c r="E1" s="1" t="inlineStr">
        <is>
          <t>DataType</t>
        </is>
      </c>
      <c r="F1" s="1" t="inlineStr">
        <is>
          <t>QuantityClass</t>
        </is>
      </c>
      <c r="G1" s="1" t="inlineStr">
        <is>
          <t>Authority</t>
        </is>
      </c>
      <c r="H1" s="1" t="inlineStr">
        <is>
          <t>Reference</t>
        </is>
      </c>
      <c r="I1" s="1" t="inlineStr">
        <is>
          <t>SLD Comment</t>
        </is>
      </c>
      <c r="J1" s="1" t="inlineStr">
        <is>
          <t>SLD Changed</t>
        </is>
      </c>
      <c r="K1" s="1" t="inlineStr">
        <is>
          <t>ValueCodeSpace</t>
        </is>
      </c>
    </row>
    <row r="2" ht="68" customHeight="1">
      <c r="A2" s="38">
        <f>IF(ISNA(VLOOKUP(B2,AssociatedElements!B$2:B623,1,FALSE)),"Not used","")</f>
        <v/>
      </c>
      <c r="B2" s="10" t="inlineStr">
        <is>
          <t>a_pressure</t>
        </is>
      </c>
      <c r="C2" s="10" t="inlineStr">
        <is>
          <t>A-Pressure</t>
        </is>
      </c>
      <c r="D2" s="13" t="inlineStr">
        <is>
          <t xml:space="preserve">The gauge gas pressure against the inside of the membrane when the center of the membrane has lifted above its support and moved laterally 0.05-mm (tolerance +0.02, -0.00 mm) into the soil surrounding the blade. </t>
        </is>
      </c>
      <c r="E2" s="10" t="inlineStr">
        <is>
          <t>double</t>
        </is>
      </c>
      <c r="F2" s="10" t="inlineStr">
        <is>
          <t>pressure</t>
        </is>
      </c>
    </row>
    <row r="3" ht="85" customHeight="1">
      <c r="A3" s="38">
        <f>IF(ISNA(VLOOKUP(B3,AssociatedElements!B$2:B624,1,FALSE)),"Not used","")</f>
        <v/>
      </c>
      <c r="B3" s="38" t="inlineStr">
        <is>
          <t>aashto_group_index</t>
        </is>
      </c>
      <c r="C3" s="38" t="inlineStr">
        <is>
          <t>AASHTO Group Index</t>
        </is>
      </c>
      <c r="D3" s="38" t="inlineStr">
        <is>
          <t>The value of the AASHTO group index (GI) as defined by: GI= (F–35)[0.2+0.005(LL– 40)}+(F–15)(PI–10) where F is the percentage passing the 75 μm (0.075 mm) sieve, expressed as a whole number, LL is the liquid limit and PI is the plasticity index.</t>
        </is>
      </c>
      <c r="E3" s="38" t="inlineStr">
        <is>
          <t>string</t>
        </is>
      </c>
    </row>
    <row r="4" ht="34" customHeight="1">
      <c r="A4" s="38">
        <f>IF(ISNA(VLOOKUP(B4,AssociatedElements!B$2:B625,1,FALSE)),"Not used","")</f>
        <v/>
      </c>
      <c r="B4" s="38" t="inlineStr">
        <is>
          <t>aashto_symbol</t>
        </is>
      </c>
      <c r="C4" s="38" t="inlineStr">
        <is>
          <t>AASHTO Symbol</t>
        </is>
      </c>
      <c r="D4" s="38" t="inlineStr">
        <is>
          <t>The group or appropriate subgroup classification as defined by AASHTO M145-91</t>
        </is>
      </c>
      <c r="E4" s="38" t="inlineStr">
        <is>
          <t>string</t>
        </is>
      </c>
    </row>
    <row r="5" ht="34" customHeight="1">
      <c r="A5" s="38">
        <f>IF(ISNA(VLOOKUP(B5,AssociatedElements!B$2:B626,1,FALSE)),"Not used","")</f>
        <v/>
      </c>
      <c r="B5" s="38" t="inlineStr">
        <is>
          <t>aggregate_abrasion_value</t>
        </is>
      </c>
      <c r="C5" s="38" t="inlineStr">
        <is>
          <t>Aggregate Abrasion Value</t>
        </is>
      </c>
      <c r="D5" s="38" t="inlineStr">
        <is>
          <t xml:space="preserve"> A measure of the resistance of aggregate to surface wear by abrasion.</t>
        </is>
      </c>
      <c r="E5" s="38" t="inlineStr">
        <is>
          <t>double</t>
        </is>
      </c>
    </row>
    <row r="6" ht="34" customHeight="1">
      <c r="A6" s="38">
        <f>IF(ISNA(VLOOKUP(B6,AssociatedElements!B$2:B627,1,FALSE)),"Not used","")</f>
        <v/>
      </c>
      <c r="B6" s="38" t="inlineStr">
        <is>
          <t>aggregate_crushing_value</t>
        </is>
      </c>
      <c r="C6" s="38" t="inlineStr">
        <is>
          <t>Aggregate Crushing Value</t>
        </is>
      </c>
      <c r="D6" s="38" t="inlineStr">
        <is>
          <t xml:space="preserve"> A relative measure of the resistance of an aggregate to crushing under a gradually applied compressive load.</t>
        </is>
      </c>
      <c r="E6" s="38" t="inlineStr">
        <is>
          <t>double</t>
        </is>
      </c>
    </row>
    <row r="7" ht="51" customHeight="1">
      <c r="A7" s="38">
        <f>IF(ISNA(VLOOKUP(B7,AssociatedElements!B$2:B628,1,FALSE)),"Not used","")</f>
        <v/>
      </c>
      <c r="B7" s="38" t="inlineStr">
        <is>
          <t>aggregate_elongation_index</t>
        </is>
      </c>
      <c r="C7" s="38" t="inlineStr">
        <is>
          <t>Aggregate Elongation Index</t>
        </is>
      </c>
      <c r="D7" s="38" t="inlineStr">
        <is>
          <t xml:space="preserve"> The ratio, (by mass) of particles whose greatest dimension (length) is 1.8 times their mean dimension to the total mass of the sample.</t>
        </is>
      </c>
      <c r="E7" s="38" t="inlineStr">
        <is>
          <t>double</t>
        </is>
      </c>
    </row>
    <row r="8" ht="51" customHeight="1">
      <c r="A8" s="38">
        <f>IF(ISNA(VLOOKUP(B8,AssociatedElements!B$2:B629,1,FALSE)),"Not used","")</f>
        <v/>
      </c>
      <c r="B8" s="38" t="inlineStr">
        <is>
          <t>aggregate_flakiness_index</t>
        </is>
      </c>
      <c r="C8" s="38" t="inlineStr">
        <is>
          <t>Aggregate Flakiness Index</t>
        </is>
      </c>
      <c r="D8" s="38" t="inlineStr">
        <is>
          <t>Percentage (by mass) of aggregate particles whose least dimension is less than 0.6 times their mean size, to the total sample mass.</t>
        </is>
      </c>
      <c r="E8" s="38" t="inlineStr">
        <is>
          <t>double</t>
        </is>
      </c>
      <c r="F8" s="28" t="inlineStr">
        <is>
          <t>mass per mass</t>
        </is>
      </c>
      <c r="J8" s="38" t="inlineStr">
        <is>
          <t>x</t>
        </is>
      </c>
    </row>
    <row r="9" ht="60.75" customHeight="1">
      <c r="A9" s="38">
        <f>IF(ISNA(VLOOKUP(B9,AssociatedElements!B$2:B630,1,FALSE)),"Not used","")</f>
        <v/>
      </c>
      <c r="B9" s="11" t="inlineStr">
        <is>
          <t>aggregate_impact_value</t>
        </is>
      </c>
      <c r="C9" s="11" t="inlineStr">
        <is>
          <t>Aggregate Impact Value</t>
        </is>
      </c>
      <c r="D9" s="12" t="inlineStr">
        <is>
          <t xml:space="preserve"> The resistance to impact of aggregates and is measured as the fraction  of aggregates passing to the total mass of the sample.</t>
        </is>
      </c>
      <c r="E9" s="11" t="inlineStr">
        <is>
          <t>double</t>
        </is>
      </c>
      <c r="F9" s="28" t="inlineStr">
        <is>
          <t>mass per mass</t>
        </is>
      </c>
      <c r="J9" s="38" t="inlineStr">
        <is>
          <t>x</t>
        </is>
      </c>
    </row>
    <row r="10" ht="51" customHeight="1">
      <c r="A10" s="38">
        <f>IF(ISNA(VLOOKUP(B10,AssociatedElements!B$2:B631,1,FALSE)),"Not used","")</f>
        <v/>
      </c>
      <c r="B10" s="11" t="inlineStr">
        <is>
          <t>aggregate_LA_abrasion_loss</t>
        </is>
      </c>
      <c r="C10" s="11" t="inlineStr">
        <is>
          <t>Aggregate Los Angeles Abrasion Loss</t>
        </is>
      </c>
      <c r="D10" s="12" t="inlineStr">
        <is>
          <t xml:space="preserve"> The actual measured loss (difference between the original mass and the final mass of the test sample), expressed as a percentage of the original mass of the test sample.</t>
        </is>
      </c>
      <c r="E10" s="11" t="inlineStr">
        <is>
          <t>double</t>
        </is>
      </c>
      <c r="F10" s="28" t="inlineStr">
        <is>
          <t>mass per mass</t>
        </is>
      </c>
      <c r="J10" s="38" t="inlineStr">
        <is>
          <t>x</t>
        </is>
      </c>
    </row>
    <row r="11" ht="34" customHeight="1">
      <c r="A11" s="38">
        <f>IF(ISNA(VLOOKUP(B11,AssociatedElements!B$2:B632,1,FALSE)),"Not used","")</f>
        <v/>
      </c>
      <c r="B11" s="11" t="inlineStr">
        <is>
          <t>aggregate_la_coefficient</t>
        </is>
      </c>
      <c r="C11" s="11" t="inlineStr">
        <is>
          <t>Aggregate Los Angeles Coefficient</t>
        </is>
      </c>
      <c r="D11" s="12" t="inlineStr">
        <is>
          <t xml:space="preserve"> The loss (difference between the original weight and the final weight of the test sample), expressed as an integer.</t>
        </is>
      </c>
      <c r="E11" s="11" t="inlineStr">
        <is>
          <t>integer</t>
        </is>
      </c>
      <c r="F11" s="11" t="n"/>
    </row>
    <row r="12" ht="51" customHeight="1">
      <c r="A12" s="38">
        <f>IF(ISNA(VLOOKUP(B12,AssociatedElements!B$2:B633,1,FALSE)),"Not used","")</f>
        <v/>
      </c>
      <c r="B12" s="11" t="inlineStr">
        <is>
          <t>aggregate_la_wear_ratio</t>
        </is>
      </c>
      <c r="C12" s="11" t="inlineStr">
        <is>
          <t>Aggregate Los Angeles Wear Ratio</t>
        </is>
      </c>
      <c r="D12" s="12" t="inlineStr">
        <is>
          <t xml:space="preserve"> The actual measured loss (difference between the original mass and the final mass of the test sample), expressed as an integer ratio of the original mass of the test sample. </t>
        </is>
      </c>
      <c r="E12" s="11" t="inlineStr">
        <is>
          <t>integer</t>
        </is>
      </c>
      <c r="F12" s="11" t="n"/>
      <c r="G12" s="11" t="n"/>
      <c r="H12" s="11" t="n"/>
    </row>
    <row r="13" ht="34" customHeight="1">
      <c r="A13" s="38">
        <f>IF(ISNA(VLOOKUP(B13,AssociatedElements!B$2:B634,1,FALSE)),"Not used","")</f>
        <v/>
      </c>
      <c r="B13" s="11" t="inlineStr">
        <is>
          <t>aggregate_polished_stone_value</t>
        </is>
      </c>
      <c r="C13" s="11" t="inlineStr">
        <is>
          <t>Aggregate Polished Stone Value</t>
        </is>
      </c>
      <c r="D13" s="12" t="inlineStr">
        <is>
          <t xml:space="preserve"> A measure of the resistance of an aggregate to polishing.</t>
        </is>
      </c>
      <c r="E13" s="11" t="inlineStr">
        <is>
          <t>integer</t>
        </is>
      </c>
      <c r="F13" s="11" t="n"/>
      <c r="G13" s="11" t="n"/>
      <c r="H13" s="11" t="n"/>
    </row>
    <row r="14" ht="34" customHeight="1">
      <c r="A14" s="38">
        <f>IF(ISNA(VLOOKUP(B14,AssociatedElements!B$2:B635,1,FALSE)),"Not used","")</f>
        <v/>
      </c>
      <c r="B14" s="38" t="inlineStr">
        <is>
          <t>aggregate_soundness_value</t>
        </is>
      </c>
      <c r="C14" s="38" t="inlineStr">
        <is>
          <t>Aggregate Soundness Value</t>
        </is>
      </c>
      <c r="D14" s="38" t="inlineStr">
        <is>
          <t xml:space="preserve">The amount of mass  ost by degradation as determined by sieving and weighing the samples after the test cycles. </t>
        </is>
      </c>
      <c r="E14" s="38" t="inlineStr">
        <is>
          <t>double</t>
        </is>
      </c>
      <c r="F14" s="28" t="inlineStr">
        <is>
          <t>mass per mass</t>
        </is>
      </c>
      <c r="J14" s="38" t="inlineStr">
        <is>
          <t>x</t>
        </is>
      </c>
    </row>
    <row r="15" ht="85" customHeight="1">
      <c r="A15" s="38">
        <f>IF(ISNA(VLOOKUP(B15,AssociatedElements!B$2:B636,1,FALSE)),"Not used","")</f>
        <v/>
      </c>
      <c r="B15" s="11" t="inlineStr">
        <is>
          <t>aggregate_water_absorption</t>
        </is>
      </c>
      <c r="C15" s="11" t="inlineStr">
        <is>
          <t>Aggregate Water Absorption</t>
        </is>
      </c>
      <c r="D15" s="12" t="inlineStr">
        <is>
          <t xml:space="preserve"> A water content value that gives an idea of strength of aggregate. Aggregates having more water absorption are more porous in nature and are generally considered unsuitable unless they are found to be acceptable based on strength, impact, and hardness tests.</t>
        </is>
      </c>
      <c r="E15" s="11" t="inlineStr">
        <is>
          <t>double</t>
        </is>
      </c>
      <c r="F15" s="28" t="inlineStr">
        <is>
          <t>mass per mass</t>
        </is>
      </c>
      <c r="G15" s="11" t="n"/>
      <c r="H15" s="11" t="n"/>
      <c r="J15" s="38" t="inlineStr">
        <is>
          <t>x</t>
        </is>
      </c>
    </row>
    <row r="16" ht="68" customHeight="1">
      <c r="A16" s="38">
        <f>IF(ISNA(VLOOKUP(B16,AssociatedElements!B$2:B637,1,FALSE)),"Not used","")</f>
        <v/>
      </c>
      <c r="B16" s="11" t="inlineStr">
        <is>
          <t>b_pressure</t>
        </is>
      </c>
      <c r="C16" s="11" t="inlineStr">
        <is>
          <t>B-Pressure</t>
        </is>
      </c>
      <c r="D16" s="12" t="inlineStr">
        <is>
          <t xml:space="preserve"> The gauge gas pressure against the inside of the membrane when the center of the membrane has lifted above its support and moved laterally 1.10-mm (60.03 mm) into the soil surrounding the blade.</t>
        </is>
      </c>
      <c r="E16" s="11" t="inlineStr">
        <is>
          <t>double</t>
        </is>
      </c>
      <c r="F16" s="11" t="inlineStr">
        <is>
          <t>pressure</t>
        </is>
      </c>
      <c r="G16" s="11" t="n"/>
      <c r="H16" s="11" t="n"/>
    </row>
    <row r="17" ht="51" customHeight="1">
      <c r="A17" s="38">
        <f>IF(ISNA(VLOOKUP(B17,AssociatedElements!B$2:B638,1,FALSE)),"Not used","")</f>
        <v/>
      </c>
      <c r="B17" s="11" t="inlineStr">
        <is>
          <t>bleed</t>
        </is>
      </c>
      <c r="C17" s="11" t="inlineStr">
        <is>
          <t>Bleed</t>
        </is>
      </c>
      <c r="D17" s="12" t="inlineStr">
        <is>
          <t xml:space="preserve"> The volume of clear water in a grout cylinder resulting from grout sedimentation, reported as a percentage of initial total column height.</t>
        </is>
      </c>
      <c r="E17" s="11" t="inlineStr">
        <is>
          <t>double</t>
        </is>
      </c>
      <c r="F17" s="11" t="inlineStr">
        <is>
          <t>length per length</t>
        </is>
      </c>
      <c r="G17" s="11" t="n"/>
      <c r="H17" s="11" t="n"/>
    </row>
    <row r="18" ht="102" customHeight="1">
      <c r="A18" s="38">
        <f>IF(ISNA(VLOOKUP(B18,AssociatedElements!B$2:B639,1,FALSE)),"Not used","")</f>
        <v/>
      </c>
      <c r="B18" s="11" t="inlineStr">
        <is>
          <t>blow_count</t>
        </is>
      </c>
      <c r="C18" s="11" t="inlineStr">
        <is>
          <t>Blow Count</t>
        </is>
      </c>
      <c r="D18" s="12" t="inlineStr">
        <is>
          <t>The number of blows of a hammer that drives a tool into the earth for a particular distance. The distance should correspond to the difference between the associated top and bottom positions recorded in the location property of the test, or be specified in the pen_increment property associated with a point location.</t>
        </is>
      </c>
      <c r="E18" s="11" t="inlineStr">
        <is>
          <t>integer</t>
        </is>
      </c>
      <c r="F18" s="11" t="inlineStr">
        <is>
          <t>dimensionless</t>
        </is>
      </c>
      <c r="G18" s="11" t="n"/>
      <c r="H18" s="11" t="n"/>
    </row>
    <row r="19" ht="85" customHeight="1">
      <c r="A19" s="38">
        <f>IF(ISNA(VLOOKUP(B19,AssociatedElements!B$2:B640,1,FALSE)),"Not used","")</f>
        <v/>
      </c>
      <c r="B19" s="11" t="inlineStr">
        <is>
          <t>bulk_density</t>
        </is>
      </c>
      <c r="C19" s="11" t="inlineStr">
        <is>
          <t>Density, Bulk (Natural)</t>
        </is>
      </c>
      <c r="D19" s="12" t="inlineStr">
        <is>
          <t xml:space="preserve"> Total weight (of solids and water) divided by total volume of material, representing natural conditions. This is technically a unit weight not a density, but it is using the industry standard terminology assuming earth gravity. Value can also be reported in true density units (mass/volume)</t>
        </is>
      </c>
      <c r="E19" s="11" t="inlineStr">
        <is>
          <t>double</t>
        </is>
      </c>
      <c r="F19" s="11" t="inlineStr">
        <is>
          <t>force or mass per volume</t>
        </is>
      </c>
      <c r="G19" s="11" t="n"/>
      <c r="H19" s="11" t="n"/>
    </row>
    <row r="20" ht="68" customHeight="1">
      <c r="A20" s="38">
        <f>IF(ISNA(VLOOKUP(B20,AssociatedElements!B$2:B641,1,FALSE)),"Not used","")</f>
        <v/>
      </c>
      <c r="B20" s="11" t="inlineStr">
        <is>
          <t>c_pressure</t>
        </is>
      </c>
      <c r="C20" s="11" t="inlineStr">
        <is>
          <t>C-Pressure</t>
        </is>
      </c>
      <c r="D20" s="12" t="inlineStr">
        <is>
          <t xml:space="preserve"> The gauge gas pressure against the inside of the membrane when the center of the membrane returns to the A-pressure position during a controlled, gradual deflation following the B-pressure.</t>
        </is>
      </c>
      <c r="E20" s="11" t="inlineStr">
        <is>
          <t>double</t>
        </is>
      </c>
      <c r="F20" s="11" t="inlineStr">
        <is>
          <t>pressure</t>
        </is>
      </c>
      <c r="G20" s="11" t="n"/>
      <c r="H20" s="11" t="n"/>
    </row>
    <row r="21" ht="68" customHeight="1">
      <c r="A21" s="38">
        <f>IF(ISNA(VLOOKUP(B21,AssociatedElements!B$2:B642,1,FALSE)),"Not used","")</f>
        <v/>
      </c>
      <c r="B21" s="11" t="inlineStr">
        <is>
          <t>cbr_0.1</t>
        </is>
      </c>
      <c r="C21" s="11" t="inlineStr">
        <is>
          <t>Corrected Cbr At 0.100 in Penetration</t>
        </is>
      </c>
      <c r="D21" s="12" t="inlineStr">
        <is>
          <t xml:space="preserve"> California Bearing Ratio is the ratio, expressed as a percentage, of the measured pressure for site soils at a penetration of 0.100 in divided by pressure to achieve equal penetration on a standard soil.</t>
        </is>
      </c>
      <c r="E21" s="11" t="inlineStr">
        <is>
          <t>double</t>
        </is>
      </c>
      <c r="F21" s="11" t="inlineStr">
        <is>
          <t>pressure per pressure</t>
        </is>
      </c>
      <c r="G21" s="11" t="n"/>
      <c r="H21" s="11" t="n"/>
    </row>
    <row r="22" ht="68" customHeight="1">
      <c r="A22" s="38">
        <f>IF(ISNA(VLOOKUP(B22,AssociatedElements!B$2:B643,1,FALSE)),"Not used","")</f>
        <v/>
      </c>
      <c r="B22" s="11" t="inlineStr">
        <is>
          <t>cbr_0.2</t>
        </is>
      </c>
      <c r="C22" s="11" t="inlineStr">
        <is>
          <t>Corrected Cbr At 0.200 In Penetration</t>
        </is>
      </c>
      <c r="D22" s="12" t="inlineStr">
        <is>
          <t xml:space="preserve"> California Bearing Ratio is the ratio, expressed as a percentage, of the measured pressure for site soils at a penetration of 0.200 in divided by pressure to achieve equal penetration on a standard soil.</t>
        </is>
      </c>
      <c r="E22" s="11" t="inlineStr">
        <is>
          <t>double</t>
        </is>
      </c>
      <c r="F22" s="11" t="inlineStr">
        <is>
          <t>pressure per pressure</t>
        </is>
      </c>
      <c r="G22" s="11" t="n"/>
      <c r="H22" s="11" t="n"/>
    </row>
    <row r="23" ht="170" customHeight="1">
      <c r="A23" s="38">
        <f>IF(ISNA(VLOOKUP(B23,AssociatedElements!B$2:B644,1,FALSE)),"Not used","")</f>
        <v/>
      </c>
      <c r="B23" s="11" t="inlineStr">
        <is>
          <t>chalk_crushing_value</t>
        </is>
      </c>
      <c r="C23" s="11" t="inlineStr">
        <is>
          <t>Chalk Crushing Value</t>
        </is>
      </c>
      <c r="D23" s="12" t="inlineStr">
        <is>
          <t xml:space="preserve"> The Chalk Crushing Value is determined by using the chalk impact crushing test, which measures the rate at which a sample of chalk lumps crushes under impacts from a freefalling rammer. The chalk crushing value can be used, together with the saturation moisture content of the intact chalk lumps, to classify chalk in relation to its behavior as a freshly placed fill material. The test procedure is described for a single sample of chalk lumps, but normal procedure should be to calculate the mean value derived from six such tests on representative samples.</t>
        </is>
      </c>
      <c r="E23" s="11" t="inlineStr">
        <is>
          <t>double</t>
        </is>
      </c>
      <c r="F23" s="11" t="n"/>
      <c r="G23" s="11" t="n"/>
      <c r="H23" s="11" t="n"/>
    </row>
    <row r="24" ht="34" customHeight="1">
      <c r="A24" s="38">
        <f>IF(ISNA(VLOOKUP(B24,AssociatedElements!B$2:B645,1,FALSE)),"Not used","")</f>
        <v/>
      </c>
      <c r="B24" s="11" t="inlineStr">
        <is>
          <t>chloride_content</t>
        </is>
      </c>
      <c r="C24" s="11" t="inlineStr">
        <is>
          <t>Chloride Content</t>
        </is>
      </c>
      <c r="D24" s="12" t="inlineStr">
        <is>
          <t>Chloride content of soil or groundwater by laboratory testing (corrosivity series). USE THIS ENTRY WHEN THE SOURCE DOES NOT STATE THE EXTRACTION BASIS - the case for the Jazera project record (GBL-24136), which reports a chloride content as a percentage without saying whether it is water- or acid-soluble. Where the basis IS known, prefer chloride_water_soluble or chloride_acid_soluble instead.</t>
        </is>
      </c>
      <c r="E24" s="11" t="inlineStr">
        <is>
          <t>double</t>
        </is>
      </c>
      <c r="F24" s="11" t="inlineStr">
        <is>
          <t>mass per mass</t>
        </is>
      </c>
      <c r="G24" s="11" t="n"/>
      <c r="H24" s="11" t="n"/>
    </row>
    <row r="25" ht="51" customHeight="1">
      <c r="A25" s="38">
        <f>IF(ISNA(VLOOKUP(B25,AssociatedElements!B$2:B646,1,FALSE)),"Not used","")</f>
        <v/>
      </c>
      <c r="B25" s="11" t="inlineStr">
        <is>
          <t>clay_percent_2_micron</t>
        </is>
      </c>
      <c r="C25" s="11" t="inlineStr">
        <is>
          <t>Clay Fraction &lt; 2 Micron</t>
        </is>
      </c>
      <c r="D25" s="28" t="inlineStr">
        <is>
          <t>Represents the total amount of clay sized particles (&lt;2 microns) in a test samples, expressed as a percentage by mass, to the total sample</t>
        </is>
      </c>
      <c r="E25" s="33" t="inlineStr">
        <is>
          <t>double</t>
        </is>
      </c>
      <c r="F25" s="28" t="inlineStr">
        <is>
          <t>mass per mass</t>
        </is>
      </c>
      <c r="G25" s="11" t="n"/>
      <c r="H25" s="11" t="n"/>
      <c r="J25" s="38" t="inlineStr">
        <is>
          <t>x</t>
        </is>
      </c>
    </row>
    <row r="26" ht="51" customHeight="1">
      <c r="A26" s="38">
        <f>IF(ISNA(VLOOKUP(B26,AssociatedElements!B$2:B647,1,FALSE)),"Not used","")</f>
        <v/>
      </c>
      <c r="B26" s="11" t="inlineStr">
        <is>
          <t>clay_percent_5_micron</t>
        </is>
      </c>
      <c r="C26" s="11" t="inlineStr">
        <is>
          <t>Clay Fraction &lt; 5 Micron</t>
        </is>
      </c>
      <c r="D26" s="28" t="inlineStr">
        <is>
          <t>Represents the total amount of clay sized particles (&lt;5 microns) in a test samples, expressed as a percentage by mass, to the total sample</t>
        </is>
      </c>
      <c r="E26" s="33" t="inlineStr">
        <is>
          <t>double</t>
        </is>
      </c>
      <c r="F26" s="28" t="inlineStr">
        <is>
          <t>mass per mass</t>
        </is>
      </c>
      <c r="G26" s="11" t="n"/>
      <c r="H26" s="11" t="n"/>
      <c r="J26" s="38" t="inlineStr">
        <is>
          <t>x</t>
        </is>
      </c>
    </row>
    <row r="27" ht="51" customHeight="1">
      <c r="A27" s="38">
        <f>IF(ISNA(VLOOKUP(B27,AssociatedElements!B$2:B648,1,FALSE)),"Not used","")</f>
        <v/>
      </c>
      <c r="B27" s="11" t="inlineStr">
        <is>
          <t>coef_consolidation_horiz</t>
        </is>
      </c>
      <c r="C27" s="11" t="inlineStr">
        <is>
          <t>Coefficient of Horizontal Consolidation (Ch)</t>
        </is>
      </c>
      <c r="D27" s="12" t="inlineStr">
        <is>
          <t xml:space="preserve"> The horizontal coefficient of consolidation as derived from the dissipation test data from a cone penetration or dilatometer test. </t>
        </is>
      </c>
      <c r="E27" s="11" t="inlineStr">
        <is>
          <t>double</t>
        </is>
      </c>
      <c r="F27" s="11" t="inlineStr">
        <is>
          <t>area per time</t>
        </is>
      </c>
      <c r="G27" s="11" t="n"/>
      <c r="H27" s="11" t="n"/>
    </row>
    <row r="28" ht="34" customHeight="1">
      <c r="A28" s="38">
        <f>IF(ISNA(VLOOKUP(B28,AssociatedElements!B$2:B649,1,FALSE)),"Not used","")</f>
        <v/>
      </c>
      <c r="B28" s="11" t="inlineStr">
        <is>
          <t>coef_consolidation_vertical</t>
        </is>
      </c>
      <c r="C28" s="11" t="inlineStr">
        <is>
          <t>Coefficient of Vertical Consolidation(Cv)</t>
        </is>
      </c>
      <c r="D28" s="12" t="inlineStr">
        <is>
          <t xml:space="preserve"> The vertical coefficient of consolidation as derived from a one-dimensional consolidation test in the lab.</t>
        </is>
      </c>
      <c r="E28" s="11" t="inlineStr">
        <is>
          <t>double</t>
        </is>
      </c>
      <c r="F28" s="11" t="inlineStr">
        <is>
          <t>area per time</t>
        </is>
      </c>
      <c r="G28" s="11" t="n"/>
      <c r="H28" s="11" t="n"/>
    </row>
    <row r="29" ht="34" customHeight="1">
      <c r="A29" s="38">
        <f>IF(ISNA(VLOOKUP(B29,AssociatedElements!B$2:B650,1,FALSE)),"Not used","")</f>
        <v/>
      </c>
      <c r="B29" s="11" t="inlineStr">
        <is>
          <t>coef_curvature</t>
        </is>
      </c>
      <c r="C29" s="11" t="inlineStr">
        <is>
          <t>Coefficient of Curvature</t>
        </is>
      </c>
      <c r="D29" s="28" t="inlineStr">
        <is>
          <t xml:space="preserve"> A coefficient describing the degree of curvature of the grain size distribution. Defined as (d30)^2/((d60)*(d10))</t>
        </is>
      </c>
      <c r="E29" s="11" t="inlineStr">
        <is>
          <t>double</t>
        </is>
      </c>
      <c r="F29" s="11" t="n"/>
      <c r="G29" s="11" t="n"/>
      <c r="H29" s="11" t="n"/>
    </row>
    <row r="30" ht="34" customHeight="1">
      <c r="A30" s="38">
        <f>IF(ISNA(VLOOKUP(B30,AssociatedElements!B$2:B651,1,FALSE)),"Not used","")</f>
        <v/>
      </c>
      <c r="B30" s="11" t="inlineStr">
        <is>
          <t>coef_earth_pressure</t>
        </is>
      </c>
      <c r="C30" s="11" t="inlineStr">
        <is>
          <t>Coefficient of Earth Pressure, In Situ</t>
        </is>
      </c>
      <c r="D30" s="28" t="inlineStr">
        <is>
          <t xml:space="preserve"> The ratio of horizontal earth pressure to vertical pressure for a sample in the field. </t>
        </is>
      </c>
      <c r="E30" s="11" t="inlineStr">
        <is>
          <t>double</t>
        </is>
      </c>
      <c r="F30" s="11" t="n"/>
      <c r="G30" s="11" t="n"/>
      <c r="H30" s="11" t="n"/>
    </row>
    <row r="31" ht="68" customHeight="1">
      <c r="A31" s="38">
        <f>IF(ISNA(VLOOKUP(B31,AssociatedElements!B$2:B652,1,FALSE)),"Not used","")</f>
        <v/>
      </c>
      <c r="B31" s="11" t="inlineStr">
        <is>
          <t>coef_permeability</t>
        </is>
      </c>
      <c r="C31" s="11" t="inlineStr">
        <is>
          <t>Coefficient of Permeability</t>
        </is>
      </c>
      <c r="D31" s="12" t="inlineStr">
        <is>
          <t xml:space="preserve"> The rate at which water flows through a soil is proportional to the hydraulic gradient and is expressed by Darcy's Law. Also known as the hydraulic conductivity. For lab tests, an average of measured values over several permeation trials.</t>
        </is>
      </c>
      <c r="E31" s="11" t="inlineStr">
        <is>
          <t>double</t>
        </is>
      </c>
      <c r="F31" s="11" t="inlineStr">
        <is>
          <t>length per time</t>
        </is>
      </c>
      <c r="G31" s="11" t="n"/>
      <c r="H31" s="11" t="n"/>
    </row>
    <row r="32" ht="34" customHeight="1">
      <c r="A32" s="38">
        <f>IF(ISNA(VLOOKUP(B32,AssociatedElements!B$2:B653,1,FALSE)),"Not used","")</f>
        <v/>
      </c>
      <c r="B32" s="11" t="inlineStr">
        <is>
          <t>coef_permeability_corrected</t>
        </is>
      </c>
      <c r="C32" s="11" t="inlineStr">
        <is>
          <t>Coefficient of Permeability, Corrected</t>
        </is>
      </c>
      <c r="D32" s="12" t="inlineStr">
        <is>
          <t xml:space="preserve"> Coefficient of permeability, corrected to 20 degrees C.</t>
        </is>
      </c>
      <c r="E32" s="11" t="inlineStr">
        <is>
          <t>double</t>
        </is>
      </c>
      <c r="F32" s="11" t="inlineStr">
        <is>
          <t>length per time</t>
        </is>
      </c>
      <c r="G32" s="11" t="n"/>
      <c r="H32" s="11" t="n"/>
    </row>
    <row r="33" ht="34" customHeight="1">
      <c r="A33" s="38">
        <f>IF(ISNA(VLOOKUP(B33,AssociatedElements!B$2:B654,1,FALSE)),"Not used","")</f>
        <v/>
      </c>
      <c r="B33" s="11" t="inlineStr">
        <is>
          <t>coef_permeability_horiz</t>
        </is>
      </c>
      <c r="C33" s="11" t="inlineStr">
        <is>
          <t>Horizontal Coefficient of Permeability</t>
        </is>
      </c>
      <c r="D33" s="12" t="inlineStr">
        <is>
          <t xml:space="preserve"> Coefficient of permeability, measuring rate of horizontal flow</t>
        </is>
      </c>
      <c r="E33" s="11" t="inlineStr">
        <is>
          <t>double</t>
        </is>
      </c>
      <c r="F33" s="11" t="inlineStr">
        <is>
          <t>length per time</t>
        </is>
      </c>
      <c r="G33" s="11" t="n"/>
      <c r="H33" s="11" t="n"/>
    </row>
    <row r="34" ht="17" customHeight="1">
      <c r="A34" s="38">
        <f>IF(ISNA(VLOOKUP(B34,AssociatedElements!B$2:B655,1,FALSE)),"Not used","")</f>
        <v/>
      </c>
      <c r="B34" s="11" t="inlineStr">
        <is>
          <t>coef_permeability_vert</t>
        </is>
      </c>
      <c r="C34" s="11" t="inlineStr">
        <is>
          <t>Vertical Coefficient of Permeability</t>
        </is>
      </c>
      <c r="D34" s="12" t="inlineStr">
        <is>
          <t xml:space="preserve"> Coefficient of permeability, measuring rate of vertical flow</t>
        </is>
      </c>
      <c r="E34" s="11" t="inlineStr">
        <is>
          <t>double</t>
        </is>
      </c>
      <c r="F34" s="11" t="inlineStr">
        <is>
          <t>length per time</t>
        </is>
      </c>
      <c r="G34" s="11" t="n"/>
      <c r="H34" s="11" t="n"/>
    </row>
    <row r="35" ht="17" customHeight="1">
      <c r="A35" s="38">
        <f>IF(ISNA(VLOOKUP(B35,AssociatedElements!B$2:B656,1,FALSE)),"Not used","")</f>
        <v/>
      </c>
      <c r="B35" s="11" t="inlineStr">
        <is>
          <t>coef_uniformity</t>
        </is>
      </c>
      <c r="C35" s="11" t="inlineStr">
        <is>
          <t>Coefficient of Uniformity</t>
        </is>
      </c>
      <c r="D35" s="28" t="inlineStr">
        <is>
          <t xml:space="preserve"> The ratio of D60/D10</t>
        </is>
      </c>
      <c r="E35" s="11" t="inlineStr">
        <is>
          <t>double</t>
        </is>
      </c>
      <c r="F35" s="11" t="n"/>
    </row>
    <row r="36" ht="51" customHeight="1">
      <c r="A36" s="38">
        <f>IF(ISNA(VLOOKUP(B36,AssociatedElements!B$2:B657,1,FALSE)),"Not used","")</f>
        <v/>
      </c>
      <c r="B36" s="11" t="inlineStr">
        <is>
          <t>cohesion_peak</t>
        </is>
      </c>
      <c r="C36" s="11" t="inlineStr">
        <is>
          <t>Peak Cohesion</t>
        </is>
      </c>
      <c r="D36" s="12" t="inlineStr">
        <is>
          <t xml:space="preserve"> Shear resistance at zero normal stress ?the portion of the shear strength of a soil indicated by the term c, in Coulomb's equation</t>
        </is>
      </c>
      <c r="E36" s="11" t="inlineStr">
        <is>
          <t>double</t>
        </is>
      </c>
      <c r="F36" s="11" t="inlineStr">
        <is>
          <t>pressure</t>
        </is>
      </c>
    </row>
    <row r="37" ht="34" customHeight="1">
      <c r="A37" s="38">
        <f>IF(ISNA(VLOOKUP(B37,AssociatedElements!B$2:B658,1,FALSE)),"Not used","")</f>
        <v/>
      </c>
      <c r="B37" s="11" t="inlineStr">
        <is>
          <t>cohesion_residual</t>
        </is>
      </c>
      <c r="C37" s="11" t="inlineStr">
        <is>
          <t>Residual Cohesion</t>
        </is>
      </c>
      <c r="D37" s="12" t="inlineStr">
        <is>
          <t xml:space="preserve"> Shear resistance at zero normal stress at the residual (or large deformation) strength.</t>
        </is>
      </c>
      <c r="E37" s="11" t="inlineStr">
        <is>
          <t>double</t>
        </is>
      </c>
      <c r="F37" s="11" t="inlineStr">
        <is>
          <t>pressure</t>
        </is>
      </c>
    </row>
    <row r="38" ht="34" customHeight="1">
      <c r="A38" s="38">
        <f>IF(ISNA(VLOOKUP(B38,AssociatedElements!B$2:B659,1,FALSE)),"Not used","")</f>
        <v/>
      </c>
      <c r="B38" s="11" t="inlineStr">
        <is>
          <t>colloid_percent</t>
        </is>
      </c>
      <c r="C38" s="11" t="inlineStr">
        <is>
          <t>Colloid Fraction</t>
        </is>
      </c>
      <c r="D38" s="12" t="inlineStr">
        <is>
          <t xml:space="preserve"> represents the total amount of &lt;1 micron size particles in a test sample, as a percentage of the total sample mass</t>
        </is>
      </c>
      <c r="E38" s="11" t="inlineStr">
        <is>
          <t>double</t>
        </is>
      </c>
      <c r="F38" s="28" t="inlineStr">
        <is>
          <t>mass per mass</t>
        </is>
      </c>
      <c r="J38" s="38" t="inlineStr">
        <is>
          <t>x</t>
        </is>
      </c>
    </row>
    <row r="39" ht="187" customHeight="1">
      <c r="A39" s="38">
        <f>IF(ISNA(VLOOKUP(B39,AssociatedElements!B$2:B660,1,FALSE)),"Not used","")</f>
        <v/>
      </c>
      <c r="B39" s="11" t="inlineStr">
        <is>
          <t>compression_index</t>
        </is>
      </c>
      <c r="C39" s="11" t="inlineStr">
        <is>
          <t>Compression Index</t>
        </is>
      </c>
      <c r="D39" s="12" t="inlineStr">
        <is>
          <t xml:space="preserve"> Result from a Consolidation Test. This test is performed to determine the magnitude and rate of void ratio change for a laterally confined soil specimen that is subjected to different vertical pressures. From the measured data, the consolidation curve (pressure-void ratio relationship) can be plotted. This specific value is used for a specific portion of the log vertical pressure - void ratio curve to signify virgin compression. The one-dimension consolidation curve can be used to determine other values (e.g., the recompression index (slope of recompression curve) and the preconsolidation pressure (or maximum past pressure) of the soil).</t>
        </is>
      </c>
      <c r="E39" s="11" t="inlineStr">
        <is>
          <t>double</t>
        </is>
      </c>
      <c r="F39" s="32" t="n"/>
    </row>
    <row r="40" ht="34" customHeight="1">
      <c r="A40" s="38">
        <f>IF(ISNA(VLOOKUP(B40,AssociatedElements!B$2:B661,1,FALSE)),"Not used","")</f>
        <v/>
      </c>
      <c r="B40" s="11" t="inlineStr">
        <is>
          <t>compressive_strength_unconfined</t>
        </is>
      </c>
      <c r="C40" s="11" t="inlineStr">
        <is>
          <t>Unconfined Compressive Strength</t>
        </is>
      </c>
      <c r="D40" s="12" t="inlineStr">
        <is>
          <t xml:space="preserve"> Result of axial compression test using unconfined compression</t>
        </is>
      </c>
      <c r="E40" s="11" t="inlineStr">
        <is>
          <t>double</t>
        </is>
      </c>
      <c r="F40" s="11" t="inlineStr">
        <is>
          <t>pressure</t>
        </is>
      </c>
    </row>
    <row r="41" ht="34" customHeight="1">
      <c r="A41" s="38">
        <f>IF(ISNA(VLOOKUP(B41,AssociatedElements!B$2:B662,1,FALSE)),"Not used","")</f>
        <v/>
      </c>
      <c r="B41" s="11" t="inlineStr">
        <is>
          <t>conductivity</t>
        </is>
      </c>
      <c r="C41" s="11" t="inlineStr">
        <is>
          <t>Conductivity</t>
        </is>
      </c>
      <c r="D41" s="12" t="inlineStr">
        <is>
          <t xml:space="preserve"> A measure of the conductive power of a specified material to the flow of an electric current.</t>
        </is>
      </c>
      <c r="E41" s="11" t="inlineStr">
        <is>
          <t>double</t>
        </is>
      </c>
      <c r="F41" s="11" t="inlineStr">
        <is>
          <t>electric conductivity</t>
        </is>
      </c>
    </row>
    <row r="42" ht="85" customHeight="1">
      <c r="A42" s="38">
        <f>IF(ISNA(VLOOKUP(B42,AssociatedElements!B$2:B663,1,FALSE)),"Not used","")</f>
        <v/>
      </c>
      <c r="B42" s="11" t="inlineStr">
        <is>
          <t>consistency_index</t>
        </is>
      </c>
      <c r="C42" s="11" t="inlineStr">
        <is>
          <t>Consistency Index</t>
        </is>
      </c>
      <c r="D42" s="12" t="inlineStr">
        <is>
          <t xml:space="preserve"> The consistency index (CI) indicates the consistency (firmness) of a soil. It is calculated as CI = (LL-W)/(LL-PL), where W is the natural water content. Soil at the liquid limit will have a consistency index of 0, while soil at the plastic limit will have a consistency index of 1.</t>
        </is>
      </c>
      <c r="E42" s="11" t="inlineStr">
        <is>
          <t>integer</t>
        </is>
      </c>
      <c r="F42" s="11" t="n"/>
    </row>
    <row r="43" ht="34" customHeight="1">
      <c r="A43" s="38">
        <f>IF(ISNA(VLOOKUP(B43,AssociatedElements!B$2:B664,1,FALSE)),"Not used","")</f>
        <v/>
      </c>
      <c r="B43" s="11" t="inlineStr">
        <is>
          <t>constrained_vert_modulus</t>
        </is>
      </c>
      <c r="C43" s="11" t="inlineStr">
        <is>
          <t>Constrained Modulus, Vertical, Drained</t>
        </is>
      </c>
      <c r="D43" s="23" t="inlineStr">
        <is>
          <t>Measure of slope of stress-strain curve when specimen is confined. Usually the result from a 1-D consolidation test.</t>
        </is>
      </c>
      <c r="E43" s="11" t="inlineStr">
        <is>
          <t>double</t>
        </is>
      </c>
      <c r="F43" s="11" t="inlineStr">
        <is>
          <t>pressure</t>
        </is>
      </c>
    </row>
    <row r="44" ht="34" customHeight="1">
      <c r="A44" s="38">
        <f>IF(ISNA(VLOOKUP(B44,AssociatedElements!B$2:B665,1,FALSE)),"Not used","")</f>
        <v/>
      </c>
      <c r="B44" s="11" t="inlineStr">
        <is>
          <t>d10</t>
        </is>
      </c>
      <c r="C44" s="11" t="inlineStr">
        <is>
          <t>d10</t>
        </is>
      </c>
      <c r="D44" s="23" t="inlineStr">
        <is>
          <t xml:space="preserve">The particle diameter at which 10% of the particles in a soil or granular material sample are finer by weight. </t>
        </is>
      </c>
      <c r="E44" s="11" t="inlineStr">
        <is>
          <t>double</t>
        </is>
      </c>
      <c r="F44" s="11" t="inlineStr">
        <is>
          <t>length</t>
        </is>
      </c>
    </row>
    <row r="45" ht="34" customHeight="1">
      <c r="A45" s="38">
        <f>IF(ISNA(VLOOKUP(B45,AssociatedElements!B$2:B666,1,FALSE)),"Not used","")</f>
        <v/>
      </c>
      <c r="B45" s="11" t="inlineStr">
        <is>
          <t>d15</t>
        </is>
      </c>
      <c r="C45" s="11" t="inlineStr">
        <is>
          <t>d15</t>
        </is>
      </c>
      <c r="D45" s="23" t="inlineStr">
        <is>
          <t xml:space="preserve">The particle diameter at which 15% of the particles in a soil or granular material sample are finer by weight. </t>
        </is>
      </c>
      <c r="E45" s="11" t="inlineStr">
        <is>
          <t>double</t>
        </is>
      </c>
      <c r="F45" s="11" t="inlineStr">
        <is>
          <t>length</t>
        </is>
      </c>
    </row>
    <row r="46" ht="34" customHeight="1">
      <c r="A46" s="38">
        <f>IF(ISNA(VLOOKUP(B46,AssociatedElements!B$2:B667,1,FALSE)),"Not used","")</f>
        <v/>
      </c>
      <c r="B46" s="11" t="inlineStr">
        <is>
          <t>d30</t>
        </is>
      </c>
      <c r="C46" s="11" t="inlineStr">
        <is>
          <t>d30</t>
        </is>
      </c>
      <c r="D46" s="25" t="inlineStr">
        <is>
          <t xml:space="preserve">The particle diameter at which 30% of the particles in a soil or granular material sample are finer by weight. </t>
        </is>
      </c>
      <c r="E46" s="11" t="inlineStr">
        <is>
          <t>double</t>
        </is>
      </c>
      <c r="F46" s="11" t="inlineStr">
        <is>
          <t>length</t>
        </is>
      </c>
    </row>
    <row r="47" ht="34" customHeight="1">
      <c r="A47" s="38">
        <f>IF(ISNA(VLOOKUP(B47,AssociatedElements!B$2:B668,1,FALSE)),"Not used","")</f>
        <v/>
      </c>
      <c r="B47" s="11" t="inlineStr">
        <is>
          <t>d50</t>
        </is>
      </c>
      <c r="C47" s="11" t="inlineStr">
        <is>
          <t>d50</t>
        </is>
      </c>
      <c r="D47" s="25" t="inlineStr">
        <is>
          <t xml:space="preserve">The particle diameter at which 50% of the particles in a soil or granular material sample are finer by weight. </t>
        </is>
      </c>
      <c r="E47" s="11" t="inlineStr">
        <is>
          <t>double</t>
        </is>
      </c>
      <c r="F47" s="11" t="inlineStr">
        <is>
          <t>length</t>
        </is>
      </c>
    </row>
    <row r="48" ht="34" customHeight="1">
      <c r="A48" s="38">
        <f>IF(ISNA(VLOOKUP(B48,AssociatedElements!B$2:B669,1,FALSE)),"Not used","")</f>
        <v/>
      </c>
      <c r="B48" s="11" t="inlineStr">
        <is>
          <t>d60</t>
        </is>
      </c>
      <c r="C48" s="11" t="inlineStr">
        <is>
          <t>d60</t>
        </is>
      </c>
      <c r="D48" s="25" t="inlineStr">
        <is>
          <t xml:space="preserve">The particle diameter at which 60% of the particles in a soil or granular material sample are finer by weight. </t>
        </is>
      </c>
      <c r="E48" s="11" t="inlineStr">
        <is>
          <t>double</t>
        </is>
      </c>
      <c r="F48" s="11" t="inlineStr">
        <is>
          <t>length</t>
        </is>
      </c>
    </row>
    <row r="49" ht="34" customHeight="1">
      <c r="A49" s="38">
        <f>IF(ISNA(VLOOKUP(B49,AssociatedElements!B$2:B670,1,FALSE)),"Not used","")</f>
        <v/>
      </c>
      <c r="B49" s="11" t="inlineStr">
        <is>
          <t>d85</t>
        </is>
      </c>
      <c r="C49" s="11" t="inlineStr">
        <is>
          <t>d85</t>
        </is>
      </c>
      <c r="D49" s="12" t="inlineStr">
        <is>
          <t xml:space="preserve">The particle diameter at which 85% of the particles in a soil or granular material sample are finer by weight. </t>
        </is>
      </c>
      <c r="E49" s="11" t="inlineStr">
        <is>
          <t>double</t>
        </is>
      </c>
      <c r="F49" s="11" t="inlineStr">
        <is>
          <t>length</t>
        </is>
      </c>
    </row>
    <row r="50" ht="34" customHeight="1">
      <c r="A50" s="38">
        <f>IF(ISNA(VLOOKUP(B50,AssociatedElements!B$2:B671,1,FALSE)),"Not used","")</f>
        <v/>
      </c>
      <c r="B50" s="11" t="inlineStr">
        <is>
          <t>degree_of_saturation</t>
        </is>
      </c>
      <c r="C50" s="11" t="inlineStr">
        <is>
          <t>Degree of Saturation</t>
        </is>
      </c>
      <c r="D50" s="28" t="inlineStr">
        <is>
          <t xml:space="preserve"> Volume of water divided by the volume of voids, expressed as a unitless ratio.</t>
        </is>
      </c>
      <c r="E50" s="11" t="inlineStr">
        <is>
          <t>double</t>
        </is>
      </c>
      <c r="J50" s="38" t="inlineStr">
        <is>
          <t>x</t>
        </is>
      </c>
    </row>
    <row r="51" ht="17" customHeight="1">
      <c r="A51" s="38">
        <f>IF(ISNA(VLOOKUP(B51,AssociatedElements!B$2:B672,1,FALSE)),"Not used","")</f>
        <v/>
      </c>
      <c r="B51" s="11" t="inlineStr">
        <is>
          <t>delay</t>
        </is>
      </c>
      <c r="C51" s="11" t="inlineStr">
        <is>
          <t>Delay Time</t>
        </is>
      </c>
      <c r="D51" s="12" t="inlineStr">
        <is>
          <t>Duration of delay before the start of a penetration increment</t>
        </is>
      </c>
      <c r="E51" s="11" t="inlineStr">
        <is>
          <t>double</t>
        </is>
      </c>
      <c r="F51" s="11" t="inlineStr">
        <is>
          <t>time</t>
        </is>
      </c>
    </row>
    <row r="52" ht="34" customHeight="1">
      <c r="A52" s="38">
        <f>IF(ISNA(VLOOKUP(B52,AssociatedElements!B$2:B673,1,FALSE)),"Not used","")</f>
        <v/>
      </c>
      <c r="B52" s="38" t="inlineStr">
        <is>
          <t>depth</t>
        </is>
      </c>
      <c r="C52" s="38" t="inlineStr">
        <is>
          <t>Depth</t>
        </is>
      </c>
      <c r="D52" s="38" t="inlineStr">
        <is>
          <t>Measured depth of the drill bit from the borehole centerline origin at time of measurement</t>
        </is>
      </c>
      <c r="E52" s="38" t="inlineStr">
        <is>
          <t>double</t>
        </is>
      </c>
      <c r="F52" s="38" t="inlineStr">
        <is>
          <t>length</t>
        </is>
      </c>
    </row>
    <row r="53" ht="34" customHeight="1">
      <c r="A53" s="38">
        <f>IF(ISNA(VLOOKUP(B53,AssociatedElements!B$2:B674,1,FALSE)),"Not used","")</f>
        <v/>
      </c>
      <c r="B53" s="11" t="inlineStr">
        <is>
          <t>dilation_angle</t>
        </is>
      </c>
      <c r="C53" s="11" t="inlineStr">
        <is>
          <t>Dilation Angle</t>
        </is>
      </c>
      <c r="D53" s="12" t="inlineStr">
        <is>
          <t xml:space="preserve"> The diffrence between the observed friction angle of a soil during dilation and the friction angle at zero dilation</t>
        </is>
      </c>
      <c r="E53" s="11" t="inlineStr">
        <is>
          <t>double</t>
        </is>
      </c>
      <c r="F53" s="11" t="inlineStr">
        <is>
          <t>plane angle</t>
        </is>
      </c>
    </row>
    <row r="54" ht="51" customHeight="1">
      <c r="A54" s="38">
        <f>IF(ISNA(VLOOKUP(B54,AssociatedElements!B$2:B675,1,FALSE)),"Not used","")</f>
        <v/>
      </c>
      <c r="B54" s="11" t="inlineStr">
        <is>
          <t>dilatometer_modulus</t>
        </is>
      </c>
      <c r="C54" s="11" t="inlineStr">
        <is>
          <t>Dilatometer Modulus (Ed)</t>
        </is>
      </c>
      <c r="D54" s="34" t="inlineStr">
        <is>
          <t xml:space="preserve"> Dilatometer modulus (Ed), based on linear elastic theory, and the primary index used in the correlation for the constrained and Young's moduli.</t>
        </is>
      </c>
      <c r="E54" s="11" t="inlineStr">
        <is>
          <t>double</t>
        </is>
      </c>
      <c r="F54" s="11" t="n"/>
      <c r="J54" s="38" t="inlineStr">
        <is>
          <t>x</t>
        </is>
      </c>
    </row>
    <row r="55" ht="119" customHeight="1">
      <c r="A55" s="38">
        <f>IF(ISNA(VLOOKUP(B55,AssociatedElements!B$2:B676,1,FALSE)),"Not used","")</f>
        <v/>
      </c>
      <c r="B55" s="11" t="inlineStr">
        <is>
          <t>dmt_tip_bearing</t>
        </is>
      </c>
      <c r="C55" s="11" t="inlineStr">
        <is>
          <t>Dilatometer Tip Bearing</t>
        </is>
      </c>
      <c r="D55" s="12" t="inlineStr">
        <is>
          <t xml:space="preserve"> DMT tip bearing (qD) is the axial thrust force at the end of a dilatometer blade divided by the projected cross-sectional area of the blade normal to the penetration. The DMT tip bearing is similar to the cone resistance, qc and may be used to evaluate stratigraphy. In cohesionless soils, qD and eD may be used to estimate the friction angle, overconsolidation ratio and at rest coefficient of earth pressure.</t>
        </is>
      </c>
      <c r="E55" s="11" t="inlineStr">
        <is>
          <t>double</t>
        </is>
      </c>
      <c r="F55" s="11" t="inlineStr">
        <is>
          <t>pressure</t>
        </is>
      </c>
    </row>
    <row r="56" ht="51" customHeight="1">
      <c r="A56" s="38">
        <f>IF(ISNA(VLOOKUP(B56,AssociatedElements!B$2:B677,1,FALSE)),"Not used","")</f>
        <v/>
      </c>
      <c r="B56" s="11" t="inlineStr">
        <is>
          <t>dry_density</t>
        </is>
      </c>
      <c r="C56" s="11" t="inlineStr">
        <is>
          <t>Density, Dry</t>
        </is>
      </c>
      <c r="D56" s="12" t="inlineStr">
        <is>
          <t xml:space="preserve"> Weight or mass of solids divided by total volume. This is technically a unit weight not a density, the value can also be reported in true density units.</t>
        </is>
      </c>
      <c r="E56" s="11" t="inlineStr">
        <is>
          <t>double</t>
        </is>
      </c>
      <c r="F56" s="11" t="inlineStr">
        <is>
          <t>force or mass per volume</t>
        </is>
      </c>
    </row>
    <row r="57" ht="119" customHeight="1">
      <c r="A57" s="38">
        <f>IF(ISNA(VLOOKUP(B57,AssociatedElements!B$2:B678,1,FALSE)),"Not used","")</f>
        <v/>
      </c>
      <c r="B57" s="11" t="inlineStr">
        <is>
          <t>dry_density_max</t>
        </is>
      </c>
      <c r="C57" s="11" t="inlineStr">
        <is>
          <t>Maximum Dry Density</t>
        </is>
      </c>
      <c r="D57" s="12" t="inlineStr">
        <is>
          <t xml:space="preserve"> This is a result of a compaction test. It is defined as the maximum dry density that is measured when a specific type and amount of energy is used for the compaction test. This is also the value of the compacted dry density when the soil is at the optimum moisture content. This is technically a unit weight not a density, but ithe value can also be reported in true density units.</t>
        </is>
      </c>
      <c r="E57" s="11" t="inlineStr">
        <is>
          <t>double</t>
        </is>
      </c>
      <c r="F57" s="11" t="inlineStr">
        <is>
          <t>force or mass per volume</t>
        </is>
      </c>
    </row>
    <row r="58" ht="34" customHeight="1">
      <c r="A58" s="38">
        <f>IF(ISNA(VLOOKUP(B58,AssociatedElements!B$2:B679,1,FALSE)),"Not used","")</f>
        <v/>
      </c>
      <c r="B58" s="11" t="inlineStr">
        <is>
          <t>effective_stress_vertical</t>
        </is>
      </c>
      <c r="C58" s="11" t="inlineStr">
        <is>
          <t>Vertical Effective Stress</t>
        </is>
      </c>
      <c r="D58" s="12" t="inlineStr">
        <is>
          <t xml:space="preserve"> Vertical effective stress at the center of the membrane before the insertion of the DMT blade.</t>
        </is>
      </c>
      <c r="E58" s="11" t="inlineStr">
        <is>
          <t>double</t>
        </is>
      </c>
      <c r="F58" s="11" t="inlineStr">
        <is>
          <t>pressure</t>
        </is>
      </c>
    </row>
    <row r="59" ht="17" customHeight="1">
      <c r="A59" s="38">
        <f>IF(ISNA(VLOOKUP(B59,AssociatedElements!B$2:B680,1,FALSE)),"Not used","")</f>
        <v/>
      </c>
      <c r="B59" s="38" t="inlineStr">
        <is>
          <t>elapsed_time</t>
        </is>
      </c>
      <c r="C59" s="31" t="inlineStr">
        <is>
          <t>Elapsed Time</t>
        </is>
      </c>
      <c r="D59" s="31" t="inlineStr">
        <is>
          <t>Amount of time since start of a measurement</t>
        </is>
      </c>
      <c r="E59" s="28" t="inlineStr">
        <is>
          <t>double</t>
        </is>
      </c>
      <c r="F59" s="38" t="inlineStr">
        <is>
          <t>time</t>
        </is>
      </c>
    </row>
    <row r="60" ht="17" customHeight="1">
      <c r="A60" s="38">
        <f>IF(ISNA(VLOOKUP(B60,AssociatedElements!B$2:B681,1,FALSE)),"Not used","")</f>
        <v/>
      </c>
      <c r="B60" s="11" t="inlineStr">
        <is>
          <t>filtrate_volume</t>
        </is>
      </c>
      <c r="C60" s="11" t="inlineStr">
        <is>
          <t>Filtrate Volume</t>
        </is>
      </c>
      <c r="D60" s="12" t="inlineStr">
        <is>
          <t xml:space="preserve"> Volume of filtrate extruded in Pressure Filtration test</t>
        </is>
      </c>
      <c r="E60" s="11" t="inlineStr">
        <is>
          <t>double</t>
        </is>
      </c>
      <c r="F60" s="11" t="inlineStr">
        <is>
          <t>volume per volume</t>
        </is>
      </c>
    </row>
    <row r="61" ht="85" customHeight="1">
      <c r="A61" s="38">
        <f>IF(ISNA(VLOOKUP(B61,AssociatedElements!B$2:B682,1,FALSE)),"Not used","")</f>
        <v/>
      </c>
      <c r="B61" s="11" t="inlineStr">
        <is>
          <t>flame_ionization_measurement</t>
        </is>
      </c>
      <c r="C61" s="11" t="inlineStr">
        <is>
          <t>Flame Ionization Measurement</t>
        </is>
      </c>
      <c r="D61" s="12" t="inlineStr">
        <is>
          <t xml:space="preserve"> Flame Ionization Detector Test detects total concentrations of organic gases and vapors. Gases and vapors are ionized in a flame; a current is produced in proportion to the number of carbon atoms present. Reported result can be in various units of measure, depending upon specific equipment used.</t>
        </is>
      </c>
      <c r="E61" s="11" t="inlineStr">
        <is>
          <t>double</t>
        </is>
      </c>
      <c r="F61" s="11" t="n"/>
    </row>
    <row r="62" ht="17" customHeight="1">
      <c r="A62" s="38">
        <f>IF(ISNA(VLOOKUP(B62,AssociatedElements!B$2:B683,1,FALSE)),"Not used","")</f>
        <v/>
      </c>
      <c r="B62" s="11" t="inlineStr">
        <is>
          <t>flow_cone_time</t>
        </is>
      </c>
      <c r="C62" s="11" t="inlineStr">
        <is>
          <t>Flow Cone Time</t>
        </is>
      </c>
      <c r="D62" s="12" t="inlineStr">
        <is>
          <t xml:space="preserve"> Time for grout specimen to exit flow cone</t>
        </is>
      </c>
      <c r="E62" s="11" t="inlineStr">
        <is>
          <t>double</t>
        </is>
      </c>
      <c r="F62" s="11" t="inlineStr">
        <is>
          <t>time</t>
        </is>
      </c>
    </row>
    <row r="63" ht="17" customHeight="1">
      <c r="A63" s="38">
        <f>IF(ISNA(VLOOKUP(B63,AssociatedElements!B$2:B684,1,FALSE)),"Not used","")</f>
        <v/>
      </c>
      <c r="B63" s="38" t="inlineStr">
        <is>
          <t>flow_mass_rate</t>
        </is>
      </c>
      <c r="C63" s="38" t="inlineStr">
        <is>
          <t>Mass Flow Rate</t>
        </is>
      </c>
      <c r="D63" s="38" t="inlineStr">
        <is>
          <t>The rate of fluid flow, measuredd as mass/time</t>
        </is>
      </c>
      <c r="E63" s="38" t="inlineStr">
        <is>
          <t>double</t>
        </is>
      </c>
      <c r="F63" s="38" t="inlineStr">
        <is>
          <t>mass per time</t>
        </is>
      </c>
    </row>
    <row r="64" ht="17" customHeight="1">
      <c r="A64" s="38">
        <f>IF(ISNA(VLOOKUP(B64,AssociatedElements!B$2:B685,1,FALSE)),"Not used","")</f>
        <v/>
      </c>
      <c r="B64" s="38" t="inlineStr">
        <is>
          <t>flow_volume_rate</t>
        </is>
      </c>
      <c r="C64" s="38" t="inlineStr">
        <is>
          <t>Volume Flow Rate</t>
        </is>
      </c>
      <c r="D64" s="38" t="inlineStr">
        <is>
          <t>The rate of fluid flow, measuredd as volume/time</t>
        </is>
      </c>
      <c r="E64" s="38" t="inlineStr">
        <is>
          <t>double</t>
        </is>
      </c>
      <c r="F64" s="38" t="inlineStr">
        <is>
          <t>volume per time</t>
        </is>
      </c>
    </row>
    <row r="65" ht="17" customHeight="1">
      <c r="A65" s="38">
        <f>IF(ISNA(VLOOKUP(B65,AssociatedElements!B$2:B686,1,FALSE)),"Not used","")</f>
        <v/>
      </c>
      <c r="B65" s="11" t="inlineStr">
        <is>
          <t>friction_angle_cv</t>
        </is>
      </c>
      <c r="C65" s="11" t="inlineStr">
        <is>
          <t>Critical State Friction Angle</t>
        </is>
      </c>
      <c r="D65" s="12" t="inlineStr">
        <is>
          <t xml:space="preserve"> Angle of friction at constant volume</t>
        </is>
      </c>
      <c r="E65" s="11" t="inlineStr">
        <is>
          <t>double</t>
        </is>
      </c>
      <c r="F65" s="11" t="inlineStr">
        <is>
          <t>plane angle</t>
        </is>
      </c>
    </row>
    <row r="66" ht="34" customHeight="1">
      <c r="A66" s="38">
        <f>IF(ISNA(VLOOKUP(B66,AssociatedElements!B$2:B687,1,FALSE)),"Not used","")</f>
        <v/>
      </c>
      <c r="B66" s="11" t="inlineStr">
        <is>
          <t>friction_angle_peak</t>
        </is>
      </c>
      <c r="C66" s="11" t="inlineStr">
        <is>
          <t>Peak Angle of Internal Friction</t>
        </is>
      </c>
      <c r="D66" s="12" t="inlineStr">
        <is>
          <t xml:space="preserve"> Measure of frictional resistance of soil. Ratio of shear strength to normal stress.</t>
        </is>
      </c>
      <c r="E66" s="11" t="inlineStr">
        <is>
          <t>double</t>
        </is>
      </c>
      <c r="F66" s="11" t="inlineStr">
        <is>
          <t>plane angle</t>
        </is>
      </c>
    </row>
    <row r="67" ht="51" customHeight="1">
      <c r="A67" s="38">
        <f>IF(ISNA(VLOOKUP(B67,AssociatedElements!B$2:B688,1,FALSE)),"Not used","")</f>
        <v/>
      </c>
      <c r="B67" s="11" t="inlineStr">
        <is>
          <t>friction_angle_residual</t>
        </is>
      </c>
      <c r="C67" s="11" t="inlineStr">
        <is>
          <t>Residual Angle of Internal Friction</t>
        </is>
      </c>
      <c r="D67" s="12" t="inlineStr">
        <is>
          <t xml:space="preserve"> Angle between the axis of normal stress and the tangent to the Mohr envelope at a point representing the failure-stress condition following large deformation</t>
        </is>
      </c>
      <c r="E67" s="11" t="inlineStr">
        <is>
          <t>double</t>
        </is>
      </c>
      <c r="F67" s="11" t="inlineStr">
        <is>
          <t>plane angle</t>
        </is>
      </c>
    </row>
    <row r="68" ht="17" customHeight="1">
      <c r="A68" s="38">
        <f>IF(ISNA(VLOOKUP(B68,AssociatedElements!B$2:B689,1,FALSE)),"Not used","")</f>
        <v/>
      </c>
      <c r="B68" s="11" t="inlineStr">
        <is>
          <t>friction_ratio</t>
        </is>
      </c>
      <c r="C68" s="11" t="inlineStr">
        <is>
          <t>Friction Ratio</t>
        </is>
      </c>
      <c r="D68" s="12" t="inlineStr">
        <is>
          <t xml:space="preserve"> ratio of sleeve resistance to tip resistance</t>
        </is>
      </c>
      <c r="E68" s="11" t="inlineStr">
        <is>
          <t>double</t>
        </is>
      </c>
      <c r="F68" s="11" t="inlineStr">
        <is>
          <t>dimensionless</t>
        </is>
      </c>
    </row>
    <row r="69" ht="34" customHeight="1">
      <c r="A69" s="38">
        <f>IF(ISNA(VLOOKUP(B69,AssociatedElements!B$2:B690,1,FALSE)),"Not used","")</f>
        <v/>
      </c>
      <c r="B69" s="11" t="inlineStr">
        <is>
          <t>frost_heave</t>
        </is>
      </c>
      <c r="C69" s="11" t="inlineStr">
        <is>
          <t>Frost Heave</t>
        </is>
      </c>
      <c r="D69" s="12" t="inlineStr">
        <is>
          <t xml:space="preserve"> Test establishes the degree of frost-susceptibility of unbound sub-base and base materials for pavements.</t>
        </is>
      </c>
      <c r="E69" s="11" t="inlineStr">
        <is>
          <t>double</t>
        </is>
      </c>
      <c r="F69" s="11" t="inlineStr">
        <is>
          <t>length</t>
        </is>
      </c>
    </row>
    <row r="70" ht="17" customHeight="1">
      <c r="A70" s="38">
        <f>IF(ISNA(VLOOKUP(B70,AssociatedElements!B$2:B691,1,FALSE)),"Not used","")</f>
        <v/>
      </c>
      <c r="B70" s="38" t="inlineStr">
        <is>
          <t>gauge_pressure</t>
        </is>
      </c>
      <c r="C70" s="31" t="inlineStr">
        <is>
          <t>Gauge Pressure</t>
        </is>
      </c>
      <c r="D70" s="31" t="inlineStr">
        <is>
          <t>Pressure measured with a gauge</t>
        </is>
      </c>
      <c r="E70" s="28" t="inlineStr">
        <is>
          <t>double</t>
        </is>
      </c>
      <c r="F70" s="38" t="inlineStr">
        <is>
          <t>pressure</t>
        </is>
      </c>
    </row>
    <row r="71" ht="51" customHeight="1">
      <c r="A71" s="38">
        <f>IF(ISNA(VLOOKUP(B71,AssociatedElements!B$2:B692,1,FALSE)),"Not used","")</f>
        <v/>
      </c>
      <c r="B71" s="11" t="inlineStr">
        <is>
          <t>gel_time</t>
        </is>
      </c>
      <c r="C71" s="11" t="inlineStr">
        <is>
          <t>Gel Time</t>
        </is>
      </c>
      <c r="D71" s="12" t="inlineStr">
        <is>
          <t xml:space="preserve"> The time it takes for a chemical grout to gel. If determined by rotational viscometer, this is the value where viscosity reaches 100 mpa*s.</t>
        </is>
      </c>
      <c r="E71" s="11" t="inlineStr">
        <is>
          <t>double</t>
        </is>
      </c>
      <c r="F71" s="11" t="inlineStr">
        <is>
          <t>time</t>
        </is>
      </c>
    </row>
    <row r="72" ht="17" customHeight="1">
      <c r="A72" s="38">
        <f>IF(ISNA(VLOOKUP(B72,AssociatedElements!B$2:B693,1,FALSE)),"Not used","")</f>
        <v/>
      </c>
      <c r="B72" s="11" t="inlineStr">
        <is>
          <t>HFFD</t>
        </is>
      </c>
      <c r="C72" s="11" t="inlineStr">
        <is>
          <t>HFFD</t>
        </is>
      </c>
      <c r="D72" s="12" t="inlineStr">
        <is>
          <t xml:space="preserve"> Heavy fuel fluorescence detector value measured by sensor</t>
        </is>
      </c>
      <c r="E72" s="11" t="inlineStr">
        <is>
          <t>double</t>
        </is>
      </c>
      <c r="F72" s="11" t="inlineStr">
        <is>
          <t>electric potential difference</t>
        </is>
      </c>
    </row>
    <row r="73" ht="85" customHeight="1">
      <c r="A73" s="38">
        <f>IF(ISNA(VLOOKUP(B73,AssociatedElements!B$2:B694,1,FALSE)),"Not used","")</f>
        <v/>
      </c>
      <c r="B73" s="11" t="inlineStr">
        <is>
          <t>horiz_stress_index</t>
        </is>
      </c>
      <c r="C73" s="11" t="inlineStr">
        <is>
          <t>Horizontal Stress Index (Kd)</t>
        </is>
      </c>
      <c r="D73" s="12" t="inlineStr">
        <is>
          <t xml:space="preserve"> The dimensionless dilatometer horizontal stress index, the primary index used in the correlation for in-situ horizontal stress, overconsolidation ratio, and undrained shear strength in cohesive soils. KD is similar to the at-rest coefficient of earth pressure except that it includes blade penetration effects.</t>
        </is>
      </c>
      <c r="E73" s="11" t="inlineStr">
        <is>
          <t>double</t>
        </is>
      </c>
      <c r="F73" s="11" t="inlineStr">
        <is>
          <t>dimensionless</t>
        </is>
      </c>
    </row>
    <row r="74" ht="34" customHeight="1">
      <c r="A74" s="38">
        <f>IF(ISNA(VLOOKUP(B74,AssociatedElements!B$2:B695,1,FALSE)),"Not used","")</f>
        <v/>
      </c>
      <c r="B74" s="11" t="inlineStr">
        <is>
          <t>inclination</t>
        </is>
      </c>
      <c r="C74" s="11" t="inlineStr">
        <is>
          <t>Inclination</t>
        </is>
      </c>
      <c r="D74" s="12" t="inlineStr">
        <is>
          <t xml:space="preserve"> Measured inclination angle (vertical = 0 degrees); bearing unspecified or specified as another property</t>
        </is>
      </c>
      <c r="E74" s="11" t="inlineStr">
        <is>
          <t>double</t>
        </is>
      </c>
      <c r="F74" s="11" t="inlineStr">
        <is>
          <t>plane angle</t>
        </is>
      </c>
    </row>
    <row r="75" ht="34" customHeight="1">
      <c r="A75" s="38">
        <f>IF(ISNA(VLOOKUP(B75,AssociatedElements!B$2:B696,1,FALSE)),"Not used","")</f>
        <v/>
      </c>
      <c r="B75" s="11" t="inlineStr">
        <is>
          <t>inclination_x</t>
        </is>
      </c>
      <c r="C75" s="11" t="inlineStr">
        <is>
          <t>X Inclination</t>
        </is>
      </c>
      <c r="D75" s="12" t="inlineStr">
        <is>
          <t xml:space="preserve"> Inclination measured in defined x direction (specified elsewhere)</t>
        </is>
      </c>
      <c r="E75" s="11" t="inlineStr">
        <is>
          <t>double</t>
        </is>
      </c>
      <c r="F75" s="11" t="inlineStr">
        <is>
          <t>plane angle</t>
        </is>
      </c>
    </row>
    <row r="76" ht="34" customHeight="1">
      <c r="A76" s="38">
        <f>IF(ISNA(VLOOKUP(B76,AssociatedElements!B$2:B697,1,FALSE)),"Not used","")</f>
        <v/>
      </c>
      <c r="B76" s="11" t="inlineStr">
        <is>
          <t>inclination_y</t>
        </is>
      </c>
      <c r="C76" s="11" t="inlineStr">
        <is>
          <t>Y Inclination</t>
        </is>
      </c>
      <c r="D76" s="12" t="inlineStr">
        <is>
          <t xml:space="preserve"> Inclination measured in defined y direction (specified elsewhere)</t>
        </is>
      </c>
      <c r="E76" s="11" t="inlineStr">
        <is>
          <t>double</t>
        </is>
      </c>
      <c r="F76" s="11" t="inlineStr">
        <is>
          <t>plane angle</t>
        </is>
      </c>
    </row>
    <row r="77" ht="34" customHeight="1">
      <c r="A77" s="38">
        <f>IF(ISNA(VLOOKUP(B77,AssociatedElements!B$2:B698,1,FALSE)),"Not used","")</f>
        <v/>
      </c>
      <c r="B77" s="11" t="inlineStr">
        <is>
          <t>insitu_horizontal_stress</t>
        </is>
      </c>
      <c r="C77" s="11" t="inlineStr">
        <is>
          <t>Insitu Horizontal Stress</t>
        </is>
      </c>
      <c r="D77" s="12" t="inlineStr">
        <is>
          <t xml:space="preserve"> The horizontal component of the original stress status before excavations or other perturbations. </t>
        </is>
      </c>
      <c r="E77" s="11" t="inlineStr">
        <is>
          <t>double</t>
        </is>
      </c>
      <c r="F77" s="11" t="inlineStr">
        <is>
          <t>pressure</t>
        </is>
      </c>
    </row>
    <row r="78" ht="51" customHeight="1">
      <c r="A78" s="38">
        <f>IF(ISNA(VLOOKUP(B78,AssociatedElements!B$2:B699,1,FALSE)),"Not used","")</f>
        <v/>
      </c>
      <c r="B78" s="11" t="inlineStr">
        <is>
          <t>Is</t>
        </is>
      </c>
      <c r="C78" s="11" t="inlineStr">
        <is>
          <t>Uncorrected Point Load Test Index</t>
        </is>
      </c>
      <c r="D78" s="12" t="inlineStr">
        <is>
          <t xml:space="preserve"> The Point Load Test produces an uncorrected Point Load Test Index (Is), which can be correlated with the uniaxial compressive strength (UCS) of rock.</t>
        </is>
      </c>
      <c r="E78" s="11" t="inlineStr">
        <is>
          <t>double</t>
        </is>
      </c>
      <c r="F78" s="11" t="inlineStr">
        <is>
          <t>pressure</t>
        </is>
      </c>
    </row>
    <row r="79" ht="51" customHeight="1">
      <c r="A79" s="38">
        <f>IF(ISNA(VLOOKUP(B79,AssociatedElements!B$2:B700,1,FALSE)),"Not used","")</f>
        <v/>
      </c>
      <c r="B79" s="11" t="inlineStr">
        <is>
          <t>Is50</t>
        </is>
      </c>
      <c r="C79" s="11" t="inlineStr">
        <is>
          <t>Size Corrected Point Load Test Index</t>
        </is>
      </c>
      <c r="D79" s="12" t="inlineStr">
        <is>
          <t xml:space="preserve"> The Point Load Test produces the Point Load Test Index (Is50), which can be correlated with the uniaxial compressive strength (UCS) of rock.</t>
        </is>
      </c>
      <c r="E79" s="11" t="inlineStr">
        <is>
          <t>double</t>
        </is>
      </c>
      <c r="F79" s="11" t="inlineStr">
        <is>
          <t>pressure</t>
        </is>
      </c>
    </row>
    <row r="80" ht="17" customHeight="1">
      <c r="A80" s="38">
        <f>IF(ISNA(VLOOKUP(B80,AssociatedElements!B$2:B701,1,FALSE)),"Not used","")</f>
        <v/>
      </c>
      <c r="B80" s="11" t="inlineStr">
        <is>
          <t>LFFD</t>
        </is>
      </c>
      <c r="C80" s="11" t="inlineStr">
        <is>
          <t>LFFD</t>
        </is>
      </c>
      <c r="D80" s="12" t="inlineStr">
        <is>
          <t xml:space="preserve"> Light fuel fluorescence detector value measured by sensor</t>
        </is>
      </c>
      <c r="E80" s="11" t="inlineStr">
        <is>
          <t>double</t>
        </is>
      </c>
      <c r="F80" s="11" t="inlineStr">
        <is>
          <t>electric potential difference</t>
        </is>
      </c>
    </row>
    <row r="81" ht="17" customHeight="1">
      <c r="A81" s="38">
        <f>IF(ISNA(VLOOKUP(B81,AssociatedElements!B$2:B702,1,FALSE)),"Not used","")</f>
        <v/>
      </c>
      <c r="B81" s="11" t="inlineStr">
        <is>
          <t>limit_pressure</t>
        </is>
      </c>
      <c r="C81" s="11" t="inlineStr">
        <is>
          <t>Limit Pressure</t>
        </is>
      </c>
      <c r="D81" s="12" t="inlineStr">
        <is>
          <t xml:space="preserve"> The pressure at failure during a Pressuremeter test</t>
        </is>
      </c>
      <c r="E81" s="11" t="inlineStr">
        <is>
          <t>double</t>
        </is>
      </c>
      <c r="F81" s="11" t="inlineStr">
        <is>
          <t>pressure</t>
        </is>
      </c>
    </row>
    <row r="82" ht="34" customHeight="1">
      <c r="A82" s="38">
        <f>IF(ISNA(VLOOKUP(B82,AssociatedElements!B$2:B703,1,FALSE)),"Not used","")</f>
        <v/>
      </c>
      <c r="B82" s="11" t="inlineStr">
        <is>
          <t>line_loss_coeff_A</t>
        </is>
      </c>
      <c r="C82" s="11" t="inlineStr">
        <is>
          <t>Line Loss Coefficient A</t>
        </is>
      </c>
      <c r="D82" s="12" t="inlineStr">
        <is>
          <t xml:space="preserve"> Coefficient A computed for line loss regression equation Ax^2 + Bx + C</t>
        </is>
      </c>
      <c r="E82" s="11" t="inlineStr">
        <is>
          <t>double</t>
        </is>
      </c>
      <c r="F82" s="11" t="n"/>
    </row>
    <row r="83" ht="34" customHeight="1">
      <c r="A83" s="38">
        <f>IF(ISNA(VLOOKUP(B83,AssociatedElements!B$2:B704,1,FALSE)),"Not used","")</f>
        <v/>
      </c>
      <c r="B83" s="11" t="inlineStr">
        <is>
          <t>line_loss_coeff_B</t>
        </is>
      </c>
      <c r="C83" s="11" t="inlineStr">
        <is>
          <t>Line Loss Coefficient B</t>
        </is>
      </c>
      <c r="D83" s="12" t="inlineStr">
        <is>
          <t xml:space="preserve"> Coefficient B computed for line loss regression equation Ax^2 + Bx + C</t>
        </is>
      </c>
      <c r="E83" s="11" t="inlineStr">
        <is>
          <t>double</t>
        </is>
      </c>
      <c r="F83" s="11" t="n"/>
    </row>
    <row r="84" ht="34" customHeight="1">
      <c r="A84" s="38">
        <f>IF(ISNA(VLOOKUP(B84,AssociatedElements!B$2:B705,1,FALSE)),"Not used","")</f>
        <v/>
      </c>
      <c r="B84" s="11" t="inlineStr">
        <is>
          <t>line_loss_coeff_C</t>
        </is>
      </c>
      <c r="C84" s="11" t="inlineStr">
        <is>
          <t>Line Loss Coefficient C</t>
        </is>
      </c>
      <c r="D84" s="12" t="inlineStr">
        <is>
          <t xml:space="preserve"> Coefficient C computed for line loss regression equation Ax^2 + Bx + C</t>
        </is>
      </c>
      <c r="E84" s="11" t="inlineStr">
        <is>
          <t>double</t>
        </is>
      </c>
      <c r="F84" s="11" t="n"/>
    </row>
    <row r="85" ht="17" customHeight="1">
      <c r="A85" s="38">
        <f>IF(ISNA(VLOOKUP(B85,AssociatedElements!B$2:B706,1,FALSE)),"Not used","")</f>
        <v/>
      </c>
      <c r="B85" s="11" t="inlineStr">
        <is>
          <t>line_loss_r2</t>
        </is>
      </c>
      <c r="C85" s="11" t="inlineStr">
        <is>
          <t>Line Loss R2</t>
        </is>
      </c>
      <c r="D85" s="12" t="inlineStr">
        <is>
          <t xml:space="preserve"> The correlation coefficient of the line loss regression equation</t>
        </is>
      </c>
      <c r="E85" s="11" t="inlineStr">
        <is>
          <t>double</t>
        </is>
      </c>
      <c r="F85" s="11" t="n"/>
    </row>
    <row r="86" ht="34" customHeight="1">
      <c r="A86" s="38">
        <f>IF(ISNA(VLOOKUP(B86,AssociatedElements!B$2:B707,1,FALSE)),"Not used","")</f>
        <v/>
      </c>
      <c r="B86" s="11" t="inlineStr">
        <is>
          <t>liquid_limit</t>
        </is>
      </c>
      <c r="C86" s="11" t="inlineStr">
        <is>
          <t>Liquid Limit</t>
        </is>
      </c>
      <c r="D86" s="12" t="inlineStr">
        <is>
          <t xml:space="preserve"> The liquid limit (LL) is the water content at which a soil changes from plastic to liquid behavior.</t>
        </is>
      </c>
      <c r="E86" s="11" t="inlineStr">
        <is>
          <t>integer</t>
        </is>
      </c>
      <c r="F86" s="11" t="n"/>
    </row>
    <row r="87" ht="34" customHeight="1">
      <c r="A87" s="38">
        <f>IF(ISNA(VLOOKUP(B87,AssociatedElements!B$2:B708,1,FALSE)),"Not used","")</f>
        <v/>
      </c>
      <c r="B87" s="11" t="inlineStr">
        <is>
          <t>liquid_limit_oven_dried</t>
        </is>
      </c>
      <c r="C87" s="11" t="inlineStr">
        <is>
          <t>Oven Dried Liquid Limit</t>
        </is>
      </c>
      <c r="D87" s="12" t="inlineStr">
        <is>
          <t xml:space="preserve"> Liquid limit determined if sample required oven drying before test</t>
        </is>
      </c>
      <c r="E87" s="11" t="inlineStr">
        <is>
          <t>integer</t>
        </is>
      </c>
      <c r="F87" s="11" t="n"/>
    </row>
    <row r="88" ht="85" customHeight="1">
      <c r="A88" s="38">
        <f>IF(ISNA(VLOOKUP(B88,AssociatedElements!B$2:B709,1,FALSE)),"Not used","")</f>
        <v/>
      </c>
      <c r="B88" s="11" t="inlineStr">
        <is>
          <t>liquidity_index</t>
        </is>
      </c>
      <c r="C88" s="11" t="inlineStr">
        <is>
          <t>Liquidity Index</t>
        </is>
      </c>
      <c r="D88" s="12" t="inlineStr">
        <is>
          <t xml:space="preserve"> The liquidity index (LI) is used for scaling the natural water content of a soil sample to the limits. It can be calculated as a ratio of difference between natural water content, plastic limit, and liquid limit: LI=(W-PL)/(LL-PL) where W is the natural water content.</t>
        </is>
      </c>
      <c r="E88" s="11" t="inlineStr">
        <is>
          <t>double</t>
        </is>
      </c>
      <c r="F88" s="11" t="n"/>
    </row>
    <row r="89" ht="51" customHeight="1">
      <c r="A89" s="38">
        <f>IF(ISNA(VLOOKUP(B89,AssociatedElements!B$2:B710,1,FALSE)),"Not used","")</f>
        <v/>
      </c>
      <c r="B89" s="11" t="inlineStr">
        <is>
          <t>LOI</t>
        </is>
      </c>
      <c r="C89" s="11" t="inlineStr">
        <is>
          <t>Organic Content of Soil</t>
        </is>
      </c>
      <c r="D89" s="12" t="inlineStr">
        <is>
          <t xml:space="preserve"> The amount of organic matter in a soil that derives from peat, organic muck, plant material such as wood, roots, grass, or carbonaceous materials such as lignite, coal, etc.</t>
        </is>
      </c>
      <c r="E89" s="11" t="inlineStr">
        <is>
          <t>double</t>
        </is>
      </c>
      <c r="F89" s="28" t="inlineStr">
        <is>
          <t>mass per mass</t>
        </is>
      </c>
      <c r="J89" s="38" t="inlineStr">
        <is>
          <t>x</t>
        </is>
      </c>
    </row>
    <row r="90" ht="85" customHeight="1">
      <c r="A90" s="38">
        <f>IF(ISNA(VLOOKUP(B90,AssociatedElements!B$2:B711,1,FALSE)),"Not used","")</f>
        <v/>
      </c>
      <c r="B90" s="11" t="inlineStr">
        <is>
          <t>lugeon_value</t>
        </is>
      </c>
      <c r="C90" s="11" t="inlineStr">
        <is>
          <t>Lugeon Value</t>
        </is>
      </c>
      <c r="D90" s="12" t="inlineStr">
        <is>
          <t xml:space="preserve"> A unit devised to quantify the water permeability of bedrock and the hydraulic conductivity resulting from fractures. It is defined as the amount of water (in liters) that can be absorbed by a 1-meter length of a borehole per minute, at an over-pressure of 1 MPa (10 bar). </t>
        </is>
      </c>
      <c r="E90" s="11" t="inlineStr">
        <is>
          <t>double</t>
        </is>
      </c>
      <c r="F90" s="11" t="inlineStr">
        <is>
          <t>area per time</t>
        </is>
      </c>
    </row>
    <row r="91" ht="17" customHeight="1">
      <c r="A91" s="38">
        <f>IF(ISNA(VLOOKUP(B91,AssociatedElements!B$2:B712,1,FALSE)),"Not used","")</f>
        <v/>
      </c>
      <c r="B91" s="11" t="inlineStr">
        <is>
          <t>marsh_funnel_time</t>
        </is>
      </c>
      <c r="C91" s="11" t="inlineStr">
        <is>
          <t>Marsh Funnel Time</t>
        </is>
      </c>
      <c r="D91" s="12" t="inlineStr">
        <is>
          <t xml:space="preserve"> Time for grout speciment to exit marsh funnel</t>
        </is>
      </c>
      <c r="E91" s="11" t="inlineStr">
        <is>
          <t>double</t>
        </is>
      </c>
      <c r="F91" s="11" t="inlineStr">
        <is>
          <t>time</t>
        </is>
      </c>
    </row>
    <row r="92" ht="17" customHeight="1">
      <c r="A92" s="38">
        <f>IF(ISNA(VLOOKUP(B92,AssociatedElements!B$2:B713,1,FALSE)),"Not used","")</f>
        <v/>
      </c>
      <c r="B92" s="38" t="inlineStr">
        <is>
          <t>mass</t>
        </is>
      </c>
      <c r="C92" s="38" t="inlineStr">
        <is>
          <t>Mass</t>
        </is>
      </c>
      <c r="D92" s="38" t="inlineStr">
        <is>
          <t>The mass of material observed</t>
        </is>
      </c>
      <c r="E92" s="38" t="inlineStr">
        <is>
          <t>double</t>
        </is>
      </c>
      <c r="F92" s="38" t="inlineStr">
        <is>
          <t>mass</t>
        </is>
      </c>
    </row>
    <row r="93" ht="17" customHeight="1">
      <c r="A93" s="38">
        <f>IF(ISNA(VLOOKUP(B93,AssociatedElements!B$2:B714,1,FALSE)),"Not used","")</f>
        <v/>
      </c>
      <c r="B93" s="38" t="inlineStr">
        <is>
          <t>mass_loss</t>
        </is>
      </c>
      <c r="C93" s="38" t="inlineStr">
        <is>
          <t>Mass Loss</t>
        </is>
      </c>
      <c r="D93" s="38" t="inlineStr">
        <is>
          <t>The amount of mass reduced between observation steps</t>
        </is>
      </c>
      <c r="E93" s="38" t="inlineStr">
        <is>
          <t>double</t>
        </is>
      </c>
      <c r="F93" s="38" t="inlineStr">
        <is>
          <t>mass</t>
        </is>
      </c>
    </row>
    <row r="94" ht="34" customHeight="1">
      <c r="A94" s="38">
        <f>IF(ISNA(VLOOKUP(B94,AssociatedElements!B$2:B715,1,FALSE)),"Not used","")</f>
        <v/>
      </c>
      <c r="B94" s="11" t="inlineStr">
        <is>
          <t>material_index</t>
        </is>
      </c>
      <c r="C94" s="11" t="inlineStr">
        <is>
          <t>Material Index     s</t>
        </is>
      </c>
      <c r="D94" s="12" t="inlineStr">
        <is>
          <t xml:space="preserve"> Unitless dilatometer material index, used to identify soil type and delineate stratigraphy.</t>
        </is>
      </c>
      <c r="E94" s="11" t="inlineStr">
        <is>
          <t>double</t>
        </is>
      </c>
      <c r="F94" s="11" t="n"/>
    </row>
    <row r="95" ht="68" customHeight="1">
      <c r="A95" s="38">
        <f>IF(ISNA(VLOOKUP(B95,AssociatedElements!B$2:B716,1,FALSE)),"Not used","")</f>
        <v/>
      </c>
      <c r="B95" s="11" t="inlineStr">
        <is>
          <t>mcv</t>
        </is>
      </c>
      <c r="C95" s="11" t="inlineStr">
        <is>
          <t>Moisture Condition Value</t>
        </is>
      </c>
      <c r="D95" s="12" t="inlineStr">
        <is>
          <t xml:space="preserve"> The Moisture Condition Value (MCV) is determined from a moisture condition test, a physical test indicating how much compactive effort is needed to compact a sample of soil at a particular moisture content.</t>
        </is>
      </c>
      <c r="E95" s="11" t="inlineStr">
        <is>
          <t>double</t>
        </is>
      </c>
      <c r="F95" s="11" t="n"/>
    </row>
    <row r="96" ht="17" customHeight="1">
      <c r="A96" s="38">
        <f>IF(ISNA(VLOOKUP(B96,AssociatedElements!B$2:B717,1,FALSE)),"Not used","")</f>
        <v/>
      </c>
      <c r="B96" s="38" t="inlineStr">
        <is>
          <t>mean_micro_deval_dry</t>
        </is>
      </c>
      <c r="C96" s="38" t="inlineStr">
        <is>
          <t>Mean Micro Deval Value, dry</t>
        </is>
      </c>
      <c r="D96" s="38" t="inlineStr">
        <is>
          <t>A measure of mass loss in dry aggregate</t>
        </is>
      </c>
      <c r="E96" s="38" t="inlineStr">
        <is>
          <t>double</t>
        </is>
      </c>
    </row>
    <row r="97" ht="17" customHeight="1">
      <c r="A97" s="38">
        <f>IF(ISNA(VLOOKUP(B97,AssociatedElements!B$2:B718,1,FALSE)),"Not used","")</f>
        <v/>
      </c>
      <c r="B97" s="38" t="inlineStr">
        <is>
          <t>mean_micro_deval_wet</t>
        </is>
      </c>
      <c r="C97" s="24" t="inlineStr">
        <is>
          <t>Mean Micro Deval Value, wet</t>
        </is>
      </c>
      <c r="D97" s="24" t="inlineStr">
        <is>
          <t>A measure of mass loss in wet aggregate</t>
        </is>
      </c>
      <c r="E97" s="38" t="inlineStr">
        <is>
          <t>double</t>
        </is>
      </c>
    </row>
    <row r="98" ht="34" customHeight="1">
      <c r="A98" s="38">
        <f>IF(ISNA(VLOOKUP(B98,AssociatedElements!B$2:B719,1,FALSE)),"Not used","")</f>
        <v/>
      </c>
      <c r="B98" t="inlineStr">
        <is>
          <t>menard_modulus</t>
        </is>
      </c>
      <c r="C98" t="inlineStr">
        <is>
          <t>Menard Modulus (E_M)</t>
        </is>
      </c>
      <c r="D98" t="inlineStr">
        <is>
          <t>The pressuremeter modulus (E_M), a measure of soil deformability derived from the pseudo-elastic phase of the initial expansion curve of a Menard-type (prebored) pressuremeter test, per the test standard's prescribed interpretation. Distinct from the trial-level shearModulus (Gur), the unload/reload modulus derived from self-boring/cyclic pressuremeter interpretation over a different portion of the loading history; the two are related by a soil-dependent rheological factor, not an identity.</t>
        </is>
      </c>
      <c r="E98" t="inlineStr">
        <is>
          <t>double</t>
        </is>
      </c>
      <c r="F98" t="inlineStr">
        <is>
          <t>pressure</t>
        </is>
      </c>
    </row>
    <row r="99" ht="119" customHeight="1">
      <c r="A99" s="38">
        <f>IF(ISNA(VLOOKUP(B99,AssociatedElements!B$2:B720,1,FALSE)),"Not used","")</f>
        <v/>
      </c>
      <c r="B99" s="11" t="inlineStr">
        <is>
          <t>modulus_shear</t>
        </is>
      </c>
      <c r="C99" s="11" t="inlineStr">
        <is>
          <t>Shear Modulus</t>
        </is>
      </c>
      <c r="D99" s="12" t="inlineStr">
        <is>
          <t xml:space="preserve"> Shear modulus, denoted by G, is defined as the ratio of shear stress to the shear strain.</t>
        </is>
      </c>
      <c r="E99" s="11" t="inlineStr">
        <is>
          <t>double</t>
        </is>
      </c>
      <c r="F99" s="11" t="inlineStr">
        <is>
          <t>pressure</t>
        </is>
      </c>
    </row>
    <row r="100" ht="51" customHeight="1">
      <c r="A100" s="38">
        <f>IF(ISNA(VLOOKUP(B100,AssociatedElements!B$2:B721,1,FALSE)),"Not used","")</f>
        <v/>
      </c>
      <c r="B100" s="11" t="inlineStr">
        <is>
          <t>modulus_youngs</t>
        </is>
      </c>
      <c r="C100" s="11" t="inlineStr">
        <is>
          <t>Young's Modulus</t>
        </is>
      </c>
      <c r="D100" s="12" t="inlineStr">
        <is>
          <t xml:space="preserve"> The tangent modulus of the initial, linear portion of a stress-strain curve for material in axial compression or tension is called Young's modulus, also known as the tensile (compression) modulus. It is defined as the ratio of the uniaxial stress over the uniaxial strain in the range of stress in which Hooke' Law holds. It is often calculated using theory of elasticity from other tests.</t>
        </is>
      </c>
      <c r="E100" s="11" t="inlineStr">
        <is>
          <t>double</t>
        </is>
      </c>
      <c r="F100" s="11" t="inlineStr">
        <is>
          <t>pressure</t>
        </is>
      </c>
    </row>
    <row r="101" ht="68" customHeight="1">
      <c r="A101" s="38">
        <f>IF(ISNA(VLOOKUP(B101,AssociatedElements!B$2:B722,1,FALSE)),"Not used","")</f>
        <v/>
      </c>
      <c r="B101" s="11" t="inlineStr">
        <is>
          <t>mud_balance_density</t>
        </is>
      </c>
      <c r="C101" s="11" t="inlineStr">
        <is>
          <t>Mud Balance Density</t>
        </is>
      </c>
      <c r="D101" s="12" t="inlineStr">
        <is>
          <t xml:space="preserve"> Grout or mud density determined using a mud balance. While called a density, measurement is a force (weight) / voume but can also report this value in true density units (mass/volume)</t>
        </is>
      </c>
      <c r="E101" s="11" t="inlineStr">
        <is>
          <t>double</t>
        </is>
      </c>
      <c r="F101" s="11" t="inlineStr">
        <is>
          <t>force or mass per volume</t>
        </is>
      </c>
    </row>
    <row r="102" ht="85" customHeight="1">
      <c r="A102" s="38">
        <f>IF(ISNA(VLOOKUP(B102,AssociatedElements!B$2:B723,1,FALSE)),"Not used","")</f>
        <v/>
      </c>
      <c r="B102" s="11" t="inlineStr">
        <is>
          <t>n_value</t>
        </is>
      </c>
      <c r="C102" s="11" t="inlineStr">
        <is>
          <t>N-Value (Raw)</t>
        </is>
      </c>
      <c r="D102" s="12" t="inlineStr">
        <is>
          <t xml:space="preserve"> Value from Standard Penetration Test (SPT) to define advancement in terms of blows required to drive a specific sampler I foot into the soil using a hammer that provides a specific impact energy.</t>
        </is>
      </c>
      <c r="E102" s="11" t="inlineStr">
        <is>
          <t>integer</t>
        </is>
      </c>
      <c r="F102" s="11" t="n"/>
    </row>
    <row r="103" ht="51" customHeight="1">
      <c r="A103" s="38">
        <f>IF(ISNA(VLOOKUP(B103,AssociatedElements!B$2:B724,1,FALSE)),"Not used","")</f>
        <v/>
      </c>
      <c r="B103" s="11" t="inlineStr">
        <is>
          <t>n1_60</t>
        </is>
      </c>
      <c r="C103" s="11" t="inlineStr">
        <is>
          <t>N1,60</t>
        </is>
      </c>
      <c r="D103" s="12" t="inlineStr">
        <is>
          <t xml:space="preserve"> Calculated value that corrects the value of the Standard Penetration Blow Count (N), to account for energy of the hammer (specifically normalized to 60% energy) and specific overburden conditions (specifically to an overburden stress of 1 ton per square foot). </t>
        </is>
      </c>
      <c r="E103" s="11" t="inlineStr">
        <is>
          <t>integer</t>
        </is>
      </c>
      <c r="F103" s="11" t="n"/>
    </row>
    <row r="104" ht="68" customHeight="1">
      <c r="A104" s="38">
        <f>IF(ISNA(VLOOKUP(B104,AssociatedElements!B$2:B725,1,FALSE)),"Not used","")</f>
        <v/>
      </c>
      <c r="B104" s="11" t="inlineStr">
        <is>
          <t>n60</t>
        </is>
      </c>
      <c r="C104" s="11" t="inlineStr">
        <is>
          <t>N60</t>
        </is>
      </c>
      <c r="D104" s="12" t="inlineStr">
        <is>
          <t xml:space="preserve"> Calculated value that corrects the value of the Standard Penetration Blow Count (N-value), to account for energy of the hammer (specifically normalized to 60% energy).</t>
        </is>
      </c>
      <c r="E104" s="11" t="inlineStr">
        <is>
          <t>integer</t>
        </is>
      </c>
      <c r="F104" s="11" t="n"/>
    </row>
    <row r="105" ht="102" customHeight="1">
      <c r="A105" s="38">
        <f>IF(ISNA(VLOOKUP(B105,AssociatedElements!B$2:B726,1,FALSE)),"Not used","")</f>
        <v/>
      </c>
      <c r="B105" s="11" t="inlineStr">
        <is>
          <t>non_plastic</t>
        </is>
      </c>
      <c r="C105" s="11" t="inlineStr">
        <is>
          <t>Non Plastic</t>
        </is>
      </c>
      <c r="D105" s="12" t="inlineStr">
        <is>
          <t xml:space="preserve"> A value of true for this property indiates that no plastic limit can be . In such cases the value of the plastic limit should be left empty or set to the null value, and the value of non_plastic set to true.</t>
        </is>
      </c>
      <c r="E105" s="11" t="inlineStr">
        <is>
          <t>boolean</t>
        </is>
      </c>
      <c r="F105" s="11" t="n"/>
    </row>
    <row r="106" ht="34" customHeight="1">
      <c r="A106" s="38">
        <f>IF(ISNA(VLOOKUP(B106,AssociatedElements!B$2:B727,1,FALSE)),"Not used","")</f>
        <v/>
      </c>
      <c r="B106" s="11" t="inlineStr">
        <is>
          <t>ocr</t>
        </is>
      </c>
      <c r="C106" s="11" t="inlineStr">
        <is>
          <t>Overconsolidation Ratio</t>
        </is>
      </c>
      <c r="D106" s="12" t="inlineStr">
        <is>
          <t xml:space="preserve"> A calculation that reflects the maximum past consolidation that the in situ soil has been subjected to compared to the current vertical overburden stress on the sample in the field. This value is usually measured from the one-dimensional consolidation tests. Often referenced as the parameter to track the stress history.</t>
        </is>
      </c>
      <c r="E106" s="11" t="inlineStr">
        <is>
          <t>double</t>
        </is>
      </c>
      <c r="F106" s="11" t="n"/>
    </row>
    <row r="107" ht="85" customHeight="1">
      <c r="A107" s="38">
        <f>IF(ISNA(VLOOKUP(B107,AssociatedElements!B$2:B728,1,FALSE)),"Not used","")</f>
        <v/>
      </c>
      <c r="B107" s="38" t="inlineStr">
        <is>
          <t>p_wave_velocity</t>
        </is>
      </c>
      <c r="C107" s="38" t="inlineStr">
        <is>
          <t>Primary Compression Wave Velocity</t>
        </is>
      </c>
      <c r="D107" s="16" t="inlineStr">
        <is>
          <t>The velocity of a p-wave (Vp). P-waves (primary waves) are compressional waves that are longitudinal in nature.</t>
        </is>
      </c>
      <c r="E107" s="38" t="inlineStr">
        <is>
          <t>double</t>
        </is>
      </c>
      <c r="F107" s="38" t="inlineStr">
        <is>
          <t>length per time</t>
        </is>
      </c>
    </row>
    <row r="108" ht="68" customHeight="1">
      <c r="A108" s="38">
        <f>IF(ISNA(VLOOKUP(B108,AssociatedElements!B$2:B729,1,FALSE)),"Not used","")</f>
        <v/>
      </c>
      <c r="B108" s="11" t="inlineStr">
        <is>
          <t>p0_reading</t>
        </is>
      </c>
      <c r="C108" s="15" t="inlineStr">
        <is>
          <t>P0 Reading</t>
        </is>
      </c>
      <c r="D108" s="14" t="inlineStr">
        <is>
          <t>A-Reading corrected for the DA membrane stiffness at 0.05 mm expansion, the 0.05 mm expansion itself and the gauge pressure deviation from zero. This corrected pressure is referred to as p0. This is an intermediate result from a flat plate dilatometer test.</t>
        </is>
      </c>
      <c r="E108" s="15" t="inlineStr">
        <is>
          <t>double</t>
        </is>
      </c>
      <c r="F108" s="15" t="inlineStr">
        <is>
          <t>pressure</t>
        </is>
      </c>
    </row>
    <row r="109" ht="68" customHeight="1">
      <c r="A109" s="38">
        <f>IF(ISNA(VLOOKUP(B109,AssociatedElements!B$2:B730,1,FALSE)),"Not used","")</f>
        <v/>
      </c>
      <c r="B109" s="11" t="inlineStr">
        <is>
          <t>p1_reading</t>
        </is>
      </c>
      <c r="C109" s="15" t="inlineStr">
        <is>
          <t>P1 Reading</t>
        </is>
      </c>
      <c r="D109" s="14" t="inlineStr">
        <is>
          <t>B-Reading corrected for the DB membrane stiffness at 1.10 mm expansion and the gauge pressure deviation from zero. This corrected pressure is referred to as p1. This is an intermediate result from a flat plate dilatometer test.</t>
        </is>
      </c>
      <c r="E109" s="15" t="inlineStr">
        <is>
          <t>double</t>
        </is>
      </c>
      <c r="F109" s="15" t="inlineStr">
        <is>
          <t>pressure</t>
        </is>
      </c>
    </row>
    <row r="110" ht="34" customHeight="1">
      <c r="A110" s="38">
        <f>IF(ISNA(VLOOKUP(B110,AssociatedElements!B$2:B731,1,FALSE)),"Not used","")</f>
        <v/>
      </c>
      <c r="B110" s="11" t="inlineStr">
        <is>
          <t>p2_reading</t>
        </is>
      </c>
      <c r="C110" s="15" t="inlineStr">
        <is>
          <t>P2 Reading</t>
        </is>
      </c>
      <c r="D110" s="14" t="inlineStr">
        <is>
          <t>C-Reading corrected for the DA membrane stiffness at 0.05 mm expansion and the gauge pressure deviation from zero. This corrected pressure is referred to as p2. This is an intermediate result from a flat plate dilatometer test.</t>
        </is>
      </c>
      <c r="E110" s="15" t="inlineStr">
        <is>
          <t>double</t>
        </is>
      </c>
      <c r="F110" s="15" t="inlineStr">
        <is>
          <t>pressure</t>
        </is>
      </c>
    </row>
    <row r="111" ht="34" customHeight="1">
      <c r="A111" s="38">
        <f>IF(ISNA(VLOOKUP(B111,AssociatedElements!B$2:B732,1,FALSE)),"Not used","")</f>
        <v/>
      </c>
      <c r="B111" s="17" t="inlineStr">
        <is>
          <t>pen_increment</t>
        </is>
      </c>
      <c r="C111" s="22" t="inlineStr">
        <is>
          <t>Penetration Increment</t>
        </is>
      </c>
      <c r="D111" s="22" t="inlineStr">
        <is>
          <t>The distance that a tool travels for a given number of hammer blows.</t>
        </is>
      </c>
      <c r="E111" s="18" t="inlineStr">
        <is>
          <t>double</t>
        </is>
      </c>
      <c r="F111" s="38" t="inlineStr">
        <is>
          <t>length</t>
        </is>
      </c>
      <c r="G111" s="19" t="n"/>
    </row>
    <row r="112" ht="34" customHeight="1">
      <c r="A112" s="38">
        <f>IF(ISNA(VLOOKUP(B112,AssociatedElements!B$2:B733,1,FALSE)),"Not used","")</f>
        <v/>
      </c>
      <c r="B112" s="38" t="inlineStr">
        <is>
          <t>percent_cobbles</t>
        </is>
      </c>
      <c r="C112" s="38" t="inlineStr">
        <is>
          <t>Percent Cobbles</t>
        </is>
      </c>
      <c r="D112" s="28" t="inlineStr">
        <is>
          <t>The percentage by mass of particles larger  than 3 inches (75 mm) and smaller than 12 inches (300 mm)</t>
        </is>
      </c>
      <c r="E112" s="35" t="inlineStr">
        <is>
          <t>double</t>
        </is>
      </c>
      <c r="F112" s="28" t="inlineStr">
        <is>
          <t>mass per mass</t>
        </is>
      </c>
      <c r="J112" s="38" t="inlineStr">
        <is>
          <t>x</t>
        </is>
      </c>
    </row>
    <row r="113" ht="34" customHeight="1">
      <c r="A113" s="38">
        <f>IF(ISNA(VLOOKUP(B113,AssociatedElements!B$2:B734,1,FALSE)),"Not used","")</f>
        <v/>
      </c>
      <c r="B113" s="11" t="inlineStr">
        <is>
          <t>percent_fines</t>
        </is>
      </c>
      <c r="C113" s="15" t="inlineStr">
        <is>
          <t>Percent Fines</t>
        </is>
      </c>
      <c r="D113" s="28" t="inlineStr">
        <is>
          <t>The percentage of particles that pass through the #200 sieve (&lt;0.075-mm).</t>
        </is>
      </c>
      <c r="E113" s="35" t="inlineStr">
        <is>
          <t>double</t>
        </is>
      </c>
      <c r="F113" s="28" t="inlineStr">
        <is>
          <t>mass per mass</t>
        </is>
      </c>
      <c r="J113" s="38" t="inlineStr">
        <is>
          <t>x</t>
        </is>
      </c>
    </row>
    <row r="114" ht="34" customHeight="1">
      <c r="A114" s="38">
        <f>IF(ISNA(VLOOKUP(B114,AssociatedElements!B$2:B735,1,FALSE)),"Not used","")</f>
        <v/>
      </c>
      <c r="B114" s="11" t="inlineStr">
        <is>
          <t>percent_gravel</t>
        </is>
      </c>
      <c r="C114" s="15" t="inlineStr">
        <is>
          <t>Percent Gravel</t>
        </is>
      </c>
      <c r="D114" s="28" t="inlineStr">
        <is>
          <t xml:space="preserve">The percentage of particles that are retained on the #4 and larger sizes (&gt;4.75 mm). </t>
        </is>
      </c>
      <c r="E114" s="35" t="inlineStr">
        <is>
          <t>double</t>
        </is>
      </c>
      <c r="F114" s="28" t="inlineStr">
        <is>
          <t>mass per mass</t>
        </is>
      </c>
      <c r="J114" s="38" t="inlineStr">
        <is>
          <t>x</t>
        </is>
      </c>
    </row>
    <row r="115" ht="119" customHeight="1">
      <c r="A115" s="38">
        <f>IF(ISNA(VLOOKUP(B115,AssociatedElements!B$2:B736,1,FALSE)),"Not used","")</f>
        <v/>
      </c>
      <c r="B115" s="11" t="inlineStr">
        <is>
          <t>percent_sand</t>
        </is>
      </c>
      <c r="C115" s="15" t="inlineStr">
        <is>
          <t>Percent Sand</t>
        </is>
      </c>
      <c r="D115" s="28" t="inlineStr">
        <is>
          <t>The percentage of particles thatpass the #4 sieve and are retained on the #200 sieve (&lt;4.75 mm and &gt;0.075-mm).</t>
        </is>
      </c>
      <c r="E115" s="35" t="inlineStr">
        <is>
          <t>double</t>
        </is>
      </c>
      <c r="F115" s="28" t="inlineStr">
        <is>
          <t>mass per mass</t>
        </is>
      </c>
      <c r="J115" s="38" t="inlineStr">
        <is>
          <t>x</t>
        </is>
      </c>
    </row>
    <row r="116" ht="17" customHeight="1">
      <c r="A116" s="38">
        <f>IF(ISNA(VLOOKUP(B116,AssociatedElements!B$2:B737,1,FALSE)),"Not used","")</f>
        <v/>
      </c>
      <c r="B116" s="38" t="inlineStr">
        <is>
          <t>percent_silt</t>
        </is>
      </c>
      <c r="C116" s="15" t="inlineStr">
        <is>
          <t>Percent Silt</t>
        </is>
      </c>
      <c r="D116" s="28" t="inlineStr">
        <is>
          <t>The percentage of particles smaller than 0.075 mm (No. 200 sieve) and larger than 0.002 mm and have a plotting position below the A-line on the plasticity chart as well as a plasticity index less than 4. The percent silt is determined by the difference between the total percent passing the No. 200 sieve (fines) and the percent clay (determined through plasticity testing of the fines fraction).</t>
        </is>
      </c>
      <c r="E116" s="35" t="inlineStr">
        <is>
          <t>double</t>
        </is>
      </c>
      <c r="F116" s="28" t="inlineStr">
        <is>
          <t>mass per mass</t>
        </is>
      </c>
      <c r="J116" s="38" t="inlineStr">
        <is>
          <t>x</t>
        </is>
      </c>
    </row>
    <row r="117" ht="34" customHeight="1">
      <c r="A117" s="38">
        <f>IF(ISNA(VLOOKUP(B117,AssociatedElements!B$2:B738,1,FALSE)),"Not used","")</f>
        <v/>
      </c>
      <c r="B117" s="11" t="inlineStr">
        <is>
          <t>pH</t>
        </is>
      </c>
      <c r="C117" s="15" t="inlineStr">
        <is>
          <t>pH</t>
        </is>
      </c>
      <c r="D117" s="28" t="inlineStr">
        <is>
          <t>The negative base-10 logarithm of hydrogen ion activity in a soil-water suspension or in a water sample - the measure of how acidic or alkaline the material is, on a scale where 7 is neutral, lower values are acidic and higher values alkaline. Dimensionless by definition, so a Property carrying it states no uom. Determined electrometrically with a pH meter: BS 1377-3 Clause 12; ASTM G51 and AASHTO T 289 where the purpose is corrosion assessment; ASTM D4972 for agricultural, environmental and natural-resource purposes, whose own scope excludes corrosion testing. In a ground-aggressivity assessment pH is read together with resistivity, sulfate and chloride rather than on its own.</t>
        </is>
      </c>
      <c r="E117" s="35" t="inlineStr">
        <is>
          <t>double</t>
        </is>
      </c>
      <c r="F117" s="35" t="n"/>
    </row>
    <row r="118" ht="51" customHeight="1">
      <c r="A118" s="38">
        <f>IF(ISNA(VLOOKUP(B118,AssociatedElements!B$2:B739,1,FALSE)),"Not used","")</f>
        <v/>
      </c>
      <c r="B118" s="11" t="inlineStr">
        <is>
          <t>pid_result</t>
        </is>
      </c>
      <c r="C118" s="15" t="inlineStr">
        <is>
          <t>Photoionization Detector Result</t>
        </is>
      </c>
      <c r="D118" s="28" t="inlineStr">
        <is>
          <t>Measures volatile organic compounds and other gases, expressed in parts per million or percent LEL</t>
        </is>
      </c>
      <c r="E118" s="35" t="inlineStr">
        <is>
          <t>double</t>
        </is>
      </c>
      <c r="F118" s="28" t="inlineStr">
        <is>
          <t>amount of substance per amount of substance</t>
        </is>
      </c>
      <c r="I118" s="32" t="n"/>
      <c r="J118" s="38" t="inlineStr">
        <is>
          <t>x</t>
        </is>
      </c>
    </row>
    <row r="119" ht="119" customHeight="1">
      <c r="A119" s="38">
        <f>IF(ISNA(VLOOKUP(B119,AssociatedElements!B$2:B740,1,FALSE)),"Not used","")</f>
        <v/>
      </c>
      <c r="B119" s="11" t="inlineStr">
        <is>
          <t>plastic_limit</t>
        </is>
      </c>
      <c r="C119" s="15" t="inlineStr">
        <is>
          <t>Plastic Limit</t>
        </is>
      </c>
      <c r="D119" s="28" t="inlineStr">
        <is>
          <t>The plastic limit (PL) is the water content where soil transitions between brittle and plastic behavior. A unitless value.</t>
        </is>
      </c>
      <c r="E119" s="35" t="inlineStr">
        <is>
          <t>integer</t>
        </is>
      </c>
      <c r="F119" s="35" t="n"/>
      <c r="J119" s="38" t="inlineStr">
        <is>
          <t>x</t>
        </is>
      </c>
    </row>
    <row r="120" ht="51" customHeight="1">
      <c r="A120" s="38">
        <f>IF(ISNA(VLOOKUP(B120,AssociatedElements!B$2:B741,1,FALSE)),"Not used","")</f>
        <v/>
      </c>
      <c r="B120" s="11" t="inlineStr">
        <is>
          <t>plasticity_index</t>
        </is>
      </c>
      <c r="C120" s="15" t="inlineStr">
        <is>
          <t>Plasticity Index</t>
        </is>
      </c>
      <c r="D120" s="28" t="inlineStr">
        <is>
          <t>The plasticity index (PI) is a measure of the plasticity of a soil. The plasticity index is a measure of the range of water contents where the soil exhibits plastic properties. The PI is the difference between the liquid limit and the plastic limit (PI = LL-PL). (Soils with a high PI tend to be clay, those with a lower PI tend to be silt, and those with a PI of 0 (non-plastic) tend to have little or no silt or clay.)</t>
        </is>
      </c>
      <c r="E120" s="35" t="inlineStr">
        <is>
          <t>integer</t>
        </is>
      </c>
      <c r="F120" s="35" t="n"/>
    </row>
    <row r="121" ht="51" customHeight="1">
      <c r="A121" s="38">
        <f>IF(ISNA(VLOOKUP(B121,AssociatedElements!B$2:B742,1,FALSE)),"Not used","")</f>
        <v/>
      </c>
      <c r="B121" s="11" t="inlineStr">
        <is>
          <t>point_load_test_index</t>
        </is>
      </c>
      <c r="C121" s="15" t="inlineStr">
        <is>
          <t>Point Load Test Index</t>
        </is>
      </c>
      <c r="D121" s="28" t="inlineStr">
        <is>
          <t>The Point Load Test produces the Point Load Test Index (Is50), which can be correlated with the uniaxial compressive strength (UCS) of rock.</t>
        </is>
      </c>
      <c r="E121" s="35" t="inlineStr">
        <is>
          <t>double</t>
        </is>
      </c>
      <c r="F121" s="35" t="n"/>
    </row>
    <row r="122" ht="51" customHeight="1">
      <c r="A122" s="38">
        <f>IF(ISNA(VLOOKUP(B122,AssociatedElements!B$2:B743,1,FALSE)),"Not used","")</f>
        <v/>
      </c>
      <c r="B122" s="11" t="inlineStr">
        <is>
          <t>poisson_ratio</t>
        </is>
      </c>
      <c r="C122" s="15" t="inlineStr">
        <is>
          <t>Poisson Ratio</t>
        </is>
      </c>
      <c r="D122" s="28" t="inlineStr">
        <is>
          <t>Ratio of the transverse contraction of a body to its longitudinal extension when stretched. Typical values in minerals are from 0.15 to 0.3 (Carbonates:0.15, Sandstones:0.2, Shales:0.25).</t>
        </is>
      </c>
      <c r="E122" s="35" t="inlineStr">
        <is>
          <t>double</t>
        </is>
      </c>
      <c r="F122" s="35" t="n"/>
      <c r="J122" s="38" t="inlineStr">
        <is>
          <t>x</t>
        </is>
      </c>
    </row>
    <row r="123" ht="51" customHeight="1">
      <c r="A123" s="38">
        <f>IF(ISNA(VLOOKUP(B123,AssociatedElements!B$2:B744,1,FALSE)),"Not used","")</f>
        <v/>
      </c>
      <c r="B123" s="11" t="inlineStr">
        <is>
          <t>pore_pressure_equil</t>
        </is>
      </c>
      <c r="C123" s="15" t="inlineStr">
        <is>
          <t>Equilibrium Pore Water Pressure (U0)</t>
        </is>
      </c>
      <c r="D123" s="14" t="inlineStr">
        <is>
          <t>The value of pore pressure measured in the field after dissipation of induced excess pore pressure. Could also be from CPTu test</t>
        </is>
      </c>
      <c r="E123" s="15" t="inlineStr">
        <is>
          <t>double</t>
        </is>
      </c>
      <c r="F123" s="15" t="inlineStr">
        <is>
          <t>pressure</t>
        </is>
      </c>
    </row>
    <row r="124" ht="17" customHeight="1">
      <c r="A124" s="38">
        <f>IF(ISNA(VLOOKUP(B124,AssociatedElements!B$2:B745,1,FALSE)),"Not used","")</f>
        <v/>
      </c>
      <c r="B124" s="11" t="inlineStr">
        <is>
          <t>pore_pressure_est</t>
        </is>
      </c>
      <c r="C124" s="15" t="inlineStr">
        <is>
          <t>Estimated Pore Water Pressure</t>
        </is>
      </c>
      <c r="D124" s="14" t="inlineStr">
        <is>
          <t>The pore-water pressure acting at the center of the membrane before the insertion of the DMT blade (often assumed as hydrostatic below the water table surface).</t>
        </is>
      </c>
      <c r="E124" s="15" t="inlineStr">
        <is>
          <t>double</t>
        </is>
      </c>
      <c r="F124" s="15" t="inlineStr">
        <is>
          <t>pressure</t>
        </is>
      </c>
    </row>
    <row r="125" ht="17" customHeight="1">
      <c r="A125" s="38">
        <f>IF(ISNA(VLOOKUP(B125,AssociatedElements!B$2:B746,1,FALSE)),"Not used","")</f>
        <v/>
      </c>
      <c r="B125" s="11" t="inlineStr">
        <is>
          <t>pore_pressure_u1</t>
        </is>
      </c>
      <c r="C125" s="15" t="inlineStr">
        <is>
          <t>Pore Water Pressure (U1)</t>
        </is>
      </c>
      <c r="D125" s="14" t="inlineStr">
        <is>
          <t>Measured pore pressure from u1 transducer on tip.</t>
        </is>
      </c>
      <c r="E125" s="15" t="inlineStr">
        <is>
          <t>double</t>
        </is>
      </c>
      <c r="F125" s="15" t="inlineStr">
        <is>
          <t>pressure</t>
        </is>
      </c>
    </row>
    <row r="126" ht="17" customHeight="1">
      <c r="A126" s="38">
        <f>IF(ISNA(VLOOKUP(B126,AssociatedElements!B$2:B747,1,FALSE)),"Not used","")</f>
        <v/>
      </c>
      <c r="B126" s="11" t="inlineStr">
        <is>
          <t>pore_pressure_u2</t>
        </is>
      </c>
      <c r="C126" s="15" t="inlineStr">
        <is>
          <t>Pore Water Pressure (U2)</t>
        </is>
      </c>
      <c r="D126" s="14" t="inlineStr">
        <is>
          <t>Measured pore pressure from u2 transducer behind tip.</t>
        </is>
      </c>
      <c r="E126" s="15" t="inlineStr">
        <is>
          <t>double</t>
        </is>
      </c>
      <c r="F126" s="15" t="inlineStr">
        <is>
          <t>pressure</t>
        </is>
      </c>
    </row>
    <row r="127" ht="170" customHeight="1">
      <c r="A127" s="38">
        <f>IF(ISNA(VLOOKUP(B127,AssociatedElements!B$2:B748,1,FALSE)),"Not used","")</f>
        <v/>
      </c>
      <c r="B127" s="11" t="inlineStr">
        <is>
          <t>pore_pressure_u3</t>
        </is>
      </c>
      <c r="C127" s="15" t="inlineStr">
        <is>
          <t>Pore Water Pressure (U3)</t>
        </is>
      </c>
      <c r="D127" s="14" t="inlineStr">
        <is>
          <t>Measured pore pressure from u3 transducer behind sleeve.</t>
        </is>
      </c>
      <c r="E127" s="15" t="inlineStr">
        <is>
          <t>double</t>
        </is>
      </c>
      <c r="F127" s="15" t="inlineStr">
        <is>
          <t>pressure</t>
        </is>
      </c>
    </row>
    <row r="128" ht="17" customHeight="1">
      <c r="A128" s="38">
        <f>IF(ISNA(VLOOKUP(B128,AssociatedElements!B$2:B749,1,FALSE)),"Not used","")</f>
        <v/>
      </c>
      <c r="B128" s="11" t="inlineStr">
        <is>
          <t>preconsolidation_pressure</t>
        </is>
      </c>
      <c r="C128" s="15" t="inlineStr">
        <is>
          <t>Preconsolidation Pressure</t>
        </is>
      </c>
      <c r="D128" s="14" t="inlineStr">
        <is>
          <t xml:space="preserve">Result from a Consolidation Test. This test is performed to determine the magnitude and rate of void ratio change for a laterally confined soil specimen that is subjected to different vertical pressures. From the measured data, the consolidation curve (pressure-void ratio relationship) can be plotted. This specific value is used for a specific portion of the log vertical pressure - void ratio curve to signify the largest value of stress that sample has experienced before the performance of this test. It is a calculation results usually obtained by a construction technique using laboratory test results. </t>
        </is>
      </c>
      <c r="E128" s="15" t="inlineStr">
        <is>
          <t>double</t>
        </is>
      </c>
      <c r="F128" s="15" t="inlineStr">
        <is>
          <t>pressure</t>
        </is>
      </c>
    </row>
    <row r="129" ht="17" customHeight="1">
      <c r="A129" s="38">
        <f>IF(ISNA(VLOOKUP(B129,AssociatedElements!B$2:B750,1,FALSE)),"Not used","")</f>
        <v/>
      </c>
      <c r="B129" s="11" t="inlineStr">
        <is>
          <t>pressure_filtration_coeff</t>
        </is>
      </c>
      <c r="C129" s="15" t="inlineStr">
        <is>
          <t>Pressure Filtration Coefficient</t>
        </is>
      </c>
      <c r="D129" s="14" t="inlineStr">
        <is>
          <t>Value derived from a pressure filtration test</t>
        </is>
      </c>
      <c r="E129" s="15" t="inlineStr">
        <is>
          <t>double</t>
        </is>
      </c>
      <c r="F129" s="39" t="inlineStr">
        <is>
          <t>reciprocal square root time</t>
        </is>
      </c>
    </row>
    <row r="130" ht="136" customHeight="1">
      <c r="A130" s="38">
        <f>IF(ISNA(VLOOKUP(B130,AssociatedElements!B$2:B751,1,FALSE)),"Not used","")</f>
        <v/>
      </c>
      <c r="B130" s="11" t="inlineStr">
        <is>
          <t>pumping_rate</t>
        </is>
      </c>
      <c r="C130" s="11" t="inlineStr">
        <is>
          <t>Pumping rate</t>
        </is>
      </c>
      <c r="D130" s="38" t="inlineStr">
        <is>
          <t>Flow of water produced by pumping; recorded in pump tests</t>
        </is>
      </c>
      <c r="E130" s="11" t="inlineStr">
        <is>
          <t>double</t>
        </is>
      </c>
      <c r="F130" s="11" t="inlineStr">
        <is>
          <t>volume per time</t>
        </is>
      </c>
    </row>
    <row r="131" ht="34" customHeight="1">
      <c r="A131" s="38">
        <f>IF(ISNA(VLOOKUP(B131,AssociatedElements!B$2:B752,1,FALSE)),"Not used","")</f>
        <v/>
      </c>
      <c r="B131" s="11" t="inlineStr">
        <is>
          <t>recompression_index</t>
        </is>
      </c>
      <c r="C131" s="15" t="inlineStr">
        <is>
          <t>Recompression Index</t>
        </is>
      </c>
      <c r="D131" s="14" t="inlineStr">
        <is>
          <t>Result from a Consolidation Test. This test is performed to determine the magnitude and rate of void ratio change for a laterally confined soil specimen that is subjected to different vertical pressures. From the measured data, the consolidation curve (pressure-void ratio relationship) can be plotted. This specific value is used for a specific portion of the log vertical pressure - void ratio curve to signify a response due to the unloading and reloading of a sample that is on the virgin curve.</t>
        </is>
      </c>
      <c r="E131" s="15" t="inlineStr">
        <is>
          <t>double</t>
        </is>
      </c>
      <c r="F131" s="15" t="n"/>
    </row>
    <row r="132" ht="34" customHeight="1">
      <c r="A132" s="38">
        <f>IF(ISNA(VLOOKUP(B132,AssociatedElements!B$2:B753,1,FALSE)),"Not used","")</f>
        <v/>
      </c>
      <c r="B132" s="11" t="inlineStr">
        <is>
          <t>redox_potential</t>
        </is>
      </c>
      <c r="C132" s="15" t="inlineStr">
        <is>
          <t>Redox Potential</t>
        </is>
      </c>
      <c r="D132" s="14" t="inlineStr">
        <is>
          <t xml:space="preserve">A 'measure of the ability of chemical/biochemical systems to oxidize (lose electrons) or reduce (gain electrons). </t>
        </is>
      </c>
      <c r="E132" s="15" t="inlineStr">
        <is>
          <t>double</t>
        </is>
      </c>
      <c r="F132" s="15" t="inlineStr">
        <is>
          <t>electric potential difference</t>
        </is>
      </c>
    </row>
    <row r="133" ht="34" customHeight="1">
      <c r="A133" s="38">
        <f>IF(ISNA(VLOOKUP(B133,AssociatedElements!B$2:B754,1,FALSE)),"Not used","")</f>
        <v/>
      </c>
      <c r="B133" s="11" t="inlineStr">
        <is>
          <t>relative_density</t>
        </is>
      </c>
      <c r="C133" s="15" t="inlineStr">
        <is>
          <t>Density, Relative</t>
        </is>
      </c>
      <c r="D133" s="14" t="inlineStr">
        <is>
          <t xml:space="preserve">The density of a granular specimen relative to its maximum and minimum density (or void ratio) </t>
        </is>
      </c>
      <c r="E133" s="15" t="inlineStr">
        <is>
          <t>double</t>
        </is>
      </c>
      <c r="F133" s="15" t="n"/>
    </row>
    <row r="134" ht="17" customHeight="1">
      <c r="A134" s="38">
        <f>IF(ISNA(VLOOKUP(B134,AssociatedElements!B$2:B755,1,FALSE)),"Not used","")</f>
        <v/>
      </c>
      <c r="B134" s="11" t="inlineStr">
        <is>
          <t>resistivity</t>
        </is>
      </c>
      <c r="C134" s="15" t="inlineStr">
        <is>
          <t>Electrical Resistivity</t>
        </is>
      </c>
      <c r="D134" s="14" t="inlineStr">
        <is>
          <t>A measure of the resisting power of a specified material to the flow of an electric current.</t>
        </is>
      </c>
      <c r="E134" s="15" t="inlineStr">
        <is>
          <t>double</t>
        </is>
      </c>
      <c r="F134" s="15" t="inlineStr">
        <is>
          <t>electrical resistivity</t>
        </is>
      </c>
    </row>
    <row r="135" ht="68" customHeight="1">
      <c r="A135" s="38">
        <f>IF(ISNA(VLOOKUP(B135,AssociatedElements!B$2:B756,1,FALSE)),"Not used","")</f>
        <v/>
      </c>
      <c r="B135" s="11" t="inlineStr">
        <is>
          <t>rock_porosity</t>
        </is>
      </c>
      <c r="C135" s="15" t="inlineStr">
        <is>
          <t>Rock Porosity</t>
        </is>
      </c>
      <c r="D135" s="14" t="inlineStr">
        <is>
          <t>The open space in a rock divided by the total rock volume.</t>
        </is>
      </c>
      <c r="E135" s="15" t="inlineStr">
        <is>
          <t>double</t>
        </is>
      </c>
      <c r="J135" s="38" t="inlineStr">
        <is>
          <t>x</t>
        </is>
      </c>
    </row>
    <row r="136" ht="34" customHeight="1">
      <c r="A136" s="38">
        <f>IF(ISNA(VLOOKUP(B136,AssociatedElements!B$2:B757,1,FALSE)),"Not used","")</f>
        <v/>
      </c>
      <c r="B136" s="11" t="inlineStr">
        <is>
          <t>schmidt_hardness_value</t>
        </is>
      </c>
      <c r="C136" s="15" t="inlineStr">
        <is>
          <t>Schmidt Hardness Value</t>
        </is>
      </c>
      <c r="D136" s="14" t="inlineStr">
        <is>
          <t>The Schmidt Hardness Test utilizes a hammer mass launched against an impact plunger. The amount of hammer mass rebound depends on the hardness of the test piece. This rebound amount is then shown on a scale of 10 to 100.</t>
        </is>
      </c>
      <c r="E136" s="15" t="inlineStr">
        <is>
          <t>double</t>
        </is>
      </c>
      <c r="F136" s="15" t="n"/>
    </row>
    <row r="137" ht="17" customHeight="1">
      <c r="A137" s="38">
        <f>IF(ISNA(VLOOKUP(B137,AssociatedElements!B$2:B758,1,FALSE)),"Not used","")</f>
        <v/>
      </c>
      <c r="B137" s="11" t="inlineStr">
        <is>
          <t>sensitivity</t>
        </is>
      </c>
      <c r="C137" s="15" t="inlineStr">
        <is>
          <t>Sensitivity</t>
        </is>
      </c>
      <c r="D137" s="14" t="inlineStr">
        <is>
          <t>the ratio of the strength of the soil in the undisturbed state to that of the soil in the remolded state.</t>
        </is>
      </c>
      <c r="E137" s="15" t="inlineStr">
        <is>
          <t>double</t>
        </is>
      </c>
      <c r="F137" s="15" t="n"/>
    </row>
    <row r="138" ht="85" customHeight="1">
      <c r="A138" s="38">
        <f>IF(ISNA(VLOOKUP(B138,AssociatedElements!B$2:B759,1,FALSE)),"Not used","")</f>
        <v/>
      </c>
      <c r="B138" s="11" t="inlineStr">
        <is>
          <t>set_time</t>
        </is>
      </c>
      <c r="C138" s="15" t="inlineStr">
        <is>
          <t>Set Time</t>
        </is>
      </c>
      <c r="D138" s="14" t="inlineStr">
        <is>
          <t>Setting time for grout</t>
        </is>
      </c>
      <c r="E138" s="15" t="inlineStr">
        <is>
          <t>double</t>
        </is>
      </c>
      <c r="F138" s="15" t="inlineStr">
        <is>
          <t>time</t>
        </is>
      </c>
    </row>
    <row r="139" ht="68" customHeight="1">
      <c r="A139" s="38">
        <f>IF(ISNA(VLOOKUP(B139,AssociatedElements!B$2:B760,1,FALSE)),"Not used","")</f>
        <v/>
      </c>
      <c r="B139" s="11" t="inlineStr">
        <is>
          <t>shear_strength_drained</t>
        </is>
      </c>
      <c r="C139" s="15" t="inlineStr">
        <is>
          <t>Peak Drained Shear Strength</t>
        </is>
      </c>
      <c r="D139" s="14" t="inlineStr">
        <is>
          <t xml:space="preserve">The peak shear resistance of an intact specimen when pore fluid pressures, generated during the course of shearing the soil, are able to dissipate during shearing. It also applies where no pore water exists in the soil (the soil is dry) and hence pore fluid pressures are negligible. </t>
        </is>
      </c>
      <c r="E139" s="15" t="inlineStr">
        <is>
          <t>double</t>
        </is>
      </c>
      <c r="F139" s="15" t="inlineStr">
        <is>
          <t>pressure</t>
        </is>
      </c>
    </row>
    <row r="140" ht="68" customHeight="1">
      <c r="A140" s="38">
        <f>IF(ISNA(VLOOKUP(B140,AssociatedElements!B$2:B761,1,FALSE)),"Not used","")</f>
        <v/>
      </c>
      <c r="B140" s="11" t="inlineStr">
        <is>
          <t>shear_strength_undrained</t>
        </is>
      </c>
      <c r="C140" s="15" t="inlineStr">
        <is>
          <t>Peak Undrained Shear Strength</t>
        </is>
      </c>
      <c r="D140" s="14" t="inlineStr">
        <is>
          <t xml:space="preserve">The peak shear strength of an intact specimen when no volume change is allowed during the tests. The value can be measured in the lab and in the field. In both cases, the value can be calculated from different tests. </t>
        </is>
      </c>
      <c r="E140" s="15" t="inlineStr">
        <is>
          <t>double</t>
        </is>
      </c>
      <c r="F140" s="15" t="inlineStr">
        <is>
          <t>pressure</t>
        </is>
      </c>
    </row>
    <row r="141" ht="68" customHeight="1">
      <c r="A141" s="38">
        <f>IF(ISNA(VLOOKUP(B141,AssociatedElements!B$2:B762,1,FALSE)),"Not used","")</f>
        <v/>
      </c>
      <c r="B141" s="11" t="inlineStr">
        <is>
          <t>shear_strength_undrained_residual</t>
        </is>
      </c>
      <c r="C141" s="15" t="inlineStr">
        <is>
          <t>Residual Undrained Shear Strength</t>
        </is>
      </c>
      <c r="D141" s="14" t="inlineStr">
        <is>
          <t xml:space="preserve">A measure of the shear strength of the soil for which the shear stress remains essentially constant with increasing shear displacement andwhen no volume change is allowed during the tests. </t>
        </is>
      </c>
      <c r="E141" s="15" t="inlineStr">
        <is>
          <t>double</t>
        </is>
      </c>
      <c r="F141" s="15" t="inlineStr">
        <is>
          <t>pressure</t>
        </is>
      </c>
    </row>
    <row r="142" ht="102" customHeight="1">
      <c r="A142" s="38">
        <f>IF(ISNA(VLOOKUP(B142,AssociatedElements!B$2:B763,1,FALSE)),"Not used","")</f>
        <v/>
      </c>
      <c r="B142" s="38" t="inlineStr">
        <is>
          <t>shear_velocity</t>
        </is>
      </c>
      <c r="C142" s="38" t="inlineStr">
        <is>
          <t>Shear Velocity</t>
        </is>
      </c>
      <c r="D142" s="16" t="inlineStr">
        <is>
          <t>The velocity of a shear wave (Vs); a shear wave is a type of seismic wave in which the particle motion is perpendicular to the direction of propagation in a horizontal plane ; also called S-wave or secondary wave.</t>
        </is>
      </c>
      <c r="E142" s="38" t="inlineStr">
        <is>
          <t>double</t>
        </is>
      </c>
      <c r="F142" s="38" t="inlineStr">
        <is>
          <t>length per time</t>
        </is>
      </c>
    </row>
    <row r="143" ht="34" customHeight="1">
      <c r="A143" s="38">
        <f>IF(ISNA(VLOOKUP(B143,AssociatedElements!B$2:B764,1,FALSE)),"Not used","")</f>
        <v/>
      </c>
      <c r="B143" s="11" t="inlineStr">
        <is>
          <t>shore_hardness_value</t>
        </is>
      </c>
      <c r="C143" s="15" t="inlineStr">
        <is>
          <t>Shore Hardness Value</t>
        </is>
      </c>
      <c r="D143" s="14" t="inlineStr">
        <is>
          <t>The height of the rebound travel of the Scleroscope hammer is measured on a graduated scale. The scale of the rebound is arbitrarily chosen and consists on Shore units, divided into 100 parts, which represent the average rebound from pure hardened high-carbon steel. The scale is continued higher than 100 to include metals having greater hardness.</t>
        </is>
      </c>
      <c r="E143" s="15" t="inlineStr">
        <is>
          <t>double</t>
        </is>
      </c>
      <c r="F143" s="15" t="inlineStr">
        <is>
          <t>dimensionless</t>
        </is>
      </c>
    </row>
    <row r="144" ht="34" customHeight="1">
      <c r="A144" s="38">
        <f>IF(ISNA(VLOOKUP(B144,AssociatedElements!B$2:B765,1,FALSE)),"Not used","")</f>
        <v/>
      </c>
      <c r="B144" s="11" t="inlineStr">
        <is>
          <t>shrinkage</t>
        </is>
      </c>
      <c r="C144" s="15" t="inlineStr">
        <is>
          <t>Shrinkage</t>
        </is>
      </c>
      <c r="D144" s="14" t="inlineStr">
        <is>
          <t>The amount specimen shrinkage, reported as a percentage of total volume</t>
        </is>
      </c>
      <c r="E144" s="15" t="inlineStr">
        <is>
          <t>double</t>
        </is>
      </c>
      <c r="F144" s="38" t="inlineStr">
        <is>
          <t>volume per volume</t>
        </is>
      </c>
      <c r="J144" s="38" t="inlineStr">
        <is>
          <t>x</t>
        </is>
      </c>
    </row>
    <row r="145" ht="51" customHeight="1">
      <c r="A145" s="38">
        <f>IF(ISNA(VLOOKUP(B145,AssociatedElements!B$2:B766,1,FALSE)),"Not used","")</f>
        <v/>
      </c>
      <c r="B145" s="11" t="inlineStr">
        <is>
          <t>shrinkage_limit</t>
        </is>
      </c>
      <c r="C145" s="15" t="inlineStr">
        <is>
          <t>Shrinkage Limit</t>
        </is>
      </c>
      <c r="D145" s="14" t="inlineStr">
        <is>
          <t>The shrinkage limit (SL) is the water content below which a soil undergoes no further volume change.</t>
        </is>
      </c>
      <c r="E145" s="15" t="inlineStr">
        <is>
          <t>integer</t>
        </is>
      </c>
      <c r="F145" s="38" t="inlineStr">
        <is>
          <t>dimensionless</t>
        </is>
      </c>
      <c r="J145" s="38" t="inlineStr">
        <is>
          <t>x</t>
        </is>
      </c>
    </row>
    <row r="146" ht="68" customHeight="1">
      <c r="A146" s="38">
        <f>IF(ISNA(VLOOKUP(B146,AssociatedElements!B$2:B767,1,FALSE)),"Not used","")</f>
        <v/>
      </c>
      <c r="B146" s="11" t="inlineStr">
        <is>
          <t>shrinkage_ratio</t>
        </is>
      </c>
      <c r="C146" s="15" t="inlineStr">
        <is>
          <t>Shrinkage Ratio</t>
        </is>
      </c>
      <c r="D146" s="14" t="inlineStr">
        <is>
          <t xml:space="preserve">The ratio of a given volume change expressed as a percentage of the dry volume to the corresponding change in water content above the shrinkage limit. </t>
        </is>
      </c>
      <c r="E146" s="15" t="inlineStr">
        <is>
          <t>double</t>
        </is>
      </c>
      <c r="F146" s="15" t="n"/>
    </row>
    <row r="147" ht="17" customHeight="1">
      <c r="A147" s="38">
        <f>IF(ISNA(VLOOKUP(B147,AssociatedElements!B$2:B768,1,FALSE)),"Not used","")</f>
        <v/>
      </c>
      <c r="B147" s="11" t="inlineStr">
        <is>
          <t>slake_durability_index</t>
        </is>
      </c>
      <c r="C147" s="15" t="inlineStr">
        <is>
          <t>Slake Durability Index</t>
        </is>
      </c>
      <c r="D147" s="14" t="inlineStr">
        <is>
          <t>The Slake Durability Index predicts the long-term durability of the rock specimens, to establish weathering and degradation characteristics of each rock type, and to assess the impact of water on the rock degradation.</t>
        </is>
      </c>
      <c r="E147" s="15" t="inlineStr">
        <is>
          <t>double</t>
        </is>
      </c>
      <c r="F147" s="15" t="inlineStr">
        <is>
          <t>dimensionless</t>
        </is>
      </c>
    </row>
    <row r="148" ht="17" customHeight="1">
      <c r="A148" s="38">
        <f>IF(ISNA(VLOOKUP(B148,AssociatedElements!B$2:B769,1,FALSE)),"Not used","")</f>
        <v/>
      </c>
      <c r="B148" s="11" t="inlineStr">
        <is>
          <t>sleeve_friction</t>
        </is>
      </c>
      <c r="C148" s="15" t="inlineStr">
        <is>
          <t>Sleeve Friction</t>
        </is>
      </c>
      <c r="D148" s="14" t="inlineStr">
        <is>
          <t>Value of stress measured on sleeve of cone during penetration</t>
        </is>
      </c>
      <c r="E148" s="15" t="inlineStr">
        <is>
          <t>double</t>
        </is>
      </c>
      <c r="F148" s="15" t="inlineStr">
        <is>
          <t>pressure</t>
        </is>
      </c>
    </row>
    <row r="149" ht="17" customHeight="1">
      <c r="A149" s="38">
        <f>IF(ISNA(VLOOKUP(B149,AssociatedElements!B$2:B770,1,FALSE)),"Not used","")</f>
        <v/>
      </c>
      <c r="B149" s="11" t="inlineStr">
        <is>
          <t>slump</t>
        </is>
      </c>
      <c r="C149" s="15" t="inlineStr">
        <is>
          <t>Slump</t>
        </is>
      </c>
      <c r="D149" s="14" t="inlineStr">
        <is>
          <t>Amount of slump of grout sample</t>
        </is>
      </c>
      <c r="E149" s="15" t="inlineStr">
        <is>
          <t>double</t>
        </is>
      </c>
      <c r="F149" s="15" t="inlineStr">
        <is>
          <t>length</t>
        </is>
      </c>
    </row>
    <row r="150" ht="17" customHeight="1">
      <c r="A150" s="38">
        <f>IF(ISNA(VLOOKUP(B150,AssociatedElements!B$2:B771,1,FALSE)),"Not used","")</f>
        <v/>
      </c>
      <c r="B150" s="11" t="inlineStr">
        <is>
          <t>soil_moisture_content</t>
        </is>
      </c>
      <c r="C150" s="15" t="inlineStr">
        <is>
          <t>Soil Moisture Content</t>
        </is>
      </c>
      <c r="D150" s="14" t="inlineStr">
        <is>
          <t>Soil moisture content measured by sensor (eg CPT)</t>
        </is>
      </c>
      <c r="E150" s="15" t="inlineStr">
        <is>
          <t>double</t>
        </is>
      </c>
      <c r="F150" s="15" t="inlineStr">
        <is>
          <t>dimensionless</t>
        </is>
      </c>
    </row>
    <row r="151" ht="34" customHeight="1">
      <c r="A151" s="38">
        <f>IF(ISNA(VLOOKUP(B151,AssociatedElements!B$2:B772,1,FALSE)),"Not used","")</f>
        <v/>
      </c>
      <c r="B151" s="11" t="inlineStr">
        <is>
          <t>soil_suction</t>
        </is>
      </c>
      <c r="C151" s="15" t="inlineStr">
        <is>
          <t>Soil Suction</t>
        </is>
      </c>
      <c r="D151" s="14" t="inlineStr">
        <is>
          <t>Soil suction value</t>
        </is>
      </c>
      <c r="E151" s="15" t="inlineStr">
        <is>
          <t>double</t>
        </is>
      </c>
      <c r="F151" s="15" t="inlineStr">
        <is>
          <t>pressure</t>
        </is>
      </c>
    </row>
    <row r="152" ht="119" customHeight="1">
      <c r="A152" s="38">
        <f>IF(ISNA(VLOOKUP(B152,AssociatedElements!B$2:B773,1,FALSE)),"Not used","")</f>
        <v/>
      </c>
      <c r="B152" s="11" t="inlineStr">
        <is>
          <t>soil_type</t>
        </is>
      </c>
      <c r="C152" s="15" t="inlineStr">
        <is>
          <t>Soil Type</t>
        </is>
      </c>
      <c r="D152" s="14" t="inlineStr">
        <is>
          <t>A value derived from a dilatometer test, using the dilatometer modulus and material index.</t>
        </is>
      </c>
      <c r="E152" s="15" t="inlineStr">
        <is>
          <t>string</t>
        </is>
      </c>
      <c r="F152" s="15" t="n"/>
    </row>
    <row r="153" ht="85" customHeight="1">
      <c r="A153" s="38">
        <f>IF(ISNA(VLOOKUP(B153,AssociatedElements!B$2:B774,1,FALSE)),"Not used","")</f>
        <v/>
      </c>
      <c r="B153" s="11" t="inlineStr">
        <is>
          <t>specific_gravity_apparent</t>
        </is>
      </c>
      <c r="C153" s="15" t="inlineStr">
        <is>
          <t>Apparent Specific Gravity</t>
        </is>
      </c>
      <c r="D153" s="14" t="inlineStr">
        <is>
          <t xml:space="preserve">The apparent specific gravity is designated Ga and is the ratio of the weight in air of a unit volume of the impermeable portion of aggregate to the weight in air of an equal volume of distilled water, both at a stated temperature. The impermeable portion of a porous material, such as most large soil grains, includes the solid material plus impermeable pores or voids within the particles. </t>
        </is>
      </c>
      <c r="E153" s="15" t="inlineStr">
        <is>
          <t>double</t>
        </is>
      </c>
      <c r="F153" s="15" t="n"/>
    </row>
    <row r="154" ht="85" customHeight="1">
      <c r="A154" s="38">
        <f>IF(ISNA(VLOOKUP(B154,AssociatedElements!B$2:B775,1,FALSE)),"Not used","")</f>
        <v/>
      </c>
      <c r="B154" s="11" t="inlineStr">
        <is>
          <t>specific_gravity_bulk</t>
        </is>
      </c>
      <c r="C154" s="15" t="inlineStr">
        <is>
          <t>Bulk Specific Gravity</t>
        </is>
      </c>
      <c r="D154" s="14" t="inlineStr">
        <is>
          <t xml:space="preserve">The bulk specific gravity is designated Gm and is the ratio of the weight in air of a unit volume of aggregate (including permeable and impermeable voids in the particles, but not the voids between the particles) to the weight of an equal volume of distilled water at a stated temperature. </t>
        </is>
      </c>
      <c r="E154" s="15" t="inlineStr">
        <is>
          <t>double</t>
        </is>
      </c>
      <c r="F154" s="15" t="n"/>
    </row>
    <row r="155" ht="17" customHeight="1">
      <c r="A155" s="38">
        <f>IF(ISNA(VLOOKUP(B155,AssociatedElements!B$2:B776,1,FALSE)),"Not used","")</f>
        <v/>
      </c>
      <c r="B155" s="11" t="inlineStr">
        <is>
          <t>specific_gravity_solids</t>
        </is>
      </c>
      <c r="C155" s="15" t="inlineStr">
        <is>
          <t>Specific Gravity of Solids</t>
        </is>
      </c>
      <c r="D155" s="14" t="inlineStr">
        <is>
          <t>The specific gravity of solids (Gs) is the bulk density of the solid particles relative to the density of water. It is a required parameter to assess void ratio. Its value is a function of the mineralogy of the solid particles. It is commonly assumed by geotechnical engineers.</t>
        </is>
      </c>
      <c r="E155" s="15" t="inlineStr">
        <is>
          <t>double</t>
        </is>
      </c>
      <c r="F155" s="15" t="n"/>
    </row>
    <row r="156" ht="34" customHeight="1">
      <c r="A156" s="38">
        <f>IF(ISNA(VLOOKUP(B156,AssociatedElements!B$2:B777,1,FALSE)),"Not used","")</f>
        <v/>
      </c>
      <c r="B156" s="11" t="inlineStr">
        <is>
          <t>sulfate_content</t>
        </is>
      </c>
      <c r="C156" s="15" t="inlineStr">
        <is>
          <t>Sulfate Content</t>
        </is>
      </c>
      <c r="D156" s="14" t="inlineStr">
        <is>
          <t>Sulfate content of soil or groundwater by laboratory testing (corrosivity series). USE THIS ENTRY WHEN THE SOURCE DOES NOT STATE THE EXTRACTION BASIS - common in practice, and the case for the Jazera project record (GBL-24136), which reports a sulfate content in ppm without saying whether it is water- or acid-soluble. Where the basis IS known, prefer the specific entry instead: sulfate_water_soluble or sulfate_acid_soluble. The distinction is not cosmetic - the two can differ by an order of magnitude on the same material, and BS 8500 / BRE Special Digest 1 derive their ACEC class from a particular one of them.</t>
        </is>
      </c>
      <c r="E156" s="15" t="inlineStr">
        <is>
          <t>double</t>
        </is>
      </c>
      <c r="F156" s="15" t="inlineStr">
        <is>
          <t>mass per mass</t>
        </is>
      </c>
    </row>
    <row r="157" ht="68" customHeight="1">
      <c r="A157" s="38">
        <f>IF(ISNA(VLOOKUP(B157,AssociatedElements!B$2:B778,1,FALSE)),"Not used","")</f>
        <v/>
      </c>
      <c r="B157" s="11" t="inlineStr">
        <is>
          <t>syneresis</t>
        </is>
      </c>
      <c r="C157" s="15" t="inlineStr">
        <is>
          <t>Syneresis</t>
        </is>
      </c>
      <c r="D157" s="14" t="inlineStr">
        <is>
          <t>The contraction of a gel accompanied by the separating out of liquid. It is calculated as a percent of volume or mass loss.</t>
        </is>
      </c>
      <c r="E157" s="15" t="inlineStr">
        <is>
          <t>double</t>
        </is>
      </c>
      <c r="F157" s="38" t="inlineStr">
        <is>
          <t>dimensionless</t>
        </is>
      </c>
      <c r="J157" s="38" t="inlineStr">
        <is>
          <t>x</t>
        </is>
      </c>
    </row>
    <row r="158" ht="51" customHeight="1">
      <c r="A158" s="38">
        <f>IF(ISNA(VLOOKUP(B158,AssociatedElements!B$2:B779,1,FALSE)),"Not used","")</f>
        <v/>
      </c>
      <c r="B158" s="11" t="inlineStr">
        <is>
          <t>syneresis_surface_area_normalized</t>
        </is>
      </c>
      <c r="C158" s="15" t="inlineStr">
        <is>
          <t>Surface Area Normalized Syneresis</t>
        </is>
      </c>
      <c r="D158" s="14" t="inlineStr">
        <is>
          <t>The syneresis value of a gel specimen divided by its surface area; accounts for variability in syneresis of a gel depending on the amount of the gel exposed to air. Calculated as mass loss divided by surface area</t>
        </is>
      </c>
      <c r="E158" s="15" t="inlineStr">
        <is>
          <t>double</t>
        </is>
      </c>
      <c r="F158" s="15" t="inlineStr">
        <is>
          <t>mass per area</t>
        </is>
      </c>
    </row>
    <row r="159" ht="17" customHeight="1">
      <c r="A159" s="38">
        <f>IF(ISNA(VLOOKUP(B159,AssociatedElements!B$2:B780,1,FALSE)),"Not used","")</f>
        <v/>
      </c>
      <c r="B159" s="11" t="inlineStr">
        <is>
          <t>t50</t>
        </is>
      </c>
      <c r="C159" s="15" t="inlineStr">
        <is>
          <t>T50</t>
        </is>
      </c>
      <c r="D159" s="14" t="inlineStr">
        <is>
          <t>Time until pore pressure reaches the halfway pressure (u50) between starting dynamic pore pressure and equilibrium pore pressure</t>
        </is>
      </c>
      <c r="E159" s="15" t="inlineStr">
        <is>
          <t>double</t>
        </is>
      </c>
      <c r="F159" s="15" t="inlineStr">
        <is>
          <t>time</t>
        </is>
      </c>
    </row>
    <row r="160" ht="17" customHeight="1">
      <c r="A160" s="38">
        <f>IF(ISNA(VLOOKUP(B160,AssociatedElements!B$2:B781,1,FALSE)),"Not used","")</f>
        <v/>
      </c>
      <c r="B160" s="11" t="inlineStr">
        <is>
          <t>temperature</t>
        </is>
      </c>
      <c r="C160" s="15" t="inlineStr">
        <is>
          <t>Temperature</t>
        </is>
      </c>
      <c r="D160" s="14" t="inlineStr">
        <is>
          <t>Measured temperature</t>
        </is>
      </c>
      <c r="E160" s="15" t="inlineStr">
        <is>
          <t>double</t>
        </is>
      </c>
      <c r="F160" s="15" t="inlineStr">
        <is>
          <t>thermodynamic temperature</t>
        </is>
      </c>
    </row>
    <row r="161" ht="34" customHeight="1">
      <c r="A161" s="38">
        <f>IF(ISNA(VLOOKUP(B161,AssociatedElements!B$2:B782,1,FALSE)),"Not used","")</f>
        <v/>
      </c>
      <c r="B161" s="11" t="inlineStr">
        <is>
          <t>ten_percent_fines_value</t>
        </is>
      </c>
      <c r="C161" s="15" t="inlineStr">
        <is>
          <t>Ten Percent Fines Value</t>
        </is>
      </c>
      <c r="D161" s="14" t="inlineStr">
        <is>
          <t>A measure of the resistance of aggregate crushing.</t>
        </is>
      </c>
      <c r="E161" s="15" t="inlineStr">
        <is>
          <t>integer</t>
        </is>
      </c>
      <c r="F161" s="15" t="n"/>
    </row>
    <row r="162" ht="51" customHeight="1">
      <c r="A162" s="38">
        <f>IF(ISNA(VLOOKUP(B162,AssociatedElements!B$2:B783,1,FALSE)),"Not used","")</f>
        <v/>
      </c>
      <c r="B162" s="11" t="inlineStr">
        <is>
          <t>tensile_strength</t>
        </is>
      </c>
      <c r="C162" s="11" t="inlineStr">
        <is>
          <t>Tensile strength</t>
        </is>
      </c>
      <c r="D162" s="38" t="inlineStr">
        <is>
          <t>The maximum stress a material can withstand before breaking under tensile (pulling) forces</t>
        </is>
      </c>
      <c r="E162" s="11" t="inlineStr">
        <is>
          <t>double</t>
        </is>
      </c>
      <c r="F162" s="11" t="inlineStr">
        <is>
          <t>pressure</t>
        </is>
      </c>
    </row>
    <row r="163" ht="17" customHeight="1">
      <c r="A163" s="38">
        <f>IF(ISNA(VLOOKUP(B163,AssociatedElements!B$2:B784,1,FALSE)),"Not used","")</f>
        <v/>
      </c>
      <c r="B163" s="11" t="inlineStr">
        <is>
          <t>thrust</t>
        </is>
      </c>
      <c r="C163" s="15" t="inlineStr">
        <is>
          <t>Thrust</t>
        </is>
      </c>
      <c r="D163" s="14" t="inlineStr">
        <is>
          <t>Thrust force required to advance the dilatometer to the test depth. This force is exclusive of soil or other friction along the push rods. This thrust is referred to as qd.</t>
        </is>
      </c>
      <c r="E163" s="15" t="inlineStr">
        <is>
          <t>double</t>
        </is>
      </c>
      <c r="F163" s="15" t="inlineStr">
        <is>
          <t>force</t>
        </is>
      </c>
    </row>
    <row r="164" ht="34" customHeight="1">
      <c r="A164" s="38">
        <f>IF(ISNA(VLOOKUP(B164,AssociatedElements!B$2:B785,1,FALSE)),"Not used","")</f>
        <v/>
      </c>
      <c r="B164" s="11" t="inlineStr">
        <is>
          <t>time</t>
        </is>
      </c>
      <c r="C164" s="15" t="inlineStr">
        <is>
          <t>Time</t>
        </is>
      </c>
      <c r="D164" s="14" t="inlineStr">
        <is>
          <t>Time instant of measurement</t>
        </is>
      </c>
      <c r="E164" s="15" t="inlineStr">
        <is>
          <t>time</t>
        </is>
      </c>
      <c r="F164" s="15" t="inlineStr">
        <is>
          <t>time</t>
        </is>
      </c>
    </row>
    <row r="165" ht="17" customHeight="1">
      <c r="A165" s="38">
        <f>IF(ISNA(VLOOKUP(B165,AssociatedElements!B$2:B786,1,FALSE)),"Not used","")</f>
        <v/>
      </c>
      <c r="B165" s="11" t="inlineStr">
        <is>
          <t>tip_resistance</t>
        </is>
      </c>
      <c r="C165" s="15" t="inlineStr">
        <is>
          <t>Tip Resistance</t>
        </is>
      </c>
      <c r="D165" s="14" t="inlineStr">
        <is>
          <t>A measure of stress measured at tip of cone during penetration</t>
        </is>
      </c>
      <c r="E165" s="15" t="inlineStr">
        <is>
          <t>double</t>
        </is>
      </c>
      <c r="F165" s="15" t="inlineStr">
        <is>
          <t>pressure</t>
        </is>
      </c>
    </row>
    <row r="166" ht="17" customHeight="1">
      <c r="A166" s="38">
        <f>IF(ISNA(VLOOKUP(B166,AssociatedElements!B$2:B787,1,FALSE)),"Not used","")</f>
        <v/>
      </c>
      <c r="B166" s="11" t="inlineStr">
        <is>
          <t>tip_resistance_corrected</t>
        </is>
      </c>
      <c r="C166" s="15" t="inlineStr">
        <is>
          <t>Corrected Tip Resistance</t>
        </is>
      </c>
      <c r="D166" s="14" t="inlineStr">
        <is>
          <t>Tip resistance corrected for u2 pore pressure measurement</t>
        </is>
      </c>
      <c r="E166" s="15" t="inlineStr">
        <is>
          <t>double</t>
        </is>
      </c>
      <c r="F166" s="15" t="inlineStr">
        <is>
          <t>pressure</t>
        </is>
      </c>
    </row>
    <row r="167" ht="17" customHeight="1">
      <c r="A167" s="38">
        <f>IF(ISNA(VLOOKUP(B167,AssociatedElements!B$2:B788,1,FALSE)),"Not used","")</f>
        <v/>
      </c>
      <c r="B167" s="38" t="inlineStr">
        <is>
          <t>torque</t>
        </is>
      </c>
      <c r="C167" s="24" t="inlineStr">
        <is>
          <t>Torque</t>
        </is>
      </c>
      <c r="D167" s="24" t="inlineStr">
        <is>
          <t>Torque: The rotational force applied by the drill rig.</t>
        </is>
      </c>
      <c r="E167" s="38" t="inlineStr">
        <is>
          <t>double</t>
        </is>
      </c>
      <c r="F167" s="38" t="inlineStr">
        <is>
          <t>moment of force</t>
        </is>
      </c>
    </row>
    <row r="168" ht="34" customHeight="1">
      <c r="A168" s="38">
        <f>IF(ISNA(VLOOKUP(B168,AssociatedElements!B$2:B789,1,FALSE)),"Not used","")</f>
        <v/>
      </c>
      <c r="B168" s="38" t="inlineStr">
        <is>
          <t>transducer_pressure</t>
        </is>
      </c>
      <c r="C168" s="38" t="inlineStr">
        <is>
          <t>Transducer Pressure</t>
        </is>
      </c>
      <c r="D168" s="31" t="inlineStr">
        <is>
          <t>Pressure measured with a transducer</t>
        </is>
      </c>
      <c r="E168" s="38" t="inlineStr">
        <is>
          <t>double</t>
        </is>
      </c>
      <c r="F168" s="38" t="inlineStr">
        <is>
          <t>pressure</t>
        </is>
      </c>
    </row>
    <row r="169" ht="68" customHeight="1">
      <c r="A169" s="38">
        <f>IF(ISNA(VLOOKUP(B169,AssociatedElements!B$2:B790,1,FALSE)),"Not used","")</f>
        <v/>
      </c>
      <c r="B169" s="11" t="inlineStr">
        <is>
          <t>u50</t>
        </is>
      </c>
      <c r="C169" s="15" t="inlineStr">
        <is>
          <t>U50</t>
        </is>
      </c>
      <c r="D169" s="14" t="inlineStr">
        <is>
          <t>Pore pressure midway between dynamic pore pressure and equilibrium pore pressure</t>
        </is>
      </c>
      <c r="E169" s="15" t="inlineStr">
        <is>
          <t>double</t>
        </is>
      </c>
      <c r="F169" s="15" t="inlineStr">
        <is>
          <t>pressure</t>
        </is>
      </c>
    </row>
    <row r="170" ht="51" customHeight="1">
      <c r="A170" s="38">
        <f>IF(ISNA(VLOOKUP(B170,AssociatedElements!B$2:B791,1,FALSE)),"Not used","")</f>
        <v/>
      </c>
      <c r="B170" s="38" t="inlineStr">
        <is>
          <t>uscs_group_name</t>
        </is>
      </c>
      <c r="C170" s="38" t="inlineStr">
        <is>
          <t>USCS Group Name</t>
        </is>
      </c>
      <c r="D170" s="38" t="inlineStr">
        <is>
          <t xml:space="preserve">The Unified Soil Classification group name, including any modifiers as defined in Figures 1,2 and 3 of ASTM D2487 or Figures 1 and 2 of ASTM D2488, eg "Silty sand" or "Gravelly silt with sand". </t>
        </is>
      </c>
      <c r="E170" s="38" t="inlineStr">
        <is>
          <t>string</t>
        </is>
      </c>
    </row>
    <row r="171" ht="34" customHeight="1">
      <c r="A171" s="38">
        <f>IF(ISNA(VLOOKUP(B171,AssociatedElements!B$2:B792,1,FALSE)),"Not used","")</f>
        <v/>
      </c>
      <c r="B171" s="11" t="inlineStr">
        <is>
          <t>uscs_symbol</t>
        </is>
      </c>
      <c r="C171" s="15" t="inlineStr">
        <is>
          <t>USCS Group Symbol</t>
        </is>
      </c>
      <c r="D171" s="14" t="inlineStr">
        <is>
          <t xml:space="preserve">The two-letter symbol of soil type of the Unified Soil Classification System, used in engineering and geology to describe the texture and grain size of a soil. </t>
        </is>
      </c>
      <c r="E171" s="15" t="inlineStr">
        <is>
          <t>string</t>
        </is>
      </c>
      <c r="F171" s="15" t="n"/>
    </row>
    <row r="172" ht="51" customHeight="1">
      <c r="A172" s="38">
        <f>IF(ISNA(VLOOKUP(B172,AssociatedElements!B$2:B793,1,FALSE)),"Not used","")</f>
        <v/>
      </c>
      <c r="B172" s="11" t="inlineStr">
        <is>
          <t>uscs_symbol_425</t>
        </is>
      </c>
      <c r="C172" s="15" t="inlineStr">
        <is>
          <t>USCS Symbol Passing 425 Screen</t>
        </is>
      </c>
      <c r="D172" s="14" t="inlineStr">
        <is>
          <t>The two letter symbol of soil type of the Unified Soil Classification System of material passing 425 micron screen</t>
        </is>
      </c>
      <c r="E172" s="15" t="inlineStr">
        <is>
          <t>string</t>
        </is>
      </c>
      <c r="F172" s="15" t="n"/>
    </row>
    <row r="173" ht="17" customHeight="1">
      <c r="A173" s="38">
        <f>IF(ISNA(VLOOKUP(B173,AssociatedElements!B$2:B794,1,FALSE)),"Not used","")</f>
        <v/>
      </c>
      <c r="B173" s="11" t="inlineStr">
        <is>
          <t>vertical_stress_total</t>
        </is>
      </c>
      <c r="C173" s="15" t="inlineStr">
        <is>
          <t>Total Vertical Stress</t>
        </is>
      </c>
      <c r="D173" s="14" t="inlineStr">
        <is>
          <t>Total vertical stress at the center of the membrane before the insertion of the DMT blade, generally calculated from unit weights estimated using the DMT results.</t>
        </is>
      </c>
      <c r="E173" s="15" t="inlineStr">
        <is>
          <t>double</t>
        </is>
      </c>
      <c r="F173" s="15" t="inlineStr">
        <is>
          <t>pressure</t>
        </is>
      </c>
    </row>
    <row r="174" ht="17" customHeight="1">
      <c r="A174" s="38">
        <f>IF(ISNA(VLOOKUP(B174,AssociatedElements!B$2:B795,1,FALSE)),"Not used","")</f>
        <v/>
      </c>
      <c r="B174" s="38" t="inlineStr">
        <is>
          <t>volume</t>
        </is>
      </c>
      <c r="C174" s="38" t="inlineStr">
        <is>
          <t>Volume</t>
        </is>
      </c>
      <c r="D174" s="38" t="inlineStr">
        <is>
          <t>The amount of material observed</t>
        </is>
      </c>
      <c r="E174" s="38" t="inlineStr">
        <is>
          <t>double</t>
        </is>
      </c>
      <c r="F174" s="38" t="inlineStr">
        <is>
          <t>volume</t>
        </is>
      </c>
    </row>
    <row r="175" ht="68" customHeight="1">
      <c r="A175" s="38">
        <f>IF(ISNA(VLOOKUP(B175,AssociatedElements!B$2:B796,1,FALSE)),"Not used","")</f>
        <v/>
      </c>
      <c r="B175" s="38" t="inlineStr">
        <is>
          <t>volume_loss</t>
        </is>
      </c>
      <c r="C175" s="24" t="inlineStr">
        <is>
          <t>Volume Loss</t>
        </is>
      </c>
      <c r="D175" s="24" t="inlineStr">
        <is>
          <t>The amount of volume reduced between observation steps</t>
        </is>
      </c>
      <c r="E175" s="38" t="inlineStr">
        <is>
          <t>double</t>
        </is>
      </c>
      <c r="F175" s="38" t="inlineStr">
        <is>
          <t>volume</t>
        </is>
      </c>
    </row>
    <row r="176" ht="17" customHeight="1">
      <c r="A176" s="38">
        <f>IF(ISNA(VLOOKUP(B176,AssociatedElements!B$2:B797,1,FALSE)),"Not used","")</f>
        <v/>
      </c>
      <c r="B176" s="11" t="inlineStr">
        <is>
          <t>volumetric_shrinkage</t>
        </is>
      </c>
      <c r="C176" s="15" t="inlineStr">
        <is>
          <t>Volumetric Shrinkage</t>
        </is>
      </c>
      <c r="D176" s="28" t="inlineStr">
        <is>
          <t>The decrease in volume of a soil mass when the water content is reduced from a given percentage to the shrinkage limit and which is expressed as percentage of dry volume of the soil mass.</t>
        </is>
      </c>
      <c r="E176" s="35" t="inlineStr">
        <is>
          <t>integer</t>
        </is>
      </c>
      <c r="F176" s="28" t="inlineStr">
        <is>
          <t>volume per volume</t>
        </is>
      </c>
      <c r="J176" s="38" t="inlineStr">
        <is>
          <t>x</t>
        </is>
      </c>
    </row>
    <row r="177" ht="68" customHeight="1">
      <c r="A177" s="38">
        <f>IF(ISNA(VLOOKUP(B177,AssociatedElements!B$2:B798,1,FALSE)),"Not used","")</f>
        <v/>
      </c>
      <c r="B177" s="11" t="inlineStr">
        <is>
          <t>washout_result</t>
        </is>
      </c>
      <c r="C177" s="15" t="inlineStr">
        <is>
          <t>Washout Result</t>
        </is>
      </c>
      <c r="D177" s="28" t="inlineStr">
        <is>
          <t>Descriptive result of a washout test</t>
        </is>
      </c>
      <c r="E177" s="35" t="inlineStr">
        <is>
          <t>string</t>
        </is>
      </c>
      <c r="F177" s="35" t="n"/>
    </row>
    <row r="178" ht="102" customHeight="1">
      <c r="A178" s="38">
        <f>IF(ISNA(VLOOKUP(B178,AssociatedElements!B$2:B799,1,FALSE)),"Not used","")</f>
        <v/>
      </c>
      <c r="B178" s="11" t="inlineStr">
        <is>
          <t>water_content_natural</t>
        </is>
      </c>
      <c r="C178" s="20" t="inlineStr">
        <is>
          <t>Natural Water Content</t>
        </is>
      </c>
      <c r="D178" s="36" t="inlineStr">
        <is>
          <t>Also referred to as moisture content, this is the mass of water divided by the mass of the solids, expressed as a percentage. Use of this parameter is for natural conditions. Determined in a laboratory or via sensor.</t>
        </is>
      </c>
      <c r="E178" s="35" t="inlineStr">
        <is>
          <t>double</t>
        </is>
      </c>
      <c r="F178" s="28" t="inlineStr">
        <is>
          <t>mass per mass</t>
        </is>
      </c>
      <c r="J178" s="38" t="inlineStr">
        <is>
          <t>x</t>
        </is>
      </c>
    </row>
    <row r="179" ht="34" customHeight="1">
      <c r="A179" s="38">
        <f>IF(ISNA(VLOOKUP(B179,AssociatedElements!B$2:B800,1,FALSE)),"Not used","")</f>
        <v/>
      </c>
      <c r="B179" s="11" t="inlineStr">
        <is>
          <t>water_content_optimum</t>
        </is>
      </c>
      <c r="C179" s="15" t="inlineStr">
        <is>
          <t>Optimum Water Content</t>
        </is>
      </c>
      <c r="D179" s="28" t="inlineStr">
        <is>
          <t xml:space="preserve">This is a result of a compaction test. It is defined as the moisture content at the maximum dry unit weight as measured when a specific type and amount of energy is used for the compaction test. This is also the value of the compaction moisture content when the soils achieves the maximum dry unit weight. </t>
        </is>
      </c>
      <c r="E179" s="35" t="inlineStr">
        <is>
          <t>double</t>
        </is>
      </c>
      <c r="F179" s="28" t="inlineStr">
        <is>
          <t>mass per mass</t>
        </is>
      </c>
      <c r="J179" s="38" t="inlineStr">
        <is>
          <t>x</t>
        </is>
      </c>
    </row>
    <row r="180" ht="34" customHeight="1">
      <c r="A180" s="38">
        <f>IF(ISNA(VLOOKUP(B180,AssociatedElements!B$2:B801,1,FALSE)),"Not used","")</f>
        <v/>
      </c>
      <c r="B180" s="11" t="inlineStr">
        <is>
          <t>water_depth</t>
        </is>
      </c>
      <c r="C180" s="11" t="inlineStr">
        <is>
          <t>Water Depth</t>
        </is>
      </c>
      <c r="D180" s="38" t="inlineStr">
        <is>
          <t>Measured depth to water below datum, typically directly observed or computed from a pressure transducer</t>
        </is>
      </c>
      <c r="E180" s="11" t="inlineStr">
        <is>
          <t>double</t>
        </is>
      </c>
      <c r="F180" s="11" t="inlineStr">
        <is>
          <t>length</t>
        </is>
      </c>
    </row>
    <row r="181" ht="34" customHeight="1">
      <c r="A181" s="38">
        <f>IF(ISNA(VLOOKUP(B181,AssociatedElements!B$2:B802,1,FALSE)),"Not used","")</f>
        <v/>
      </c>
      <c r="B181" s="11" t="inlineStr">
        <is>
          <t>water_elev</t>
        </is>
      </c>
      <c r="C181" s="11" t="inlineStr">
        <is>
          <t>Water Elevation</t>
        </is>
      </c>
      <c r="D181" s="38" t="inlineStr">
        <is>
          <t>Measured elevation of water level, typically directly observed or computed from a pressure transducer.</t>
        </is>
      </c>
      <c r="E181" s="11" t="inlineStr">
        <is>
          <t>double</t>
        </is>
      </c>
      <c r="F181" s="11" t="inlineStr">
        <is>
          <t>length</t>
        </is>
      </c>
    </row>
    <row r="182" ht="34" customHeight="1">
      <c r="A182" s="38">
        <f>IF(ISNA(VLOOKUP(B182,AssociatedElements!B$2:B803,1,FALSE)),"Not used","")</f>
        <v/>
      </c>
      <c r="B182" s="38" t="inlineStr">
        <is>
          <t>easily_oxidized_carbon</t>
        </is>
      </c>
      <c r="C182" s="38" t="inlineStr">
        <is>
          <t>Easily Oxidized Carbon</t>
        </is>
      </c>
      <c r="D182" s="38" t="inlineStr">
        <is>
          <t>Amount of carbon (as a percent) in a soil that is easily oxidized as defined in AASHTO Standard T 194.</t>
        </is>
      </c>
      <c r="E182" s="38" t="inlineStr">
        <is>
          <t>double</t>
        </is>
      </c>
      <c r="F182" s="38" t="inlineStr">
        <is>
          <t>mass per mass</t>
        </is>
      </c>
    </row>
    <row r="183" ht="34" customHeight="1">
      <c r="A183" s="38">
        <f>IF(ISNA(VLOOKUP(B183,AssociatedElements!B$2:B804,1,FALSE)),"Not used","")</f>
        <v/>
      </c>
      <c r="B183" s="38" t="inlineStr">
        <is>
          <t>total_carbon</t>
        </is>
      </c>
      <c r="C183" s="38" t="inlineStr">
        <is>
          <t>Total Carbon</t>
        </is>
      </c>
      <c r="D183" s="38" t="inlineStr">
        <is>
          <t>Amount of carbon in a soil (as a percent) as defined in AASHTO Standard T 194.</t>
        </is>
      </c>
      <c r="E183" s="38" t="inlineStr">
        <is>
          <t>double</t>
        </is>
      </c>
      <c r="F183" s="38" t="inlineStr">
        <is>
          <t>mass per mass</t>
        </is>
      </c>
    </row>
    <row r="184" ht="34" customHeight="1">
      <c r="A184" s="38">
        <f>IF(ISNA(VLOOKUP(B184,AssociatedElements!B$2:B805,1,FALSE)),"Not used","")</f>
        <v/>
      </c>
      <c r="B184" s="38" t="inlineStr">
        <is>
          <t>easily_oxidized_matter</t>
        </is>
      </c>
      <c r="C184" s="38" t="inlineStr">
        <is>
          <t>Easily Oxidized Organic Matter</t>
        </is>
      </c>
      <c r="D184" s="38" t="inlineStr">
        <is>
          <t>Amount of easily oxidized organic matter (as a percent) in a soil  as defined in AASHTO Standard T 194.</t>
        </is>
      </c>
      <c r="E184" s="38" t="inlineStr">
        <is>
          <t>double</t>
        </is>
      </c>
      <c r="F184" s="38" t="inlineStr">
        <is>
          <t>mass per mass</t>
        </is>
      </c>
    </row>
    <row r="185" ht="51" customHeight="1">
      <c r="A185" s="38">
        <f>IF(ISNA(VLOOKUP(B185,AssociatedElements!B$2:B806,1,FALSE)),"Not used","")</f>
        <v/>
      </c>
      <c r="B185" s="38" t="inlineStr">
        <is>
          <t>total_organic_matter</t>
        </is>
      </c>
      <c r="C185" s="38" t="inlineStr">
        <is>
          <t>Total Organic Matter</t>
        </is>
      </c>
      <c r="D185" s="38" t="inlineStr">
        <is>
          <t>Amount of organic matter (as a percent) in a soil as defined in AASHTO Standard T 194.</t>
        </is>
      </c>
      <c r="E185" s="38" t="inlineStr">
        <is>
          <t>double</t>
        </is>
      </c>
      <c r="F185" s="38" t="inlineStr">
        <is>
          <t>mass per mass</t>
        </is>
      </c>
    </row>
    <row r="186" ht="34" customHeight="1">
      <c r="A186" s="38">
        <f>IF(ISNA(VLOOKUP(B186,AssociatedElements!B$2:B807,1,FALSE)),"Not used","")</f>
        <v/>
      </c>
      <c r="B186" s="38" t="inlineStr">
        <is>
          <t>free_swell_value</t>
        </is>
      </c>
      <c r="C186" s="38" t="inlineStr">
        <is>
          <t>Free Swell Value</t>
        </is>
      </c>
      <c r="D186" s="38" t="inlineStr">
        <is>
          <t>Determined by a one-dimensional swell or collapse test, this is the swell strain corresponding to a vertical stress of 1 kPa (20 lbf/ft2).</t>
        </is>
      </c>
      <c r="E186" s="38" t="inlineStr">
        <is>
          <t>double</t>
        </is>
      </c>
      <c r="F186" s="38" t="inlineStr">
        <is>
          <t>length per length</t>
        </is>
      </c>
    </row>
    <row r="187" ht="51" customHeight="1">
      <c r="A187" s="38">
        <f>IF(ISNA(VLOOKUP(B187,AssociatedElements!B$2:B808,1,FALSE)),"Not used","")</f>
        <v/>
      </c>
      <c r="B187" s="38" t="inlineStr">
        <is>
          <t>swell_pressure</t>
        </is>
      </c>
      <c r="C187" s="38" t="inlineStr">
        <is>
          <t>Swell Pressure</t>
        </is>
      </c>
      <c r="D187" s="38" t="inlineStr">
        <is>
          <t>Determined by a one-dimensional swell or collapse test, this is stress corresponding to zero strain.</t>
        </is>
      </c>
      <c r="E187" s="38" t="inlineStr">
        <is>
          <t>double</t>
        </is>
      </c>
      <c r="F187" s="38" t="inlineStr">
        <is>
          <t>pressure</t>
        </is>
      </c>
    </row>
    <row r="188" ht="34" customHeight="1">
      <c r="A188" s="38">
        <f>IF(ISNA(VLOOKUP(B188,AssociatedElements!B$2:B809,1,FALSE)),"Not used","")</f>
        <v/>
      </c>
      <c r="B188" s="38" t="inlineStr">
        <is>
          <t>d_value</t>
        </is>
      </c>
      <c r="C188" s="38" t="inlineStr">
        <is>
          <t>D Value</t>
        </is>
      </c>
      <c r="D188" s="37" t="inlineStr">
        <is>
          <t>The rapid method equivalent of percent compaction; the comparison of in-place density to laboratory derived maximum density.</t>
        </is>
      </c>
      <c r="E188" s="38" t="inlineStr">
        <is>
          <t>double</t>
        </is>
      </c>
      <c r="F188" s="38" t="inlineStr">
        <is>
          <t>dimensionless</t>
        </is>
      </c>
    </row>
    <row r="189" ht="34" customHeight="1">
      <c r="A189" s="38">
        <f>IF(ISNA(VLOOKUP(B189,AssociatedElements!B$2:B810,1,FALSE)),"Not used","")</f>
        <v/>
      </c>
      <c r="B189" s="38" t="inlineStr">
        <is>
          <t>c_value</t>
        </is>
      </c>
      <c r="C189" s="38" t="inlineStr">
        <is>
          <t>C Value</t>
        </is>
      </c>
      <c r="D189" s="38" t="inlineStr">
        <is>
          <t>The comparison of field compactive effort to standard laboratory compactive effort.</t>
        </is>
      </c>
      <c r="E189" s="38" t="inlineStr">
        <is>
          <t>double</t>
        </is>
      </c>
      <c r="F189" s="38" t="inlineStr">
        <is>
          <t>dimensionless</t>
        </is>
      </c>
    </row>
    <row r="190" ht="34" customHeight="1">
      <c r="A190" s="38">
        <f>IF(ISNA(VLOOKUP(B190,AssociatedElements!B$2:B811,1,FALSE)),"Not used","")</f>
        <v/>
      </c>
      <c r="B190" s="38" t="inlineStr">
        <is>
          <t>water_content_difference</t>
        </is>
      </c>
      <c r="C190" s="38" t="inlineStr">
        <is>
          <t>Water Content Difference</t>
        </is>
      </c>
      <c r="D190" s="38" t="inlineStr">
        <is>
          <t>The difference in water content between the field and the optimum water content of a soil.</t>
        </is>
      </c>
      <c r="E190" s="38" t="inlineStr">
        <is>
          <t>double</t>
        </is>
      </c>
      <c r="F190" s="38" t="inlineStr">
        <is>
          <t>mass per mass</t>
        </is>
      </c>
    </row>
    <row r="191" ht="34" customHeight="1">
      <c r="A191" s="38">
        <f>IF(ISNA(VLOOKUP(B191,AssociatedElements!B$2:B812,1,FALSE)),"Not used","")</f>
        <v/>
      </c>
      <c r="B191" s="38" t="inlineStr">
        <is>
          <t>d84</t>
        </is>
      </c>
      <c r="C191" s="38" t="inlineStr">
        <is>
          <t>d84</t>
        </is>
      </c>
      <c r="D191" s="38" t="inlineStr">
        <is>
          <t>Grain diameter corresponding to 84 percent passing.  Intermediate value used to report other results.</t>
        </is>
      </c>
      <c r="E191" s="38" t="inlineStr">
        <is>
          <t>double</t>
        </is>
      </c>
      <c r="F191" s="38" t="inlineStr">
        <is>
          <t>length</t>
        </is>
      </c>
    </row>
    <row r="192" ht="34" customHeight="1">
      <c r="A192" s="38">
        <f>IF(ISNA(VLOOKUP(B192,AssociatedElements!B$2:B813,1,FALSE)),"Not used","")</f>
        <v/>
      </c>
      <c r="B192" s="38" t="inlineStr">
        <is>
          <t>d90</t>
        </is>
      </c>
      <c r="C192" s="38" t="inlineStr">
        <is>
          <t>d90</t>
        </is>
      </c>
      <c r="D192" s="38" t="inlineStr">
        <is>
          <t>Grain diameter corresponding to 90 percent passing.  Intermediate value used to report other results.</t>
        </is>
      </c>
      <c r="E192" s="38" t="inlineStr">
        <is>
          <t>double</t>
        </is>
      </c>
      <c r="F192" s="38" t="inlineStr">
        <is>
          <t>length</t>
        </is>
      </c>
    </row>
    <row r="193" ht="34" customHeight="1">
      <c r="A193" s="38">
        <f>IF(ISNA(VLOOKUP(B193,AssociatedElements!B$2:B814,1,FALSE)),"Not used","")</f>
        <v/>
      </c>
      <c r="B193" s="38" t="inlineStr">
        <is>
          <t>percent_coarse_gravel</t>
        </is>
      </c>
      <c r="C193" s="38" t="inlineStr">
        <is>
          <t>percent coarse gravel</t>
        </is>
      </c>
      <c r="D193" s="38" t="inlineStr">
        <is>
          <t>The percentage of particles that pass the 75 mm sieve and are retained on the 19mm sieve (&lt;75 mm and &gt;19mm).</t>
        </is>
      </c>
      <c r="E193" s="38" t="inlineStr">
        <is>
          <t>double</t>
        </is>
      </c>
      <c r="F193" s="38" t="inlineStr">
        <is>
          <t>mass per mass</t>
        </is>
      </c>
    </row>
    <row r="194" ht="34" customHeight="1">
      <c r="A194" s="38">
        <f>IF(ISNA(VLOOKUP(B194,AssociatedElements!B$2:B815,1,FALSE)),"Not used","")</f>
        <v/>
      </c>
      <c r="B194" s="38" t="inlineStr">
        <is>
          <t>percent_fine_gravel</t>
        </is>
      </c>
      <c r="C194" s="38" t="inlineStr">
        <is>
          <t>percent fine gravel</t>
        </is>
      </c>
      <c r="D194" s="38" t="inlineStr">
        <is>
          <t>The percentage of particles that pass the 19 mm sieve and are retained on the 4.75mm sieve (&lt;19 mm and &gt;4.75mm).</t>
        </is>
      </c>
      <c r="E194" s="38" t="inlineStr">
        <is>
          <t>double</t>
        </is>
      </c>
      <c r="F194" s="38" t="inlineStr">
        <is>
          <t>mass per mass</t>
        </is>
      </c>
    </row>
    <row r="195" ht="34" customHeight="1">
      <c r="A195" s="38">
        <f>IF(ISNA(VLOOKUP(B195,AssociatedElements!B$2:B816,1,FALSE)),"Not used","")</f>
        <v/>
      </c>
      <c r="B195" s="38" t="inlineStr">
        <is>
          <t>percent_coarse_sand</t>
        </is>
      </c>
      <c r="C195" s="38" t="inlineStr">
        <is>
          <t>percent coarse sand</t>
        </is>
      </c>
      <c r="D195" s="38" t="inlineStr">
        <is>
          <t>The percentage of particles thatpass the #4 sieve and are retained on the #10 sieve (&lt;4.75 mm and &gt;2 mm).</t>
        </is>
      </c>
      <c r="E195" s="38" t="inlineStr">
        <is>
          <t>double</t>
        </is>
      </c>
      <c r="F195" s="38" t="inlineStr">
        <is>
          <t>mass per mass</t>
        </is>
      </c>
    </row>
    <row r="196" ht="34" customHeight="1">
      <c r="A196" s="38">
        <f>IF(ISNA(VLOOKUP(B196,AssociatedElements!B$2:B817,1,FALSE)),"Not used","")</f>
        <v/>
      </c>
      <c r="B196" s="38" t="inlineStr">
        <is>
          <t>percent_medium_sand</t>
        </is>
      </c>
      <c r="C196" s="38" t="inlineStr">
        <is>
          <t>percent medium sand</t>
        </is>
      </c>
      <c r="D196" s="38" t="inlineStr">
        <is>
          <t>The percentage of particles thatpass the #10 sieve and are retained on the #40 sieve (&lt;2 mm and &gt;0.425 mm).</t>
        </is>
      </c>
      <c r="E196" s="38" t="inlineStr">
        <is>
          <t>double</t>
        </is>
      </c>
      <c r="F196" s="38" t="inlineStr">
        <is>
          <t>mass per mass</t>
        </is>
      </c>
    </row>
    <row r="197" ht="34" customHeight="1">
      <c r="A197" s="38">
        <f>IF(ISNA(VLOOKUP(B197,AssociatedElements!B$2:B818,1,FALSE)),"Not used","")</f>
        <v/>
      </c>
      <c r="B197" s="38" t="inlineStr">
        <is>
          <t>percent_fine_sand</t>
        </is>
      </c>
      <c r="C197" s="38" t="inlineStr">
        <is>
          <t>percent fine sand</t>
        </is>
      </c>
      <c r="D197" s="38" t="inlineStr">
        <is>
          <t>The percentage of particles thatpass the #40 sieve and are retained on the #200 sieve (&lt;0.425 mm and &gt;0.075 mm).</t>
        </is>
      </c>
      <c r="E197" s="38" t="inlineStr">
        <is>
          <t>double</t>
        </is>
      </c>
      <c r="F197" s="38" t="inlineStr">
        <is>
          <t>mass per mass</t>
        </is>
      </c>
    </row>
    <row r="198" ht="34" customHeight="1">
      <c r="A198" s="38">
        <f>IF(ISNA(VLOOKUP(B198,AssociatedElements!B$2:B819,1,FALSE)),"Not used","")</f>
        <v/>
      </c>
      <c r="B198" s="38" t="inlineStr">
        <is>
          <t>aashto_percent_gravel</t>
        </is>
      </c>
      <c r="C198" s="38" t="inlineStr">
        <is>
          <t>percent gravel aashto</t>
        </is>
      </c>
      <c r="D198" s="38" t="inlineStr">
        <is>
          <t>The percentage of particles that pass the 75mm sieve and are retained on the #10 sieve (&lt;75 mm and &gt;0.075 mm).</t>
        </is>
      </c>
      <c r="E198" s="38" t="inlineStr">
        <is>
          <t>double</t>
        </is>
      </c>
      <c r="F198" s="38" t="inlineStr">
        <is>
          <t>mass per mass</t>
        </is>
      </c>
    </row>
    <row r="199" ht="34" customHeight="1">
      <c r="A199" s="38">
        <f>IF(ISNA(VLOOKUP(B199,AssociatedElements!B$2:B820,1,FALSE)),"Not used","")</f>
        <v/>
      </c>
      <c r="B199" s="38" t="inlineStr">
        <is>
          <t>aashto_percent_coarse_sand</t>
        </is>
      </c>
      <c r="C199" s="38" t="inlineStr">
        <is>
          <t>percent coarse sand aashto</t>
        </is>
      </c>
      <c r="D199" s="38" t="inlineStr">
        <is>
          <t>The percentage of particles that pass the #10 sieve and are retained on the #40 sieve (&lt;2 mm and &gt;0.425 mm).</t>
        </is>
      </c>
      <c r="E199" s="38" t="inlineStr">
        <is>
          <t>double</t>
        </is>
      </c>
      <c r="F199" s="38" t="inlineStr">
        <is>
          <t>mass per mass</t>
        </is>
      </c>
    </row>
    <row r="200" ht="34" customHeight="1">
      <c r="A200" s="38">
        <f>IF(ISNA(VLOOKUP(B200,AssociatedElements!B$2:B821,1,FALSE)),"Not used","")</f>
        <v/>
      </c>
      <c r="B200" s="38" t="inlineStr">
        <is>
          <t>aashto_percent_fine_sand</t>
        </is>
      </c>
      <c r="C200" s="38" t="inlineStr">
        <is>
          <t>percent fine sand aashto</t>
        </is>
      </c>
      <c r="D200" s="38" t="inlineStr">
        <is>
          <t>The percentage of particles that pass the #40 sieve and are retained on the #200 sieve (&lt;0.425 mm and &gt;0.075 mm).</t>
        </is>
      </c>
      <c r="E200" s="38" t="inlineStr">
        <is>
          <t>double</t>
        </is>
      </c>
      <c r="F200" s="38" t="inlineStr">
        <is>
          <t>mass per mass</t>
        </is>
      </c>
    </row>
    <row r="201" ht="153" customHeight="1">
      <c r="A201" s="38">
        <f>IF(ISNA(VLOOKUP(B201,AssociatedElements!B$2:B822,1,FALSE)),"Not used","")</f>
        <v/>
      </c>
      <c r="B201" s="38" t="inlineStr">
        <is>
          <t>settlement</t>
        </is>
      </c>
      <c r="C201" s="38" t="inlineStr">
        <is>
          <t>Settlement</t>
        </is>
      </c>
      <c r="D201" s="38" t="inlineStr">
        <is>
          <t>Downward vertical displacement of a point on the ground surface, within the ground, or on a supported structure, measured against a stated datum and reference time. Positive downward. The single measured quantity behind post-construction settlement monitoring, the measured half of a measured-versus-predicted comparison, and the subject of a settlement acceptance criterion; its predicted counterpart is the typed diggs:PredictedSettlement object, which this does not duplicate.</t>
        </is>
      </c>
      <c r="E201" s="38" t="inlineStr">
        <is>
          <t>double</t>
        </is>
      </c>
      <c r="F201" s="38" t="inlineStr">
        <is>
          <t>length</t>
        </is>
      </c>
    </row>
    <row r="202" ht="102" customHeight="1">
      <c r="A202" s="38">
        <f>IF(ISNA(VLOOKUP(B202,AssociatedElements!B$2:B823,1,FALSE)),"Not used","")</f>
        <v/>
      </c>
      <c r="B202" s="38" t="inlineStr">
        <is>
          <t>differential_settlement</t>
        </is>
      </c>
      <c r="C202" s="38" t="inlineStr">
        <is>
          <t>Differential settlement</t>
        </is>
      </c>
      <c r="D202" s="38" t="inlineStr">
        <is>
          <t>The difference in settlement between two points, measured. The separation the difference is taken over is not part of this value: where a criterion expresses the limit as a gradient or angular distortion, the criterion's own basis and baseLength carry it, exactly as they do for the predicted form on diggs:DesignRITreatedAreaType.</t>
        </is>
      </c>
      <c r="E202" s="38" t="inlineStr">
        <is>
          <t>double</t>
        </is>
      </c>
      <c r="F202" s="38" t="inlineStr">
        <is>
          <t>length</t>
        </is>
      </c>
    </row>
    <row r="203" ht="136" customHeight="1">
      <c r="A203" s="38">
        <f>IF(ISNA(VLOOKUP(B203,AssociatedElements!B$2:B824,1,FALSE)),"Not used","")</f>
        <v/>
      </c>
      <c r="B203" s="38" t="inlineStr">
        <is>
          <t>settlement_reduction_ratio</t>
        </is>
      </c>
      <c r="C203" s="38" t="inlineStr">
        <is>
          <t>Settlement reduction ratio (measured)</t>
        </is>
      </c>
      <c r="D203" s="38" t="inlineStr">
        <is>
          <t>Measured settlement of the treated ground divided by the settlement of the equivalent untreated ground. The measured counterpart of diggs:DesignRITreatedAreaType/settlementEfficacy; which definition of the ratio is in use is stated by that design element's settlementEfficacyDefinition, since a measured value is only comparable against the prediction under the same definition.</t>
        </is>
      </c>
      <c r="E203" s="38" t="inlineStr">
        <is>
          <t>double</t>
        </is>
      </c>
      <c r="F203" s="38" t="inlineStr">
        <is>
          <t>dimensionless</t>
        </is>
      </c>
    </row>
    <row r="204" ht="102" customHeight="1">
      <c r="A204" s="38">
        <f>IF(ISNA(VLOOKUP(B204,AssociatedElements!B$2:B825,1,FALSE)),"Not used","")</f>
        <v/>
      </c>
      <c r="B204" s="38" t="inlineStr">
        <is>
          <t>pore_pressure</t>
        </is>
      </c>
      <c r="C204" s="38" t="inlineStr">
        <is>
          <t>Pore water pressure (monitored)</t>
        </is>
      </c>
      <c r="D204" s="38" t="inlineStr">
        <is>
          <t>Pore water pressure measured by an installed piezometer over time. Deliberately distinct from the pore_pressure_u1/_u2/_u3 and pore_pressure_est/_equil entries in this dictionary, all of which are cone-penetration dissipation-stage labels tied to a transducer position on a CPT tip and meaningless for a standalone instrument.</t>
        </is>
      </c>
      <c r="E204" s="38" t="inlineStr">
        <is>
          <t>double</t>
        </is>
      </c>
      <c r="F204" s="38" t="inlineStr">
        <is>
          <t>pressure</t>
        </is>
      </c>
    </row>
    <row r="205" ht="85" customHeight="1">
      <c r="A205" s="38">
        <f>IF(ISNA(VLOOKUP(B205,AssociatedElements!B$2:B826,1,FALSE)),"Not used","")</f>
        <v/>
      </c>
      <c r="B205" s="38" t="inlineStr">
        <is>
          <t>reinforcement_load_fraction</t>
        </is>
      </c>
      <c r="C205" s="38" t="inlineStr">
        <is>
          <t>Reinforcement load fraction</t>
        </is>
      </c>
      <c r="D205" s="38" t="inlineStr">
        <is>
          <t>The fraction of total applied load carried by the reinforcement rather than by the surrounding soil. Dimensionless, 0 to 1. Named by a diggs:PerformanceCriterion stating a minimum, which is how a design requirement on load sharing is expressed.</t>
        </is>
      </c>
      <c r="E205" s="38" t="inlineStr">
        <is>
          <t>double</t>
        </is>
      </c>
      <c r="F205" s="38" t="inlineStr">
        <is>
          <t>dimensionless</t>
        </is>
      </c>
    </row>
    <row r="206" ht="102" customHeight="1">
      <c r="A206" s="38">
        <f>IF(ISNA(VLOOKUP(B206,AssociatedElements!B$2:B827,1,FALSE)),"Not used","")</f>
        <v/>
      </c>
      <c r="B206" s="38" t="inlineStr">
        <is>
          <t>critical_creep_load</t>
        </is>
      </c>
      <c r="C206" s="38" t="inlineStr">
        <is>
          <t>Critical Creep Load</t>
        </is>
      </c>
      <c r="D206" s="38" t="inlineStr">
        <is>
          <t>The load at which the rate of settlement under sustained load becomes unacceptably large - conventionally the load level above which the rate of creep settlement increases sharply with each load increment, taken from a static load test loading schedule that includes sustained-load (creep) readings at one or more increments. A result of diggs:StaticLoadTest.</t>
        </is>
      </c>
      <c r="E206" s="38" t="inlineStr">
        <is>
          <t>double</t>
        </is>
      </c>
      <c r="F206" s="38" t="inlineStr">
        <is>
          <t>force</t>
        </is>
      </c>
    </row>
    <row r="207" ht="68" customHeight="1">
      <c r="A207" s="38">
        <f>IF(ISNA(VLOOKUP(B207,AssociatedElements!B$2:B828,1,FALSE)),"Not used","")</f>
        <v/>
      </c>
      <c r="B207" s="38" t="inlineStr">
        <is>
          <t>modulus_of_subgrade_reaction</t>
        </is>
      </c>
      <c r="C207" s="38" t="inlineStr">
        <is>
          <t>Modulus of Subgrade Reaction</t>
        </is>
      </c>
      <c r="D207" s="38" t="inlineStr">
        <is>
          <t>The ratio of applied bearing pressure to plate settlement (k) derived from a plate-bearing load test - ASTM D1195/D1196's characteristic output. Force per unit volume (pressure/deflection), reported in units such as kN/m3 or pci.</t>
        </is>
      </c>
      <c r="E207" s="38" t="inlineStr">
        <is>
          <t>double</t>
        </is>
      </c>
      <c r="F207" s="38" t="inlineStr">
        <is>
          <t>force per volume</t>
        </is>
      </c>
    </row>
    <row r="208" ht="85" customHeight="1">
      <c r="A208" s="38">
        <f>IF(ISNA(VLOOKUP(B208,AssociatedElements!B$2:B829,1,FALSE)),"Not used","")</f>
        <v/>
      </c>
      <c r="B208" s="38" t="inlineStr">
        <is>
          <t>deformation_modulus_first_load</t>
        </is>
      </c>
      <c r="C208" s="38" t="inlineStr">
        <is>
          <t>Deformation Modulus, First Load (Ev1)</t>
        </is>
      </c>
      <c r="D208" s="38" t="inlineStr">
        <is>
          <t>The deformation modulus derived from the load-settlement curve of the FIRST loading cycle of a two-cycle plate-bearing load test, per DIN 18134. Reflects the initial condition of the ground or platform material, including particle rearrangement and closure of air voids.</t>
        </is>
      </c>
      <c r="E208" s="38" t="inlineStr">
        <is>
          <t>double</t>
        </is>
      </c>
      <c r="F208" s="38" t="inlineStr">
        <is>
          <t>pressure</t>
        </is>
      </c>
    </row>
    <row r="209" ht="119" customHeight="1">
      <c r="A209" s="38">
        <f>IF(ISNA(VLOOKUP(B209,AssociatedElements!B$2:B830,1,FALSE)),"Not used","")</f>
        <v/>
      </c>
      <c r="B209" s="38" t="inlineStr">
        <is>
          <t>deformation_modulus_second_load</t>
        </is>
      </c>
      <c r="C209" s="38" t="inlineStr">
        <is>
          <t>Deformation Modulus, Second Load (Ev2)</t>
        </is>
      </c>
      <c r="D209" s="38" t="inlineStr">
        <is>
          <t>The deformation modulus derived from the load-settlement curve of the SECOND loading cycle of a two-cycle plate-bearing load test, per DIN 18134. Primarily reflects the repeatable elastic behaviour of the ground or platform material after the first cycle's initial compression. The ratio Ev2/Ev1 (see #deformation_modulus_first_load) is DIN 18134's own reported indicator of the degree of compaction achieved.</t>
        </is>
      </c>
      <c r="E209" s="38" t="inlineStr">
        <is>
          <t>double</t>
        </is>
      </c>
      <c r="F209" s="38" t="inlineStr">
        <is>
          <t>pressure</t>
        </is>
      </c>
    </row>
    <row r="210" ht="102" customHeight="1">
      <c r="A210" s="38">
        <f>IF(ISNA(VLOOKUP(B210,AssociatedElements!B$2:B831,1,FALSE)),"Not used","")</f>
        <v/>
      </c>
      <c r="B210" s="38" t="inlineStr">
        <is>
          <t>defect_depth</t>
        </is>
      </c>
      <c r="C210" s="38" t="inlineStr">
        <is>
          <t>Defect Depth</t>
        </is>
      </c>
      <c r="D210" s="38" t="inlineStr">
        <is>
          <t>The depth from the pile/element head to an interpreted discontinuity, void, necking, or other change in cross-section identified from a low-strain integrity test record. Absent where the test found no defect and the reflection at the recorded travel time is interpreted as the pile toe instead. A result of diggs:LowStrainIntegrityTest.</t>
        </is>
      </c>
      <c r="E210" s="38" t="inlineStr">
        <is>
          <t>double</t>
        </is>
      </c>
      <c r="F210" s="38" t="inlineStr">
        <is>
          <t>length</t>
        </is>
      </c>
    </row>
    <row r="211" ht="119" customHeight="1">
      <c r="A211" s="38">
        <f>IF(ISNA(VLOOKUP(B211,AssociatedElements!B$2:B832,1,FALSE)),"Not used","")</f>
        <v/>
      </c>
      <c r="B211" s="38" t="inlineStr">
        <is>
          <t>effective_radius</t>
        </is>
      </c>
      <c r="C211" s="38" t="inlineStr">
        <is>
          <t>Effective Radius</t>
        </is>
      </c>
      <c r="D211" s="38" t="inlineStr">
        <is>
          <t>The as-built effective radius (or equivalent cross-sectional dimension) at a given depth, interpreted from a thermal integrity profiling temperature record by comparing the measured heat signature against the response expected for the design cross-section - a reduction indicates necking or a concrete deficiency, an increase indicates bulging. A result of diggs:ThermalIntegrityProfiling.</t>
        </is>
      </c>
      <c r="E211" s="38" t="inlineStr">
        <is>
          <t>double</t>
        </is>
      </c>
      <c r="F211" s="38" t="inlineStr">
        <is>
          <t>length</t>
        </is>
      </c>
    </row>
    <row r="212" ht="85" customHeight="1">
      <c r="A212" s="38">
        <f>IF(ISNA(VLOOKUP(B212,AssociatedElements!B$2:B833,1,FALSE)),"Not used","")</f>
        <v/>
      </c>
      <c r="B212" s="38" t="inlineStr">
        <is>
          <t>lateral_deflection</t>
        </is>
      </c>
      <c r="C212" s="38" t="inlineStr">
        <is>
          <t>Lateral Deflection</t>
        </is>
      </c>
      <c r="D212" s="38" t="inlineStr">
        <is>
          <t>Horizontal displacement of the load application point (or another stated gauge point) on a deep foundation element under a static lateral load test, measured against a stated datum. Distinct from properties.xml#settlement, which is explicitly vertical. A result of diggs:LateralLoadTest.</t>
        </is>
      </c>
      <c r="E212" s="38" t="inlineStr">
        <is>
          <t>double</t>
        </is>
      </c>
      <c r="F212" s="38" t="inlineStr">
        <is>
          <t>length</t>
        </is>
      </c>
    </row>
    <row r="213" ht="153" customHeight="1">
      <c r="A213" s="38">
        <f>IF(ISNA(VLOOKUP(B213,AssociatedElements!B$2:B834,1,FALSE)),"Not used","")</f>
        <v/>
      </c>
      <c r="B213" s="38" t="inlineStr">
        <is>
          <t>magnesium_content</t>
        </is>
      </c>
      <c r="C213" s="38" t="inlineStr">
        <is>
          <t>Magnesium Content</t>
        </is>
      </c>
      <c r="D213" s="38" t="inlineStr">
        <is>
          <t>Magnesium content by lab testing (corrosivity series). Completes the chemistry set the ground-aggressivity classifications are derived from: EN 206 grades chemical attack partly on magnesium ion content, and BS 8500 derives its ACEC class from sulfate AND magnesium together via BRE Special Digest 1, so an exposureClassification could be stated without the measurement that justifies it. Added at R10 from the Jazera project record (GBL-24136), which reports 571-954 ppm alongside its sulfate, chloride and pH results. USE THIS ENTRY WHEN THE SOURCE DOES NOT STATE THE EXTRACTION BASIS, as that record does not; where it is known to be the water-soluble determination of BS 1377-3 Clause 10, prefer magnesium_water_soluble instead.</t>
        </is>
      </c>
      <c r="E213" s="38" t="inlineStr">
        <is>
          <t>double</t>
        </is>
      </c>
      <c r="F213" s="38" t="inlineStr">
        <is>
          <t>mass per mass</t>
        </is>
      </c>
    </row>
    <row r="214">
      <c r="A214">
        <f>IF(ISNA(VLOOKUP(B214,AssociatedElements!B$2:B850,1,FALSE)),"Not used","")</f>
        <v/>
      </c>
      <c r="B214" t="inlineStr">
        <is>
          <t>cbr</t>
        </is>
      </c>
      <c r="C214" t="inlineStr">
        <is>
          <t>California Bearing Ratio</t>
        </is>
      </c>
      <c r="D214" t="inlineStr">
        <is>
          <t>California Bearing Ratio (CBR), expressed as a percentage, of the measured pressure required to achieve a given penetration into a soil specimen divided by the pressure required to achieve the same penetration on a standard crushed rock material. This generic term carries no built-in compaction, density, or soaking condition - use it together with a qualifier property (eg. percent of maximum dry density, soaking condition) to state the specific condition this value was determined under. Where a common condition applies, prefer the corresponding named term instead (eg. #cbr_at_95_pct_mdd).</t>
        </is>
      </c>
      <c r="E214" t="inlineStr">
        <is>
          <t>double</t>
        </is>
      </c>
      <c r="F214" t="inlineStr">
        <is>
          <t>pressure per pressure</t>
        </is>
      </c>
    </row>
    <row r="215">
      <c r="A215">
        <f>IF(ISNA(VLOOKUP(B215,AssociatedElements!B$2:B850,1,FALSE)),"Not used","")</f>
        <v/>
      </c>
      <c r="B215" t="inlineStr">
        <is>
          <t>cbr_at_95_pct_mdd</t>
        </is>
      </c>
      <c r="C215" t="inlineStr">
        <is>
          <t>CBR at 95% Maximum Dry Density</t>
        </is>
      </c>
      <c r="D215" t="inlineStr">
        <is>
          <t>California Bearing Ratio (CBR), expressed as a percentage, interpolated at 95% of the maximum dry density (MDD) established by an associated compaction test (eg. ASTM D1557, Modified Proctor), from a series of specimens compacted at different efforts and, where soaking is specified by the test method, soaked prior to penetration testing.</t>
        </is>
      </c>
      <c r="E215" t="inlineStr">
        <is>
          <t>double</t>
        </is>
      </c>
      <c r="F215" t="inlineStr">
        <is>
          <t>pressure per pressure</t>
        </is>
      </c>
    </row>
    <row r="216">
      <c r="A216">
        <f>IF(ISNA(VLOOKUP(B216,AssociatedElements!B$2:B850,1,FALSE)),"Not used","")</f>
        <v/>
      </c>
      <c r="B216" t="inlineStr">
        <is>
          <t>cbr_at_90_pct_mdd</t>
        </is>
      </c>
      <c r="C216" t="inlineStr">
        <is>
          <t>CBR at 90% Maximum Dry Density</t>
        </is>
      </c>
      <c r="D216" t="inlineStr">
        <is>
          <t>California Bearing Ratio (CBR), expressed as a percentage, interpolated at 90% of the maximum dry density (MDD) established by an associated compaction test (eg. ASTM D1557, Modified Proctor), from a series of specimens compacted at different efforts and, where soaking is specified by the test method, soaked prior to penetration testing.</t>
        </is>
      </c>
      <c r="E216" t="inlineStr">
        <is>
          <t>double</t>
        </is>
      </c>
      <c r="F216" t="inlineStr">
        <is>
          <t>pressure per pressure</t>
        </is>
      </c>
    </row>
    <row r="217">
      <c r="A217">
        <f>IF(ISNA(VLOOKUP(B217,AssociatedElements!B$2:B850,1,FALSE)),"Not used","")</f>
        <v/>
      </c>
      <c r="B217" t="inlineStr">
        <is>
          <t>cbr_at_98_100_pct_mdd</t>
        </is>
      </c>
      <c r="C217" t="inlineStr">
        <is>
          <t>CBR at 98-100% Maximum Dry Density</t>
        </is>
      </c>
      <c r="D217" t="inlineStr">
        <is>
          <t>California Bearing Ratio (CBR), expressed as a percentage, interpolated over the 98-100% band of the maximum dry density (MDD) established by an associated compaction test (eg. ASTM D1557, Modified Proctor), from a series of specimens compacted at different efforts and, where soaking is specified by the test method, soaked prior to penetration testing.</t>
        </is>
      </c>
      <c r="E217" t="inlineStr">
        <is>
          <t>double</t>
        </is>
      </c>
      <c r="F217" t="inlineStr">
        <is>
          <t>pressure per pressure</t>
        </is>
      </c>
    </row>
    <row r="218">
      <c r="A218">
        <f>IF(ISNA(VLOOKUP(B218,AssociatedElements!B$2:B850,1,FALSE)),"Not used","")</f>
        <v/>
      </c>
      <c r="B218" t="inlineStr">
        <is>
          <t>cbr_as_compacted</t>
        </is>
      </c>
      <c r="C218" t="inlineStr">
        <is>
          <t>CBR As Compacted (Unsoaked)</t>
        </is>
      </c>
      <c r="D218" t="inlineStr">
        <is>
          <t>California Bearing Ratio (CBR), expressed as a percentage, of a specimen tested at its as-compacted (100% of maximum dry density) density and moisture content without soaking, representing as-built or short-term strength rather than the soaked design condition standard test methods normally specify.</t>
        </is>
      </c>
      <c r="E218" t="inlineStr">
        <is>
          <t>double</t>
        </is>
      </c>
      <c r="F218" t="inlineStr">
        <is>
          <t>pressure per pressure</t>
        </is>
      </c>
    </row>
    <row r="219">
      <c r="A219">
        <f>IF(ISNA(VLOOKUP(B219,AssociatedElements!B$2:B850,1,FALSE)),"Not used","")</f>
        <v/>
      </c>
      <c r="B219" t="inlineStr">
        <is>
          <t>apparent_resistivity_min</t>
        </is>
      </c>
      <c r="C219" t="inlineStr">
        <is>
          <t>Minimum Apparent Resistivity</t>
        </is>
      </c>
      <c r="D219" t="inlineStr">
        <is>
          <t>The minimum apparent resistivity value among the readings taken during an in-situ electrical resistivity test at a station, used together with the maximum apparent resistivity to characterize the resistivity range for a corrosivity classification (eg. Palmer, 1974).</t>
        </is>
      </c>
      <c r="E219" t="inlineStr">
        <is>
          <t>double</t>
        </is>
      </c>
      <c r="F219" t="inlineStr">
        <is>
          <t>electrical resistivity</t>
        </is>
      </c>
    </row>
    <row r="220">
      <c r="A220">
        <f>IF(ISNA(VLOOKUP(B220,AssociatedElements!B$2:B850,1,FALSE)),"Not used","")</f>
        <v/>
      </c>
      <c r="B220" t="inlineStr">
        <is>
          <t>apparent_resistivity_max</t>
        </is>
      </c>
      <c r="C220" t="inlineStr">
        <is>
          <t>Maximum Apparent Resistivity</t>
        </is>
      </c>
      <c r="D220" t="inlineStr">
        <is>
          <t>The maximum apparent resistivity value among the readings taken during an in-situ electrical resistivity test at a station, used together with the minimum apparent resistivity to characterize the resistivity range for a corrosivity classification (eg. Palmer, 1974).</t>
        </is>
      </c>
      <c r="E220" t="inlineStr">
        <is>
          <t>double</t>
        </is>
      </c>
      <c r="F220" t="inlineStr">
        <is>
          <t>electrical resistivity</t>
        </is>
      </c>
    </row>
    <row r="221">
      <c r="A221">
        <f>IF(ISNA(VLOOKUP(B221,AssociatedElements!B$2:B850,1,FALSE)),"Not used","")</f>
        <v/>
      </c>
      <c r="B221" t="inlineStr">
        <is>
          <t>corrosivity_classification_palmer</t>
        </is>
      </c>
      <c r="C221" t="inlineStr">
        <is>
          <t>Corrosivity Classification (Palmer, 1974)</t>
        </is>
      </c>
      <c r="D221" t="inlineStr">
        <is>
          <t>A qualitative soil corrosivity rating for buried metal, assigned from the apparent resistivity range measured by an in-situ electrical resistivity test according to the correlation published by Palmer (1974): 0-10 ohm.m Very Severe, 11-20 Severe, 21-50 Moderate, 51-100 Mild, 101+ Very Mild.</t>
        </is>
      </c>
      <c r="E221" t="inlineStr">
        <is>
          <t>string</t>
        </is>
      </c>
      <c r="G221" t="inlineStr">
        <is>
          <t>J.D. Palmer</t>
        </is>
      </c>
      <c r="H221" t="inlineStr">
        <is>
          <t>Palmer, J.D. (1974). Soil Resistivity - Measurement and Analysis. Material Performance, Vol. 13.</t>
        </is>
      </c>
    </row>
    <row r="222">
      <c r="B222" t="inlineStr">
        <is>
          <t>thermal_conductivity</t>
        </is>
      </c>
      <c r="C222" t="inlineStr">
        <is>
          <t>Thermal Conductivity</t>
        </is>
      </c>
      <c r="D222" t="inlineStr">
        <is>
          <t>A material's ability to conduct heat, determined for soil or soft rock by the thermal needle probe method (ASTM D5334, IEEE Std 442).</t>
        </is>
      </c>
      <c r="E222" t="inlineStr">
        <is>
          <t>double</t>
        </is>
      </c>
      <c r="F222" t="inlineStr">
        <is>
          <t>thermal conductivity</t>
        </is>
      </c>
    </row>
    <row r="223">
      <c r="B223" t="inlineStr">
        <is>
          <t>thermal_resistivity</t>
        </is>
      </c>
      <c r="C223" t="inlineStr">
        <is>
          <t>Thermal Resistivity</t>
        </is>
      </c>
      <c r="D223" t="inlineStr">
        <is>
          <t>The reciprocal of thermal conductivity - a material's opposition to heat flow per unit length - determined for soil or soft rock by the thermal needle probe method (ASTM D5334, IEEE Std 442).</t>
        </is>
      </c>
      <c r="E223" t="inlineStr">
        <is>
          <t>double</t>
        </is>
      </c>
      <c r="F223" t="inlineStr">
        <is>
          <t>thermal resistivity</t>
        </is>
      </c>
    </row>
    <row r="224">
      <c r="B224" t="inlineStr">
        <is>
          <t>sulfate_water_soluble</t>
        </is>
      </c>
      <c r="C224" t="inlineStr">
        <is>
          <t>Sulfate Content, Water-Soluble</t>
        </is>
      </c>
      <c r="D224" t="inlineStr">
        <is>
          <t>Water-soluble sulfate content of soil or groundwater - the fraction released by a water extract, conventionally the 2:1 water:soil extract of BS 1377-3 Clause 7, and the quantity determined by ASTM C1580 and AASHTO T 290. Use in preference to the generic sulfate_content whenever the source states that the determination was water-soluble. Distinguish from sulfate_acid_soluble: the two can differ by an order of magnitude on the same material, and BS 8500 / BRE Special Digest 1 ACEC classification depends on which was measured.</t>
        </is>
      </c>
      <c r="E224" t="inlineStr">
        <is>
          <t>double</t>
        </is>
      </c>
      <c r="F224" t="inlineStr">
        <is>
          <t>mass per mass</t>
        </is>
      </c>
    </row>
    <row r="225">
      <c r="B225" t="inlineStr">
        <is>
          <t>sulfate_acid_soluble</t>
        </is>
      </c>
      <c r="C225" t="inlineStr">
        <is>
          <t>Sulfate Content, Acid-Soluble</t>
        </is>
      </c>
      <c r="D225" t="inlineStr">
        <is>
          <t>Acid-soluble sulfate content of soil - the fraction released by acid digestion, per BS 1377-3 Clause 7, and generally the larger of the two determinations because it mobilises sparingly-soluble sulfate minerals such as gypsum that a water extract leaves behind. Use in preference to the generic sulfate_content whenever the source states that the determination was acid-soluble. Distinct again from total sulfur and from the sulfide determinations of the same clause, which are different analytes rather than different extractions.</t>
        </is>
      </c>
      <c r="E225" t="inlineStr">
        <is>
          <t>double</t>
        </is>
      </c>
      <c r="F225" t="inlineStr">
        <is>
          <t>mass per mass</t>
        </is>
      </c>
    </row>
    <row r="226">
      <c r="B226" t="inlineStr">
        <is>
          <t>chloride_water_soluble</t>
        </is>
      </c>
      <c r="C226" t="inlineStr">
        <is>
          <t>Chloride Content, Water-Soluble</t>
        </is>
      </c>
      <c r="D226" t="inlineStr">
        <is>
          <t>Water-soluble chloride content of soil or groundwater - the fraction released by a water extract, per BS 1377-3 Clause 9 and AASHTO T 291. Use in preference to the generic chloride_content whenever the source states that the determination was water-soluble.</t>
        </is>
      </c>
      <c r="E226" t="inlineStr">
        <is>
          <t>double</t>
        </is>
      </c>
      <c r="F226" t="inlineStr">
        <is>
          <t>mass per mass</t>
        </is>
      </c>
    </row>
    <row r="227">
      <c r="B227" t="inlineStr">
        <is>
          <t>chloride_acid_soluble</t>
        </is>
      </c>
      <c r="C227" t="inlineStr">
        <is>
          <t>Chloride Content, Acid-Soluble</t>
        </is>
      </c>
      <c r="D227" t="inlineStr">
        <is>
          <t>Acid-soluble chloride content of soil - the fraction released by acid digestion, per BS 1377-3 Clause 9. Use in preference to the generic chloride_content whenever the source states that the determination was acid-soluble.</t>
        </is>
      </c>
      <c r="E227" t="inlineStr">
        <is>
          <t>double</t>
        </is>
      </c>
      <c r="F227" t="inlineStr">
        <is>
          <t>mass per mass</t>
        </is>
      </c>
    </row>
    <row r="228">
      <c r="B228" t="inlineStr">
        <is>
          <t>magnesium_water_soluble</t>
        </is>
      </c>
      <c r="C228" t="inlineStr">
        <is>
          <t>Magnesium Content, Water-Soluble</t>
        </is>
      </c>
      <c r="D228" t="inlineStr">
        <is>
          <t>Water-soluble magnesium content of soil or groundwater, per BS 1377-3 Clause 10 - which specifies the water-soluble determination only, so for magnesium this is the basis a BS 1377-3 result will normally be on even when the report does not say so. Use in preference to the generic magnesium_content whenever the source confirms it. Magnesium matters because BS 8500 derives its ACEC class from sulfate and magnesium together via BRE Special Digest 1, and EN 206 grades chemical attack partly on magnesium ion content.</t>
        </is>
      </c>
      <c r="E228" t="inlineStr">
        <is>
          <t>double</t>
        </is>
      </c>
      <c r="F228" t="inlineStr">
        <is>
          <t>mass per mass</t>
        </is>
      </c>
    </row>
    <row r="229">
      <c r="B229" t="inlineStr">
        <is>
          <t>total_organic_carbon</t>
        </is>
      </c>
      <c r="C229" t="inlineStr">
        <is>
          <t>Total Organic Carbon</t>
        </is>
      </c>
      <c r="D229" t="inlineStr">
        <is>
          <t>Total organic carbon (TOC) content of soil, per BS 1377-3 Clause 5 - the carbon held in organic compounds, determined after removing carbonate carbon. Distinct from total_carbon and easily_oxidized_carbon, which are the AASHTO T 194 wet-combustion determinations bound to OrganicMatterByWetCombustionTest, and distinct again from LOI (loss on ignition, Clause 6) and total_organic_matter, which measure organic MATTER rather than the carbon within it.</t>
        </is>
      </c>
      <c r="E229" t="inlineStr">
        <is>
          <t>double</t>
        </is>
      </c>
      <c r="F229" t="inlineStr">
        <is>
          <t>mass per mass</t>
        </is>
      </c>
    </row>
    <row r="230">
      <c r="B230" t="inlineStr">
        <is>
          <t>carbonate_content</t>
        </is>
      </c>
      <c r="C230" t="inlineStr">
        <is>
          <t>Carbonate Content</t>
        </is>
      </c>
      <c r="D230" t="inlineStr">
        <is>
          <t>Carbonate content of soil, per BS 1377-3 Clause 8, usually expressed as equivalent calcium carbonate. Relevant both to ground aggressivity - carbonate buffers acidity and moderates the pH a corrosion assessment reads - and to the identification of calcareous and cemented soils. The Jazera site's sabkha and calcareous sands are exactly the materials for which this is normally reported, though this determination is not in the project record.</t>
        </is>
      </c>
      <c r="E230" t="inlineStr">
        <is>
          <t>double</t>
        </is>
      </c>
      <c r="F230" t="inlineStr">
        <is>
          <t>mass per mass</t>
        </is>
      </c>
    </row>
    <row r="231">
      <c r="B231" t="inlineStr">
        <is>
          <t>total_sulfur</t>
        </is>
      </c>
      <c r="C231" t="inlineStr">
        <is>
          <t>Total Sulfur</t>
        </is>
      </c>
      <c r="D231" t="inlineStr">
        <is>
          <t>Total sulfur content of soil, per BS 1377-3 Clause 7 - all sulfur present, in every oxidation state, not only that recoverable as sulfate. The upper bound on sulfate that could develop if reduced sulfur compounds oxidise, which is why it is reported for pyritic and sabkha ground. A DIFFERENT ANALYTE from sulfate_content and its water- and acid-soluble variants, not another extraction of the same one.</t>
        </is>
      </c>
      <c r="E231" t="inlineStr">
        <is>
          <t>double</t>
        </is>
      </c>
      <c r="F231" t="inlineStr">
        <is>
          <t>mass per mass</t>
        </is>
      </c>
    </row>
    <row r="232">
      <c r="B232" t="inlineStr">
        <is>
          <t>total_sulfide</t>
        </is>
      </c>
      <c r="C232" t="inlineStr">
        <is>
          <t>Total Sulfide</t>
        </is>
      </c>
      <c r="D232" t="inlineStr">
        <is>
          <t>Total sulfide content of soil, also called total reduced sulfur, per BS 1377-3 Clause 7 - sulfur held in reduced form, which on exposure to air can oxidise to sulfate and acidify the ground. Reported where pyrite or organic-rich anaerobic deposits are suspected. Distinct from sulfide_acid_soluble, which recovers only the monosulfide fraction.</t>
        </is>
      </c>
      <c r="E232" t="inlineStr">
        <is>
          <t>double</t>
        </is>
      </c>
      <c r="F232" t="inlineStr">
        <is>
          <t>mass per mass</t>
        </is>
      </c>
    </row>
    <row r="233">
      <c r="B233" t="inlineStr">
        <is>
          <t>sulfide_acid_soluble</t>
        </is>
      </c>
      <c r="C233" t="inlineStr">
        <is>
          <t>Sulfide Content, Acid-Soluble</t>
        </is>
      </c>
      <c r="D233" t="inlineStr">
        <is>
          <t>Acid-soluble sulfide content of soil - the monosulfide fraction released by acid digestion, per BS 1377-3 Clause 7. A subset of total_sulfide: it does not recover disulfides such as pyrite, so the two differ substantially in pyritic ground and should not be used interchangeably.</t>
        </is>
      </c>
      <c r="E233" t="inlineStr">
        <is>
          <t>double</t>
        </is>
      </c>
      <c r="F233" t="inlineStr">
        <is>
          <t>mass per mass</t>
        </is>
      </c>
    </row>
    <row r="234">
      <c r="B234" t="inlineStr">
        <is>
          <t>total_dissolved_solids</t>
        </is>
      </c>
      <c r="C234" t="inlineStr">
        <is>
          <t>Total Dissolved Solids</t>
        </is>
      </c>
      <c r="D234" t="inlineStr">
        <is>
          <t>Total dissolved solids (TDS) of groundwater, per BS 1377-3 Clause 11 - the mass of dissolved material remaining after evaporation of a filtered sample. A summary measure of groundwater salinity, read alongside the individual ion determinations (sulfate, chloride, magnesium) rather than in place of them.</t>
        </is>
      </c>
      <c r="E234" t="inlineStr">
        <is>
          <t>double</t>
        </is>
      </c>
      <c r="F234" t="inlineStr">
        <is>
          <t>mass per mass</t>
        </is>
      </c>
    </row>
    <row r="235">
      <c r="B235" t="inlineStr">
        <is>
          <t>bulk_unit_weight</t>
        </is>
      </c>
      <c r="C235" t="inlineStr">
        <is>
          <t>Unit Weight, Bulk (Natural)</t>
        </is>
      </c>
      <c r="D235" t="inlineStr">
        <is>
          <t xml:space="preserve"> Total weight (of solids and water) divided by total volume of material, representing natural conditions. Parallels bulk_density, but reported strictly as a force per volume (unit weight) rather than interchangeably as mass per volume.</t>
        </is>
      </c>
      <c r="E235" t="inlineStr">
        <is>
          <t>double</t>
        </is>
      </c>
      <c r="F235" t="inlineStr">
        <is>
          <t>force per volume</t>
        </is>
      </c>
    </row>
    <row r="236">
      <c r="B236" t="inlineStr">
        <is>
          <t>dry_unit_weight</t>
        </is>
      </c>
      <c r="C236" t="inlineStr">
        <is>
          <t>Unit Weight, Dry</t>
        </is>
      </c>
      <c r="D236" t="inlineStr">
        <is>
          <t xml:space="preserve"> Weight of solids divided by total volume. Parallels dry_density, but reported strictly as a force per volume (unit weight) rather than interchangeably as mass per volume.</t>
        </is>
      </c>
      <c r="E236" t="inlineStr">
        <is>
          <t>double</t>
        </is>
      </c>
      <c r="F236" t="inlineStr">
        <is>
          <t>force per volume</t>
        </is>
      </c>
    </row>
    <row r="237">
      <c r="B237" t="inlineStr">
        <is>
          <t>unit_weight_max</t>
        </is>
      </c>
      <c r="C237" t="inlineStr">
        <is>
          <t>Maximum Unit Weight</t>
        </is>
      </c>
      <c r="D237" t="inlineStr">
        <is>
          <t xml:space="preserve"> This is a result of a compaction test. It is defined as the maximum dry unit weight that is measured when a specific type and amount of energy is used for the compaction test. This is also the value of the compacted dry unit weight when the soil is at the optimum moisture content. Parallels dry_density_max, but reported strictly as a force per volume (unit weight) rather than interchangeably as mass per volume.</t>
        </is>
      </c>
      <c r="E237" t="inlineStr">
        <is>
          <t>double</t>
        </is>
      </c>
      <c r="F237" t="inlineStr">
        <is>
          <t>force per volume</t>
        </is>
      </c>
    </row>
    <row r="238">
      <c r="B238" t="inlineStr">
        <is>
          <t>maximum_axial_load</t>
        </is>
      </c>
      <c r="C238" t="inlineStr">
        <is>
          <t>Maximum axial load</t>
        </is>
      </c>
      <c r="D238" t="inlineStr">
        <is>
          <t>The maximum compressive force carried by a specimen during an unconfined compressive strength test - the force from which the compressive strength is calculated, as that force divided by the cross-sectional area of the specimen.</t>
        </is>
      </c>
      <c r="E238" t="inlineStr">
        <is>
          <t>double</t>
        </is>
      </c>
      <c r="F238" t="inlineStr">
        <is>
          <t>force</t>
        </is>
      </c>
      <c r="G238" t="inlineStr">
        <is>
          <t>DIGGS</t>
        </is>
      </c>
      <c r="H238" t="inlineStr">
        <is>
          <t>https://diggsml.org/def/registry/DIGGS/0/specifications.xml#astm_c39</t>
        </is>
      </c>
    </row>
    <row r="239">
      <c r="B239" t="inlineStr">
        <is>
          <t>deformation_modulus_e50</t>
        </is>
      </c>
      <c r="C239" t="inlineStr">
        <is>
          <t>Deformation modulus E50</t>
        </is>
      </c>
      <c r="D239" t="inlineStr">
        <is>
          <t>The secant modulus of a specimen at half its unconfined compressive strength: E50 is half the unconfined compressive strength divided by the axial strain at which the compressive stress reaches that half value. Where the start of the stress-strain curve has an inflection from specimen seating, the strain origin is corrected before E50 is taken.</t>
        </is>
      </c>
      <c r="E239" t="inlineStr">
        <is>
          <t>double</t>
        </is>
      </c>
      <c r="F239" t="inlineStr">
        <is>
          <t>pressure</t>
        </is>
      </c>
      <c r="G239" t="inlineStr">
        <is>
          <t>DIGGS</t>
        </is>
      </c>
      <c r="H239" t="inlineStr">
        <is>
          <t>https://diggsml.org/def/registry/DIGGS/0/specifications.xml#jis_a_1216</t>
        </is>
      </c>
    </row>
    <row r="240">
      <c r="B240" t="inlineStr">
        <is>
          <t>length_diameter_correction_factor</t>
        </is>
      </c>
      <c r="C240" t="inlineStr">
        <is>
          <t>Length-to-diameter correction factor</t>
        </is>
      </c>
      <c r="D240" t="inlineStr">
        <is>
          <t>The factor by which the measured compressive strength of a cylindrical specimen is multiplied where its length-to-diameter ratio is 1.75 or less, interpolated between tabulated ratios. The 2009 edition of ASTM C39 gives 0.98 at a ratio of 1.75, 0.96 at 1.50, 0.93 at 1.25 and 0.87 at 1.00.</t>
        </is>
      </c>
      <c r="E240" t="inlineStr">
        <is>
          <t>double</t>
        </is>
      </c>
      <c r="F240" t="inlineStr">
        <is>
          <t>dimensionless</t>
        </is>
      </c>
      <c r="G240" t="inlineStr">
        <is>
          <t>DIGGS</t>
        </is>
      </c>
      <c r="H240" t="inlineStr">
        <is>
          <t>https://diggsml.org/def/registry/DIGGS/0/specifications.xml#astm_c39</t>
        </is>
      </c>
    </row>
    <row r="241">
      <c r="B241" t="inlineStr">
        <is>
          <t>gage_reading</t>
        </is>
      </c>
      <c r="C241" t="inlineStr">
        <is>
          <t>Gage Reading</t>
        </is>
      </c>
      <c r="D241" t="inlineStr">
        <is>
          <t>Reading of a displacement gage (dial gage or displacement transducer) at one gage point, expressed as a displacement. Where several gages are read together, each is a separate property distinguished by its propertyName (for example "Dial Gage 1"); their average is reported the same way.</t>
        </is>
      </c>
      <c r="E241" t="inlineStr">
        <is>
          <t>double</t>
        </is>
      </c>
      <c r="F241" t="inlineStr">
        <is>
          <t>length</t>
        </is>
      </c>
    </row>
    <row r="242">
      <c r="B242" t="inlineStr">
        <is>
          <t>applied_stress</t>
        </is>
      </c>
      <c r="C242" t="inlineStr">
        <is>
          <t>Applied Stress</t>
        </is>
      </c>
      <c r="D242" t="inlineStr">
        <is>
          <t>Normal stress applied to the ground or element through the bearing area of a load test (a plate or loaded footprint) at the time of the reading.</t>
        </is>
      </c>
      <c r="E242" t="inlineStr">
        <is>
          <t>double</t>
        </is>
      </c>
      <c r="F242" t="inlineStr">
        <is>
          <t>pressure</t>
        </is>
      </c>
    </row>
    <row r="243">
      <c r="B243" t="inlineStr">
        <is>
          <t>jack_pressure</t>
        </is>
      </c>
      <c r="C243" t="inlineStr">
        <is>
          <t>Jack Pressure</t>
        </is>
      </c>
      <c r="D243" t="inlineStr">
        <is>
          <t>Hydraulic pressure read at the gauge of the jack applying a test load. Converted to load or stress through the jack calibration.</t>
        </is>
      </c>
      <c r="E243" t="inlineStr">
        <is>
          <t>double</t>
        </is>
      </c>
      <c r="F243" t="inlineStr">
        <is>
          <t>pressure</t>
        </is>
      </c>
    </row>
    <row r="244">
      <c r="B244" t="inlineStr">
        <is>
          <t>loading_phase</t>
        </is>
      </c>
      <c r="C244" t="inlineStr">
        <is>
          <t>Loading Phase</t>
        </is>
      </c>
      <c r="D244" t="inlineStr">
        <is>
          <t>Whether a load test reading or increment belongs to seating, loading, unloading or reloading.</t>
        </is>
      </c>
      <c r="E244" t="inlineStr">
        <is>
          <t>string</t>
        </is>
      </c>
      <c r="K244" t="inlineStr">
        <is>
          <t>https://diggsml.org/def/codes/DIGGS/0.1/loadTestIncrementPhase.xml</t>
        </is>
      </c>
    </row>
    <row r="245">
      <c r="B245" t="inlineStr">
        <is>
          <t>equipment_mass</t>
        </is>
      </c>
      <c r="C245" t="inlineStr">
        <is>
          <t>Equipment Mass</t>
        </is>
      </c>
      <c r="D245" t="inlineStr">
        <is>
          <t>Mass of an item of test equipment as weighed, for example a bearing plate or a jack resting on the tested element.</t>
        </is>
      </c>
      <c r="E245" t="inlineStr">
        <is>
          <t>double</t>
        </is>
      </c>
      <c r="F245" t="inlineStr">
        <is>
          <t>mass</t>
        </is>
      </c>
    </row>
    <row r="246">
      <c r="B246" t="inlineStr">
        <is>
          <t>calibration_reference_value</t>
        </is>
      </c>
      <c r="C246" t="inlineStr">
        <is>
          <t>Calibration Reference Value</t>
        </is>
      </c>
      <c r="D246" t="inlineStr">
        <is>
          <t>Value of the reference standard applied to the item at one calibration point, in the unit of the quantity calibrated (for example bar for a pressure gauge).</t>
        </is>
      </c>
      <c r="E246" t="inlineStr">
        <is>
          <t>double</t>
        </is>
      </c>
    </row>
    <row r="247">
      <c r="B247" t="inlineStr">
        <is>
          <t>calibration_indicated_value</t>
        </is>
      </c>
      <c r="C247" t="inlineStr">
        <is>
          <t>Calibration Indicated Value</t>
        </is>
      </c>
      <c r="D247" t="inlineStr">
        <is>
          <t>Value the item under calibration indicated at one calibration point, in the unit of the quantity calibrated.</t>
        </is>
      </c>
      <c r="E247" t="inlineStr">
        <is>
          <t>double</t>
        </is>
      </c>
    </row>
    <row r="248">
      <c r="B248" t="inlineStr">
        <is>
          <t>calibration_deviation</t>
        </is>
      </c>
      <c r="C248" t="inlineStr">
        <is>
          <t>Calibration Deviation</t>
        </is>
      </c>
      <c r="D248" t="inlineStr">
        <is>
          <t>Difference between the value the item indicated and the reference value applied, at one calibration point, as reported on the certificate.</t>
        </is>
      </c>
      <c r="E248" t="inlineStr">
        <is>
          <t>double</t>
        </is>
      </c>
    </row>
    <row r="249">
      <c r="B249" t="inlineStr">
        <is>
          <t>calibration_expanded_uncertainty</t>
        </is>
      </c>
      <c r="C249" t="inlineStr">
        <is>
          <t>Calibration Expanded Uncertainty</t>
        </is>
      </c>
      <c r="D249" t="inlineStr">
        <is>
          <t>Expanded uncertainty of the calibration at one point, at the coverage factor stated for the calibration (coverage_factor).</t>
        </is>
      </c>
      <c r="E249" t="inlineStr">
        <is>
          <t>double</t>
        </is>
      </c>
    </row>
    <row r="250">
      <c r="B250" t="inlineStr">
        <is>
          <t>instrument_resolution</t>
        </is>
      </c>
      <c r="C250" t="inlineStr">
        <is>
          <t>Instrument Resolution</t>
        </is>
      </c>
      <c r="D250" t="inlineStr">
        <is>
          <t>Smallest change in the quantity measured that the instrument displays, as stated on the calibration certificate.</t>
        </is>
      </c>
      <c r="E250" t="inlineStr">
        <is>
          <t>double</t>
        </is>
      </c>
    </row>
    <row r="251">
      <c r="B251" t="inlineStr">
        <is>
          <t>maximum_expanded_uncertainty</t>
        </is>
      </c>
      <c r="C251" t="inlineStr">
        <is>
          <t>Maximum Expanded Uncertainty</t>
        </is>
      </c>
      <c r="D251" t="inlineStr">
        <is>
          <t>Largest expanded uncertainty over the calibrated range, as stated on the calibration certificate, in the unit of the quantity calibrated.</t>
        </is>
      </c>
      <c r="E251" t="inlineStr">
        <is>
          <t>double</t>
        </is>
      </c>
    </row>
    <row r="252">
      <c r="B252" t="inlineStr">
        <is>
          <t>coverage_factor</t>
        </is>
      </c>
      <c r="C252" t="inlineStr">
        <is>
          <t>Coverage Factor</t>
        </is>
      </c>
      <c r="D252" t="inlineStr">
        <is>
          <t>Factor multiplying the standard uncertainty to give the expanded uncertainty reported; k = 2 corresponds to a coverage probability of approximately 95 %.</t>
        </is>
      </c>
      <c r="E252" t="inlineStr">
        <is>
          <t>double</t>
        </is>
      </c>
      <c r="F252" t="inlineStr">
        <is>
          <t>dimensionless</t>
        </is>
      </c>
    </row>
    <row r="253">
      <c r="B253" t="inlineStr">
        <is>
          <t>calibrated_range_minimum</t>
        </is>
      </c>
      <c r="C253" t="inlineStr">
        <is>
          <t>Calibrated Range Minimum</t>
        </is>
      </c>
      <c r="D253" t="inlineStr">
        <is>
          <t>Lower limit of the range over which the instrument was calibrated, in the unit of the quantity calibrated.</t>
        </is>
      </c>
      <c r="E253" t="inlineStr">
        <is>
          <t>double</t>
        </is>
      </c>
    </row>
    <row r="254">
      <c r="B254" t="inlineStr">
        <is>
          <t>calibrated_range_maximum</t>
        </is>
      </c>
      <c r="C254" t="inlineStr">
        <is>
          <t>Calibrated Range Maximum</t>
        </is>
      </c>
      <c r="D254" t="inlineStr">
        <is>
          <t>Upper limit of the range over which the instrument was calibrated, in the unit of the quantity calibrated.</t>
        </is>
      </c>
      <c r="E254" t="inlineStr">
        <is>
          <t>double</t>
        </is>
      </c>
    </row>
    <row r="255">
      <c r="B255" t="inlineStr">
        <is>
          <t>acceptance_tolerance</t>
        </is>
      </c>
      <c r="C255" t="inlineStr">
        <is>
          <t>Acceptance Tolerance</t>
        </is>
      </c>
      <c r="D255" t="inlineStr">
        <is>
          <t>The tolerance the instrument is accepted to, as stated on the calibration certificate - a limit or a reference to the manufacturer's specification.</t>
        </is>
      </c>
      <c r="E255" t="inlineStr">
        <is>
          <t>string</t>
        </is>
      </c>
    </row>
    <row r="256">
      <c r="B256" t="inlineStr">
        <is>
          <t>jack_ram_area</t>
        </is>
      </c>
      <c r="C256" t="inlineStr">
        <is>
          <t>Jack Ram Area</t>
        </is>
      </c>
      <c r="D256" t="inlineStr">
        <is>
          <t>Area of the hydraulic jack ram, as stated on the calibration certificate, used to convert jack pressure to force.</t>
        </is>
      </c>
      <c r="E256" t="inlineStr">
        <is>
          <t>double</t>
        </is>
      </c>
      <c r="F256" t="inlineStr">
        <is>
          <t>area</t>
        </is>
      </c>
    </row>
    <row r="257">
      <c r="B257" t="inlineStr">
        <is>
          <t>ambient_temperature</t>
        </is>
      </c>
      <c r="C257" t="inlineStr">
        <is>
          <t>Ambient Temperature</t>
        </is>
      </c>
      <c r="D257" t="inlineStr">
        <is>
          <t>Air temperature in the laboratory or on site while a calibration was performed. State the permitted variation as the minimum and maximum value.</t>
        </is>
      </c>
      <c r="E257" t="inlineStr">
        <is>
          <t>double</t>
        </is>
      </c>
      <c r="F257" t="inlineStr">
        <is>
          <t>thermodynamic temperature</t>
        </is>
      </c>
    </row>
    <row r="258">
      <c r="B258" t="inlineStr">
        <is>
          <t>relative_humidity</t>
        </is>
      </c>
      <c r="C258" t="inlineStr">
        <is>
          <t>Relative Humidity</t>
        </is>
      </c>
      <c r="D258" t="inlineStr">
        <is>
          <t>Relative humidity of the air while a calibration was performed. State the permitted variation as the minimum and maximum value.</t>
        </is>
      </c>
      <c r="E258" t="inlineStr">
        <is>
          <t>double</t>
        </is>
      </c>
      <c r="F258" t="inlineStr">
        <is>
          <t>dimensionless</t>
        </is>
      </c>
    </row>
    <row r="259">
      <c r="B259" t="inlineStr">
        <is>
          <t>toe_depth</t>
        </is>
      </c>
      <c r="C259" t="inlineStr">
        <is>
          <t>Toe Depth</t>
        </is>
      </c>
      <c r="D259" t="inlineStr">
        <is>
          <t>The depth from the pile or element head to the toe reflection of a low-strain integrity test record: the deepest reflection of the record, found by working up from the bottom of the record, taken at its first amplitude maximum (or at its starting deflection where the start pulse of the record is referenced to its starting deflection). Reading from the bottom separates the toe from internal defects, which lie above it. The depth is calculated from the travel time and the assumed wave speed. A result of diggs:LowStrainIntegrityTest. Compare with the length of the element through toe_depth_deviation; defect_depth is the depth of a reflection above the toe.</t>
        </is>
      </c>
      <c r="E259" t="inlineStr">
        <is>
          <t>double</t>
        </is>
      </c>
      <c r="F259" t="inlineStr">
        <is>
          <t>length</t>
        </is>
      </c>
    </row>
    <row r="260">
      <c r="B260" t="inlineStr">
        <is>
          <t>toe_depth_deviation</t>
        </is>
      </c>
      <c r="C260" t="inlineStr">
        <is>
          <t>Toe Depth Deviation</t>
        </is>
      </c>
      <c r="D260" t="inlineStr">
        <is>
          <t>The difference between the toe depth of a low-strain integrity test and the as-built length of the element, without sign, as a percentage of the as-built length. The assumed wave speed alone can move a reflected depth by about ten percent, which sets the order of a limit on this property.</t>
        </is>
      </c>
      <c r="E260" t="inlineStr">
        <is>
          <t>double</t>
        </is>
      </c>
      <c r="F260" t="inlineStr">
        <is>
          <t>dimensionless</t>
        </is>
      </c>
    </row>
    <row r="261">
      <c r="B261" t="inlineStr">
        <is>
          <t>relative_reflection_amplitude</t>
        </is>
      </c>
      <c r="C261" t="inlineStr">
        <is>
          <t>Relative Reflection Amplitude</t>
        </is>
      </c>
      <c r="D261" t="inlineStr">
        <is>
          <t>The height of a reflection in a low-strain integrity test record relative to the height of the initial impact peak, both read from the same record. A reflection of the same sign as the impact, above the toe, indicates a reduction in impedance - a neck, a crack or poor concrete - and its relative height approximates the reflection coefficient where the amplification of the record balances the toe reflection against the impact. Stated for the largest such reflection above the toe.</t>
        </is>
      </c>
      <c r="E261" t="inlineStr">
        <is>
          <t>double</t>
        </is>
      </c>
      <c r="F261" t="inlineStr">
        <is>
          <t>dimensionless</t>
        </is>
      </c>
    </row>
    <row r="262">
      <c r="B262" t="inlineStr">
        <is>
          <t>normalized_velocity</t>
        </is>
      </c>
      <c r="C262" t="inlineStr">
        <is>
          <t>Normalized Velocity</t>
        </is>
      </c>
      <c r="D262" t="inlineStr">
        <is>
          <t>The velocity of the head of a pile or element in a low-strain integrity test record as evaluated: averaged over the impacts, amplified as the procedure states and normalized so that the impact peak has a fixed height. A number without a unit, comparable only with the impact of the same record. A column of the depth-indexed result of diggs:LowStrainIntegrityTest.</t>
        </is>
      </c>
      <c r="E262" t="inlineStr">
        <is>
          <t>double</t>
        </is>
      </c>
      <c r="F262" t="inlineStr">
        <is>
          <t>dimensionless</t>
        </is>
      </c>
    </row>
    <row r="263">
      <c r="B263" t="inlineStr">
        <is>
          <t>normalized_force</t>
        </is>
      </c>
      <c r="C263" t="inlineStr">
        <is>
          <t>Normalized Force</t>
        </is>
      </c>
      <c r="D263" t="inlineStr">
        <is>
          <t>The force applied to the head of a pile or element in a low-strain integrity test with an instrumented hammer, normalized to the same scale as the normalized velocity of the record. A number without a unit. A column of the result of diggs:LowStrainIntegrityTest.</t>
        </is>
      </c>
      <c r="E263" t="inlineStr">
        <is>
          <t>double</t>
        </is>
      </c>
      <c r="F263" t="inlineStr">
        <is>
          <t>dimensionless</t>
        </is>
      </c>
    </row>
    <row r="264">
      <c r="B264" t="inlineStr">
        <is>
          <t>impact_force</t>
        </is>
      </c>
      <c r="C264" t="inlineStr">
        <is>
          <t>Impact Force</t>
        </is>
      </c>
      <c r="D264" t="inlineStr">
        <is>
          <t>The force applied to the head of a pile or element by the hammer of a low-strain integrity test, measured by an instrumented hammer. A column of the result of diggs:LowStrainIntegrityTest.</t>
        </is>
      </c>
      <c r="E264" t="inlineStr">
        <is>
          <t>double</t>
        </is>
      </c>
      <c r="F264" t="inlineStr">
        <is>
          <t>force</t>
        </is>
      </c>
    </row>
    <row r="265">
      <c r="B265" t="inlineStr">
        <is>
          <t>relative_impedance</t>
        </is>
      </c>
      <c r="C265" t="inlineStr">
        <is>
          <t>Relative Impedance</t>
        </is>
      </c>
      <c r="D265" t="inlineStr">
        <is>
          <t>The impedance of a pile or element at a depth relative to its impedance at the head, as reconstructed from a low-strain integrity test record; 1 where the section and the concrete equal those at the head. A column of the depth-indexed result of diggs:LowStrainIntegrityTest.</t>
        </is>
      </c>
      <c r="E265" t="inlineStr">
        <is>
          <t>double</t>
        </is>
      </c>
      <c r="F265" t="inlineStr">
        <is>
          <t>dimensionless</t>
        </is>
      </c>
    </row>
    <row r="266">
      <c r="B266" t="inlineStr">
        <is>
          <t>frequency</t>
        </is>
      </c>
      <c r="C266" t="inlineStr">
        <is>
          <t>Frequency</t>
        </is>
      </c>
      <c r="D266" t="inlineStr">
        <is>
          <t>A frequency at which a frequency-domain record is stated - for example a row of the mobility record of a transient response low-strain integrity test (diggs:LowStrainIntegrityTest/frequencyResponse).</t>
        </is>
      </c>
      <c r="E266" t="inlineStr">
        <is>
          <t>double</t>
        </is>
      </c>
      <c r="F266" t="inlineStr">
        <is>
          <t>frequency</t>
        </is>
      </c>
    </row>
    <row r="267">
      <c r="B267" t="inlineStr">
        <is>
          <t>mobility</t>
        </is>
      </c>
      <c r="C267" t="inlineStr">
        <is>
          <t>Mobility</t>
        </is>
      </c>
      <c r="D267" t="inlineStr">
        <is>
          <t>The ratio of the velocity transform to the force transform at the head of a pile or element at a frequency, in a transient response low-strain integrity test: velocity per force (s/kg, equal to m/(N.s)). A column of diggs:LowStrainIntegrityTest/frequencyResponse. Not the fluid mobility of a porous medium.</t>
        </is>
      </c>
      <c r="E267" t="inlineStr">
        <is>
          <t>double</t>
        </is>
      </c>
      <c r="F267" t="inlineStr">
        <is>
          <t>time per mass</t>
        </is>
      </c>
    </row>
    <row r="268">
      <c r="B268" t="inlineStr">
        <is>
          <t>characteristic_mobility</t>
        </is>
      </c>
      <c r="C268" t="inlineStr">
        <is>
          <t>Characteristic Mobility</t>
        </is>
      </c>
      <c r="D268" t="inlineStr">
        <is>
          <t>The mean mobility over the range of resonant frequencies of a transient response low-strain integrity test record. For a uniform element it approximates the reciprocal of the product of concrete density, wave speed and cross-sectional area, so it reflects the section and the quality of the concrete.</t>
        </is>
      </c>
      <c r="E268" t="inlineStr">
        <is>
          <t>double</t>
        </is>
      </c>
      <c r="F268" t="inlineStr">
        <is>
          <t>time per mass</t>
        </is>
      </c>
    </row>
    <row r="269">
      <c r="B269" t="inlineStr">
        <is>
          <t>dynamic_stiffness</t>
        </is>
      </c>
      <c r="C269" t="inlineStr">
        <is>
          <t>Dynamic Stiffness</t>
        </is>
      </c>
      <c r="D269" t="inlineStr">
        <is>
          <t>The ratio of force to displacement at the head of a pile or element at low frequency, read from the initial slope of the mobility record of a transient response low-strain integrity test. It reflects the element and the soil around it.</t>
        </is>
      </c>
      <c r="E269" t="inlineStr">
        <is>
          <t>double</t>
        </is>
      </c>
      <c r="F269" t="inlineStr">
        <is>
          <t>force per length</t>
        </is>
      </c>
    </row>
    <row r="270">
      <c r="B270" t="inlineStr">
        <is>
          <t>mobility_ratio</t>
        </is>
      </c>
      <c r="C270" t="inlineStr">
        <is>
          <t>Mobility Ratio</t>
        </is>
      </c>
      <c r="D270" t="inlineStr">
        <is>
          <t>The ratio of the peak mobility to the characteristic mobility of a transient response low-strain integrity test record. A number without a unit.</t>
        </is>
      </c>
      <c r="E270" t="inlineStr">
        <is>
          <t>double</t>
        </is>
      </c>
      <c r="F270" t="inlineStr">
        <is>
          <t>dimensionless</t>
        </is>
      </c>
    </row>
    <row r="271">
      <c r="B271" t="inlineStr">
        <is>
          <t>relative_toe_amplitude</t>
        </is>
      </c>
      <c r="C271" t="inlineStr">
        <is>
          <t>Relative Toe Amplitude</t>
        </is>
      </c>
      <c r="D271" t="inlineStr">
        <is>
          <t>The height of the toe reflection of a low-strain integrity test record relative to the height of the initial impact peak, both read from the same record: 1 where the amplification balances the toe reflection against the impact, above 1 where the record is amplified past that balance and below 1 where it is not amplified up to it. A result of diggs:LowStrainIntegrityTest. See relative_reflection_amplitude.</t>
        </is>
      </c>
      <c r="E271" t="inlineStr">
        <is>
          <t>double</t>
        </is>
      </c>
      <c r="F271" t="inlineStr">
        <is>
          <t>dimensionless</t>
        </is>
      </c>
      <c r="G271" t="inlineStr">
        <is>
          <t>DIGGS</t>
        </is>
      </c>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684"/>
  <sheetViews>
    <sheetView zoomScale="146" zoomScaleNormal="146" workbookViewId="0">
      <pane ySplit="1" topLeftCell="A311" activePane="bottomLeft" state="frozen"/>
      <selection pane="bottomLeft" activeCell="C331" sqref="C331"/>
    </sheetView>
  </sheetViews>
  <sheetFormatPr baseColWidth="10" defaultColWidth="10.83203125" defaultRowHeight="16"/>
  <cols>
    <col width="6.83203125" customWidth="1" min="1" max="1"/>
    <col width="31.6640625" customWidth="1" min="2" max="2"/>
    <col width="62" customWidth="1" style="4" min="3" max="3"/>
    <col width="93" customWidth="1" style="21" min="4" max="4"/>
  </cols>
  <sheetData>
    <row r="1" customFormat="1" s="7">
      <c r="A1" s="5" t="inlineStr">
        <is>
          <t>Start</t>
        </is>
      </c>
      <c r="B1" s="5" t="inlineStr">
        <is>
          <t>ID</t>
        </is>
      </c>
      <c r="C1" s="6" t="inlineStr">
        <is>
          <t>SourceElement</t>
        </is>
      </c>
      <c r="D1" s="21" t="inlineStr">
        <is>
          <t>ConditionalElement</t>
        </is>
      </c>
    </row>
    <row r="2" ht="17" customHeight="1">
      <c r="A2">
        <f>IF(ISNA(VLOOKUP(B2,Definitions!B$2:B$1604,1,FALSE)),"Not listed","")</f>
        <v/>
      </c>
      <c r="B2" s="26" t="inlineStr">
        <is>
          <t>a_pressure</t>
        </is>
      </c>
      <c r="C2" s="21" t="inlineStr">
        <is>
          <t>//diggs:propertyClass</t>
        </is>
      </c>
      <c r="D2" s="21" t="inlineStr">
        <is>
          <t>ancestor::diggs:measurement//diggs:procedure/diggs:FlatPlateDilatometerTest</t>
        </is>
      </c>
    </row>
    <row r="3" ht="17" customHeight="1">
      <c r="A3">
        <f>IF(ISNA(VLOOKUP(B3,Definitions!B$2:B$1604,1,FALSE)),"Not listed","")</f>
        <v/>
      </c>
      <c r="B3" s="38" t="inlineStr">
        <is>
          <t>aashto_group_index</t>
        </is>
      </c>
      <c r="C3" s="4" t="inlineStr">
        <is>
          <t>//diggs:propertyClass</t>
        </is>
      </c>
      <c r="D3" s="21" t="inlineStr">
        <is>
          <t>ancestor::diggs:measurement//diggs:procedure/diggs:ParticleSizeTest</t>
        </is>
      </c>
    </row>
    <row r="4" ht="17" customHeight="1">
      <c r="A4">
        <f>IF(ISNA(VLOOKUP(B4,Definitions!B$2:B$1604,1,FALSE)),"Not listed","")</f>
        <v/>
      </c>
      <c r="B4" s="38" t="inlineStr">
        <is>
          <t>aashto_symbol</t>
        </is>
      </c>
      <c r="C4" s="4" t="inlineStr">
        <is>
          <t>//diggs:propertyClass</t>
        </is>
      </c>
      <c r="D4" s="21" t="inlineStr">
        <is>
          <t>ancestor::diggs:measurement//diggs:procedure/diggs:ParticleSizeTest</t>
        </is>
      </c>
    </row>
    <row r="5">
      <c r="A5">
        <f>IF(ISNA(VLOOKUP(B5,Definitions!B$2:B$1604,1,FALSE)),"Not listed","")</f>
        <v/>
      </c>
      <c r="B5" t="inlineStr">
        <is>
          <t>aggregate_abrasion_value</t>
        </is>
      </c>
      <c r="C5" s="4" t="inlineStr">
        <is>
          <t>//diggs:propertyClass</t>
        </is>
      </c>
      <c r="D5" s="21" t="inlineStr">
        <is>
          <t>ancestor::diggs:measurement//diggs:procedure/diggs:AggregateAbrasionValueTest</t>
        </is>
      </c>
    </row>
    <row r="6">
      <c r="A6">
        <f>IF(ISNA(VLOOKUP(B6,Definitions!B$2:B$1604,1,FALSE)),"Not listed","")</f>
        <v/>
      </c>
      <c r="B6" t="inlineStr">
        <is>
          <t>aggregate_crushing_value</t>
        </is>
      </c>
      <c r="C6" s="4" t="inlineStr">
        <is>
          <t>//diggs:propertyClass</t>
        </is>
      </c>
      <c r="D6" s="21" t="inlineStr">
        <is>
          <t>ancestor::diggs:measurement//diggs:procedure/diggs:AggregateCrushingValueTest</t>
        </is>
      </c>
    </row>
    <row r="7">
      <c r="A7">
        <f>IF(ISNA(VLOOKUP(B7,Definitions!B$2:B$1604,1,FALSE)),"Not listed","")</f>
        <v/>
      </c>
      <c r="B7" t="inlineStr">
        <is>
          <t>aggregate_elongation_index</t>
        </is>
      </c>
      <c r="C7" s="4" t="inlineStr">
        <is>
          <t>//diggs:propertyClass</t>
        </is>
      </c>
      <c r="D7" s="21" t="inlineStr">
        <is>
          <t>ancestor::diggs:measurement//diggs:procedure/diggs:AggregateElongationIndexTest</t>
        </is>
      </c>
    </row>
    <row r="8">
      <c r="A8">
        <f>IF(ISNA(VLOOKUP(B8,Definitions!B$2:B$1604,1,FALSE)),"Not listed","")</f>
        <v/>
      </c>
      <c r="B8" t="inlineStr">
        <is>
          <t>aggregate_flakiness_index</t>
        </is>
      </c>
      <c r="C8" s="4" t="inlineStr">
        <is>
          <t>//diggs:propertyClass</t>
        </is>
      </c>
      <c r="D8" s="21" t="inlineStr">
        <is>
          <t>ancestor::diggs:measurement//diggs:procedure/diggs:AggregateFlakinessIndexTest</t>
        </is>
      </c>
    </row>
    <row r="9">
      <c r="A9">
        <f>IF(ISNA(VLOOKUP(B9,Definitions!B$2:B$1604,1,FALSE)),"Not listed","")</f>
        <v/>
      </c>
      <c r="B9" t="inlineStr">
        <is>
          <t>aggregate_impact_value</t>
        </is>
      </c>
      <c r="C9" s="4" t="inlineStr">
        <is>
          <t>//diggs:propertyClass</t>
        </is>
      </c>
      <c r="D9" s="21" t="inlineStr">
        <is>
          <t>ancestor::diggs:measurement//diggs:procedure/diggs:AggregateImpactValueTest</t>
        </is>
      </c>
    </row>
    <row r="10">
      <c r="A10">
        <f>IF(ISNA(VLOOKUP(B10,Definitions!B$2:B$1604,1,FALSE)),"Not listed","")</f>
        <v/>
      </c>
      <c r="B10" t="inlineStr">
        <is>
          <t>aggregate_LA_abrasion_loss</t>
        </is>
      </c>
      <c r="C10" s="4" t="inlineStr">
        <is>
          <t>//diggs:propertyClass</t>
        </is>
      </c>
      <c r="D10" s="21" t="inlineStr">
        <is>
          <t>ancestor::diggs:measurement//diggs:procedure/diggs:LosAngelesAbrasionTest</t>
        </is>
      </c>
    </row>
    <row r="11">
      <c r="A11">
        <f>IF(ISNA(VLOOKUP(B11,Definitions!B$2:B$1604,1,FALSE)),"Not listed","")</f>
        <v/>
      </c>
      <c r="B11" t="inlineStr">
        <is>
          <t>aggregate_la_coefficient</t>
        </is>
      </c>
      <c r="C11" s="4" t="inlineStr">
        <is>
          <t>//diggs:propertyClass</t>
        </is>
      </c>
      <c r="D11" s="21" t="inlineStr">
        <is>
          <t>ancestor::diggs:measurement//diggs:procedure/diggs:LosAngelesAbrasionTest</t>
        </is>
      </c>
    </row>
    <row r="12">
      <c r="A12">
        <f>IF(ISNA(VLOOKUP(B12,Definitions!B$2:B$1604,1,FALSE)),"Not listed","")</f>
        <v/>
      </c>
      <c r="B12" t="inlineStr">
        <is>
          <t>aggregate_la_wear_ratio</t>
        </is>
      </c>
      <c r="C12" s="4" t="inlineStr">
        <is>
          <t>//diggs:propertyClass</t>
        </is>
      </c>
      <c r="D12" s="21" t="inlineStr">
        <is>
          <t>ancestor::diggs:measurement//diggs:procedure/diggs:LosAngelesAbrasionTest</t>
        </is>
      </c>
    </row>
    <row r="13">
      <c r="A13">
        <f>IF(ISNA(VLOOKUP(B13,Definitions!B$2:B$1604,1,FALSE)),"Not listed","")</f>
        <v/>
      </c>
      <c r="B13" t="inlineStr">
        <is>
          <t>aggregate_polished_stone_value</t>
        </is>
      </c>
      <c r="C13" s="4" t="inlineStr">
        <is>
          <t>//diggs:propertyClass</t>
        </is>
      </c>
      <c r="D13" s="21" t="inlineStr">
        <is>
          <t>ancestor::diggs:measurement//diggs:procedure/diggs:AggregatePolishedStoneValueTest</t>
        </is>
      </c>
    </row>
    <row r="14" ht="17" customHeight="1">
      <c r="A14">
        <f>IF(ISNA(VLOOKUP(B14,Definitions!B$2:B$1604,1,FALSE)),"Not listed","")</f>
        <v/>
      </c>
      <c r="B14" s="38" t="inlineStr">
        <is>
          <t>aggregate_soundness_value</t>
        </is>
      </c>
      <c r="C14" s="4" t="inlineStr">
        <is>
          <t>//diggs:propertyClass</t>
        </is>
      </c>
      <c r="D14" s="21" t="inlineStr">
        <is>
          <t>ancestor::diggs:measurement//diggs:procedure/diggs:AggregateSoundnessTest</t>
        </is>
      </c>
    </row>
    <row r="15">
      <c r="A15">
        <f>IF(ISNA(VLOOKUP(B15,Definitions!B$2:B$1604,1,FALSE)),"Not listed","")</f>
        <v/>
      </c>
      <c r="B15" t="inlineStr">
        <is>
          <t>aggregate_water_absorption</t>
        </is>
      </c>
      <c r="C15" s="4" t="inlineStr">
        <is>
          <t>//diggs:propertyClass</t>
        </is>
      </c>
      <c r="D15" s="21" t="inlineStr">
        <is>
          <t>ancestor::diggs:measurement//diggs:procedure/diggs:AggregateWaterAbsorptionTest</t>
        </is>
      </c>
    </row>
    <row r="16" ht="17" customHeight="1">
      <c r="A16">
        <f>IF(ISNA(VLOOKUP(B16,Definitions!B$2:B$1604,1,FALSE)),"Not listed","")</f>
        <v/>
      </c>
      <c r="B16" s="26" t="inlineStr">
        <is>
          <t>b_pressure</t>
        </is>
      </c>
      <c r="C16" s="21" t="inlineStr">
        <is>
          <t>//diggs:propertyClass</t>
        </is>
      </c>
      <c r="D16" s="21" t="inlineStr">
        <is>
          <t>ancestor::diggs:measurement//diggs:procedure/diggs:FlatPlateDilatometerTest</t>
        </is>
      </c>
    </row>
    <row r="17">
      <c r="A17">
        <f>IF(ISNA(VLOOKUP(B17,Definitions!B$2:B$1604,1,FALSE)),"Not listed","")</f>
        <v/>
      </c>
      <c r="B17" t="inlineStr">
        <is>
          <t>bleed</t>
        </is>
      </c>
      <c r="C17" s="4" t="inlineStr">
        <is>
          <t>//diggs:propertyClass</t>
        </is>
      </c>
      <c r="D17" s="21" t="inlineStr">
        <is>
          <t>ancestor::diggs:measurement//diggs:procedure/diggs:BleedTest</t>
        </is>
      </c>
    </row>
    <row r="18" ht="17" customHeight="1">
      <c r="A18">
        <f>IF(ISNA(VLOOKUP(B18,Definitions!B$2:B$1604,1,FALSE)),"Not listed","")</f>
        <v/>
      </c>
      <c r="B18" s="26" t="inlineStr">
        <is>
          <t>blow_count</t>
        </is>
      </c>
      <c r="C18" s="21" t="inlineStr">
        <is>
          <t>//diggs:propertyClass</t>
        </is>
      </c>
      <c r="D18" s="21" t="inlineStr">
        <is>
          <t>ancestor::diggs:measurement//diggs:procedure/diggs:DynamicProbeTest</t>
        </is>
      </c>
    </row>
    <row r="19" ht="17" customHeight="1">
      <c r="A19">
        <f>IF(ISNA(VLOOKUP(B19,Definitions!B$2:B$1604,1,FALSE)),"Not listed","")</f>
        <v/>
      </c>
      <c r="B19" s="26" t="inlineStr">
        <is>
          <t>bulk_density</t>
        </is>
      </c>
      <c r="C19" s="21" t="inlineStr">
        <is>
          <t>//diggs:propertyClass</t>
        </is>
      </c>
      <c r="D19" s="21" t="inlineStr">
        <is>
          <t>ancestor::diggs:measurement//diggs:procedure/diggs:InsituCBRTest</t>
        </is>
      </c>
    </row>
    <row r="20">
      <c r="A20">
        <f>IF(ISNA(VLOOKUP(B20,Definitions!B$2:B$1604,1,FALSE)),"Not listed","")</f>
        <v/>
      </c>
      <c r="B20" t="inlineStr">
        <is>
          <t>bulk_density</t>
        </is>
      </c>
      <c r="C20" s="4" t="inlineStr">
        <is>
          <t>//diggs:propertyClass</t>
        </is>
      </c>
      <c r="D20" s="21" t="inlineStr">
        <is>
          <t>ancestor::diggs:measurement//diggs:procedure/diggs:InsituDensityTest</t>
        </is>
      </c>
    </row>
    <row r="21" ht="17" customHeight="1">
      <c r="A21">
        <f>IF(ISNA(VLOOKUP(B21,Definitions!B$2:B$1604,1,FALSE)),"Not listed","")</f>
        <v/>
      </c>
      <c r="B21" s="26" t="inlineStr">
        <is>
          <t>bulk_density</t>
        </is>
      </c>
      <c r="C21" s="21" t="inlineStr">
        <is>
          <t>//diggs:propertyClass</t>
        </is>
      </c>
      <c r="D21" s="21" t="inlineStr">
        <is>
          <t>ancestor::diggs:measurement//diggs:procedure/diggs:LabCBRTest</t>
        </is>
      </c>
    </row>
    <row r="22" ht="17" customHeight="1">
      <c r="A22">
        <f>IF(ISNA(VLOOKUP(B22,Definitions!B$2:B$1604,1,FALSE)),"Not listed","")</f>
        <v/>
      </c>
      <c r="B22" s="26" t="inlineStr">
        <is>
          <t>bulk_density</t>
        </is>
      </c>
      <c r="C22" s="21" t="inlineStr">
        <is>
          <t>//diggs:propertyClass</t>
        </is>
      </c>
      <c r="D22" s="21" t="inlineStr">
        <is>
          <t>ancestor::diggs:measurement//diggs:procedure/diggs:LabDensityTest</t>
        </is>
      </c>
    </row>
    <row r="23" ht="17" customHeight="1">
      <c r="A23">
        <f>IF(ISNA(VLOOKUP([1]AssociatedElements!B279,Definitions!B$2:B$1604,1,FALSE)),"Not listed","")</f>
        <v/>
      </c>
      <c r="B23" s="11" t="inlineStr">
        <is>
          <t>bulk_density_true</t>
        </is>
      </c>
      <c r="C23" s="4" t="inlineStr">
        <is>
          <t>//diggs:propertyClass</t>
        </is>
      </c>
      <c r="D23" s="21" t="inlineStr">
        <is>
          <t>ancestor::diggs:measurement//diggs:procedure/diggs:InsituCBRTest</t>
        </is>
      </c>
    </row>
    <row r="24" ht="17" customHeight="1">
      <c r="A24">
        <f>IF(ISNA(VLOOKUP([1]AssociatedElements!B280,Definitions!B$2:B$1604,1,FALSE)),"Not listed","")</f>
        <v/>
      </c>
      <c r="B24" s="11" t="inlineStr">
        <is>
          <t>bulk_density_true</t>
        </is>
      </c>
      <c r="C24" s="4" t="inlineStr">
        <is>
          <t>//diggs:propertyClass</t>
        </is>
      </c>
      <c r="D24" s="21" t="inlineStr">
        <is>
          <t>ancestor::diggs:measurement//diggs:procedure/diggs:InsituDensityTest</t>
        </is>
      </c>
    </row>
    <row r="25" ht="17" customHeight="1">
      <c r="A25">
        <f>IF(ISNA(VLOOKUP([1]AssociatedElements!B281,Definitions!B$2:B$1604,1,FALSE)),"Not listed","")</f>
        <v/>
      </c>
      <c r="B25" s="11" t="inlineStr">
        <is>
          <t>bulk_density_true</t>
        </is>
      </c>
      <c r="C25" s="4" t="inlineStr">
        <is>
          <t>//diggs:propertyClass</t>
        </is>
      </c>
      <c r="D25" s="21" t="inlineStr">
        <is>
          <t>ancestor::diggs:measurement//diggs:procedure/diggs:LabCBRTest</t>
        </is>
      </c>
    </row>
    <row r="26" ht="17" customHeight="1">
      <c r="A26">
        <f>IF(ISNA(VLOOKUP([1]AssociatedElements!B282,Definitions!B$2:B$1604,1,FALSE)),"Not listed","")</f>
        <v/>
      </c>
      <c r="B26" s="11" t="inlineStr">
        <is>
          <t>bulk_density_true</t>
        </is>
      </c>
      <c r="C26" s="4" t="inlineStr">
        <is>
          <t>//diggs:propertyClass</t>
        </is>
      </c>
      <c r="D26" s="21" t="inlineStr">
        <is>
          <t>ancestor::diggs:measurement//diggs:procedure/diggs:LabDensityTest</t>
        </is>
      </c>
    </row>
    <row r="27" ht="17" customHeight="1">
      <c r="A27">
        <f>IF(ISNA(VLOOKUP(B27,Definitions!B$2:B$1604,1,FALSE)),"Not listed","")</f>
        <v/>
      </c>
      <c r="B27" s="26" t="inlineStr">
        <is>
          <t>c_pressure</t>
        </is>
      </c>
      <c r="C27" s="21" t="inlineStr">
        <is>
          <t>//diggs:propertyClass</t>
        </is>
      </c>
      <c r="D27" s="21" t="inlineStr">
        <is>
          <t>ancestor::diggs:measurement//diggs:procedure/diggs:FlatPlateDilatometerTest</t>
        </is>
      </c>
    </row>
    <row r="28" ht="17" customHeight="1">
      <c r="A28">
        <f>IF(ISNA(VLOOKUP([1]AssociatedElements!B289,Definitions!B$2:B$1604,1,FALSE)),"Not listed","")</f>
        <v/>
      </c>
      <c r="B28" s="38" t="inlineStr">
        <is>
          <t>c_value</t>
        </is>
      </c>
      <c r="C28" s="4" t="inlineStr">
        <is>
          <t>//diggs:propertyClass</t>
        </is>
      </c>
      <c r="D28" s="21" t="inlineStr">
        <is>
          <t>ancestor::diggs:measurement//diggs:procedure/diggs:LabCompactionTest</t>
        </is>
      </c>
    </row>
    <row r="29" ht="17" customHeight="1">
      <c r="A29">
        <f>IF(ISNA(VLOOKUP(B29,Definitions!B$2:B$1604,1,FALSE)),"Not listed","")</f>
        <v/>
      </c>
      <c r="B29" s="26" t="inlineStr">
        <is>
          <t>cbr_0.1</t>
        </is>
      </c>
      <c r="C29" s="21" t="inlineStr">
        <is>
          <t>//diggs:propertyClass</t>
        </is>
      </c>
      <c r="D29" s="21" t="inlineStr">
        <is>
          <t>ancestor::diggs:measurement//diggs:procedure/diggs:InsituCBRTest</t>
        </is>
      </c>
    </row>
    <row r="30" ht="17" customHeight="1">
      <c r="A30">
        <f>IF(ISNA(VLOOKUP(B30,Definitions!B$2:B$1604,1,FALSE)),"Not listed","")</f>
        <v/>
      </c>
      <c r="B30" s="26" t="inlineStr">
        <is>
          <t>cbr_0.1</t>
        </is>
      </c>
      <c r="C30" s="21" t="inlineStr">
        <is>
          <t>//diggs:propertyClass</t>
        </is>
      </c>
      <c r="D30" s="21" t="inlineStr">
        <is>
          <t>ancestor::diggs:measurement//diggs:procedure/diggs:LabCBRTest</t>
        </is>
      </c>
    </row>
    <row r="31" ht="17" customHeight="1">
      <c r="A31">
        <f>IF(ISNA(VLOOKUP(B31,Definitions!B$2:B$1604,1,FALSE)),"Not listed","")</f>
        <v/>
      </c>
      <c r="B31" s="26" t="inlineStr">
        <is>
          <t>cbr_0.2</t>
        </is>
      </c>
      <c r="C31" s="21" t="inlineStr">
        <is>
          <t>//diggs:propertyClass</t>
        </is>
      </c>
      <c r="D31" s="21" t="inlineStr">
        <is>
          <t>ancestor::diggs:measurement//diggs:procedure/diggs:InsituCBRTest</t>
        </is>
      </c>
    </row>
    <row r="32" ht="17" customHeight="1">
      <c r="A32">
        <f>IF(ISNA(VLOOKUP(B32,Definitions!B$2:B$1604,1,FALSE)),"Not listed","")</f>
        <v/>
      </c>
      <c r="B32" s="26" t="inlineStr">
        <is>
          <t>cbr_0.2</t>
        </is>
      </c>
      <c r="C32" s="21" t="inlineStr">
        <is>
          <t>//diggs:propertyClass</t>
        </is>
      </c>
      <c r="D32" s="21" t="inlineStr">
        <is>
          <t>ancestor::diggs:measurement//diggs:procedure/diggs:LabCBRTest</t>
        </is>
      </c>
    </row>
    <row r="33">
      <c r="A33">
        <f>IF(ISNA(VLOOKUP(B33,Definitions!B$2:B$1604,1,FALSE)),"Not listed","")</f>
        <v/>
      </c>
      <c r="B33" t="inlineStr">
        <is>
          <t>chalk_crushing_value</t>
        </is>
      </c>
      <c r="C33" s="4" t="inlineStr">
        <is>
          <t>//diggs:propertyClass</t>
        </is>
      </c>
      <c r="D33" s="21" t="inlineStr">
        <is>
          <t>ancestor::diggs:measurement//diggs:procedure/diggs:ChalkCrushingValueTest</t>
        </is>
      </c>
    </row>
    <row r="34" ht="17" customHeight="1">
      <c r="A34">
        <f>IF(ISNA(VLOOKUP(B34,Definitions!B$2:B$1604,1,FALSE)),"Not listed","")</f>
        <v/>
      </c>
      <c r="B34" s="26" t="inlineStr">
        <is>
          <t>chloride_content</t>
        </is>
      </c>
      <c r="C34" s="21" t="inlineStr">
        <is>
          <t>//diggs:propertyClass</t>
        </is>
      </c>
      <c r="D34" s="21" t="inlineStr">
        <is>
          <t>ancestor::diggs:measurement//diggs:procedure/diggs:LabChemicalTest</t>
        </is>
      </c>
    </row>
    <row r="35" ht="17" customHeight="1">
      <c r="A35">
        <f>IF(ISNA(VLOOKUP(B35,Definitions!B$2:B$1604,1,FALSE)),"Not listed","")</f>
        <v/>
      </c>
      <c r="B35" s="26" t="inlineStr">
        <is>
          <t>clay_percent_2_micron</t>
        </is>
      </c>
      <c r="C35" s="21" t="inlineStr">
        <is>
          <t>//diggs:propertyClass</t>
        </is>
      </c>
      <c r="D35" s="21" t="inlineStr">
        <is>
          <t>ancestor::diggs:measurement//diggs:procedure/diggs:ParticleSizeTest</t>
        </is>
      </c>
    </row>
    <row r="36" ht="17" customHeight="1">
      <c r="A36">
        <f>IF(ISNA(VLOOKUP(B36,Definitions!B$2:B$1604,1,FALSE)),"Not listed","")</f>
        <v/>
      </c>
      <c r="B36" s="26" t="inlineStr">
        <is>
          <t>clay_percent_5_micron</t>
        </is>
      </c>
      <c r="C36" s="21" t="inlineStr">
        <is>
          <t>//diggs:propertyClass</t>
        </is>
      </c>
      <c r="D36" s="21" t="inlineStr">
        <is>
          <t>ancestor::diggs:measurement//diggs:procedure/diggs:ParticleSizeTest</t>
        </is>
      </c>
    </row>
    <row r="37" ht="17" customHeight="1">
      <c r="A37">
        <f>IF(ISNA(VLOOKUP(B37,Definitions!B$2:B$1604,1,FALSE)),"Not listed","")</f>
        <v/>
      </c>
      <c r="B37" s="26" t="inlineStr">
        <is>
          <t>coef_consolidation_horiz</t>
        </is>
      </c>
      <c r="C37" s="21" t="inlineStr">
        <is>
          <t>//diggs:propertyClass</t>
        </is>
      </c>
      <c r="D37" s="21" t="inlineStr">
        <is>
          <t>ancestor::diggs:measurement//diggs:procedure/diggs:FlatPlateDilatometerTest</t>
        </is>
      </c>
    </row>
    <row r="38" ht="17" customHeight="1">
      <c r="A38">
        <f>IF(ISNA(VLOOKUP(B38,Definitions!B$2:B$1604,1,FALSE)),"Not listed","")</f>
        <v/>
      </c>
      <c r="B38" s="26" t="inlineStr">
        <is>
          <t>coef_consolidation_horiz</t>
        </is>
      </c>
      <c r="C38" s="21" t="inlineStr">
        <is>
          <t>//diggs:propertyClass</t>
        </is>
      </c>
      <c r="D38" s="21" t="inlineStr">
        <is>
          <t>ancestor::diggs:measurement//diggs:procedure/diggs:PorePressureDissipationTest</t>
        </is>
      </c>
    </row>
    <row r="39" ht="17" customHeight="1">
      <c r="A39">
        <f>IF(ISNA(VLOOKUP(B39,Definitions!B$2:B$1604,1,FALSE)),"Not listed","")</f>
        <v/>
      </c>
      <c r="B39" s="26" t="inlineStr">
        <is>
          <t>coef_consolidation_vertical</t>
        </is>
      </c>
      <c r="C39" s="21" t="inlineStr">
        <is>
          <t>//diggs:propertyClass</t>
        </is>
      </c>
      <c r="D39" s="21" t="inlineStr">
        <is>
          <t>ancestor::diggs:measurement//diggs:procedure/diggs:ConsolidationTest</t>
        </is>
      </c>
    </row>
    <row r="40" ht="17" customHeight="1">
      <c r="A40">
        <f>IF(ISNA(VLOOKUP(B40,Definitions!B$2:B$1604,1,FALSE)),"Not listed","")</f>
        <v/>
      </c>
      <c r="B40" s="26" t="inlineStr">
        <is>
          <t>coef_curvature</t>
        </is>
      </c>
      <c r="C40" s="21" t="inlineStr">
        <is>
          <t>//diggs:propertyClass</t>
        </is>
      </c>
      <c r="D40" s="21" t="inlineStr">
        <is>
          <t>ancestor::diggs:measurement//diggs:procedure/diggs:MaterialGradationTest</t>
        </is>
      </c>
    </row>
    <row r="41" ht="17" customHeight="1">
      <c r="A41">
        <f>IF(ISNA(VLOOKUP(B41,Definitions!B$2:B$1604,1,FALSE)),"Not listed","")</f>
        <v/>
      </c>
      <c r="B41" s="26" t="inlineStr">
        <is>
          <t>coef_curvature</t>
        </is>
      </c>
      <c r="C41" s="21" t="inlineStr">
        <is>
          <t>//diggs:propertyClass</t>
        </is>
      </c>
      <c r="D41" s="21" t="inlineStr">
        <is>
          <t>ancestor::diggs:measurement//diggs:procedure/diggs:ParticleSizeTest</t>
        </is>
      </c>
    </row>
    <row r="42" ht="17" customHeight="1">
      <c r="A42">
        <f>IF(ISNA(VLOOKUP(B42,Definitions!B$2:B$1604,1,FALSE)),"Not listed","")</f>
        <v/>
      </c>
      <c r="B42" s="26" t="inlineStr">
        <is>
          <t>coef_earth_pressure</t>
        </is>
      </c>
      <c r="C42" s="21" t="inlineStr">
        <is>
          <t>//diggs:propertyClass</t>
        </is>
      </c>
      <c r="D42" s="21" t="inlineStr">
        <is>
          <t>ancestor::diggs:measurement//diggs:procedure/diggs:FlatPlateDilatometerTest</t>
        </is>
      </c>
    </row>
    <row r="43">
      <c r="A43">
        <f>IF(ISNA(VLOOKUP(B43,Definitions!B$2:B$1604,1,FALSE)),"Not listed","")</f>
        <v/>
      </c>
      <c r="B43" t="inlineStr">
        <is>
          <t>coef_earth_pressure</t>
        </is>
      </c>
      <c r="C43" s="4" t="inlineStr">
        <is>
          <t>//diggs:propertyClass</t>
        </is>
      </c>
      <c r="D43" s="21" t="inlineStr">
        <is>
          <t>ancestor::diggs:measurement//diggs:procedure/diggs:PressuremeterTest</t>
        </is>
      </c>
    </row>
    <row r="44">
      <c r="A44">
        <f>IF(ISNA(VLOOKUP(B44,Definitions!B$2:B$1604,1,FALSE)),"Not listed","")</f>
        <v/>
      </c>
      <c r="B44" t="inlineStr">
        <is>
          <t>coef_permeability</t>
        </is>
      </c>
      <c r="C44" s="4" t="inlineStr">
        <is>
          <t>//diggs:propertyClass</t>
        </is>
      </c>
      <c r="D44" s="21" t="inlineStr">
        <is>
          <t>ancestor::diggs:measurement//diggs:procedure/diggs:InsituPermeabilityTest</t>
        </is>
      </c>
    </row>
    <row r="45" ht="17" customHeight="1">
      <c r="A45">
        <f>IF(ISNA(VLOOKUP(B45,Definitions!B$2:B$1604,1,FALSE)),"Not listed","")</f>
        <v/>
      </c>
      <c r="B45" s="26" t="inlineStr">
        <is>
          <t>coef_permeability</t>
        </is>
      </c>
      <c r="C45" s="21" t="inlineStr">
        <is>
          <t>//diggs:propertyClass</t>
        </is>
      </c>
      <c r="D45" s="21" t="inlineStr">
        <is>
          <t>ancestor::diggs:measurement//diggs:procedure/diggs:LabPermeabilityTest</t>
        </is>
      </c>
    </row>
    <row r="46">
      <c r="A46">
        <f>IF(ISNA(VLOOKUP(B46,Definitions!B$2:B$1604,1,FALSE)),"Not listed","")</f>
        <v/>
      </c>
      <c r="B46" t="inlineStr">
        <is>
          <t>coef_permeability</t>
        </is>
      </c>
      <c r="C46" s="4" t="inlineStr">
        <is>
          <t>//diggs:propertyClass</t>
        </is>
      </c>
      <c r="D46" s="21" t="inlineStr">
        <is>
          <t>ancestor::diggs:measurement//diggs:procedure/diggs:PumpingTest</t>
        </is>
      </c>
    </row>
    <row r="47" ht="17" customHeight="1">
      <c r="A47">
        <f>IF(ISNA(VLOOKUP(B47,Definitions!B$2:B$1604,1,FALSE)),"Not listed","")</f>
        <v/>
      </c>
      <c r="B47" s="26" t="inlineStr">
        <is>
          <t>coef_permeability</t>
        </is>
      </c>
      <c r="C47" s="21" t="inlineStr">
        <is>
          <t>//diggs:propertyClass</t>
        </is>
      </c>
      <c r="D47" s="21" t="inlineStr">
        <is>
          <t>ancestor::diggs:measurement//diggs:procedure/diggs:StaticConePenetrationTest</t>
        </is>
      </c>
    </row>
    <row r="48" ht="17" customHeight="1">
      <c r="A48">
        <f>IF(ISNA(VLOOKUP(B48,Definitions!B$2:B$1604,1,FALSE)),"Not listed","")</f>
        <v/>
      </c>
      <c r="B48" s="26" t="inlineStr">
        <is>
          <t>coef_permeability_corrected</t>
        </is>
      </c>
      <c r="C48" s="21" t="inlineStr">
        <is>
          <t>//diggs:propertyClass</t>
        </is>
      </c>
      <c r="D48" s="21" t="inlineStr">
        <is>
          <t>ancestor::diggs:measurement//diggs:procedure/diggs:LabPermeabilityTest</t>
        </is>
      </c>
    </row>
    <row r="49">
      <c r="A49">
        <f>IF(ISNA(VLOOKUP(B49,Definitions!B$2:B$1604,1,FALSE)),"Not listed","")</f>
        <v/>
      </c>
      <c r="B49" t="inlineStr">
        <is>
          <t>coef_permeability_horiz</t>
        </is>
      </c>
      <c r="C49" s="4" t="inlineStr">
        <is>
          <t>//diggs:propertyClass</t>
        </is>
      </c>
      <c r="D49" s="21" t="inlineStr">
        <is>
          <t>ancestor::diggs:measurement//diggs:procedure/diggs:InsituPermeabilityTest</t>
        </is>
      </c>
    </row>
    <row r="50" ht="17" customHeight="1">
      <c r="A50">
        <f>IF(ISNA(VLOOKUP(B50,Definitions!B$2:B$1604,1,FALSE)),"Not listed","")</f>
        <v/>
      </c>
      <c r="B50" s="26" t="inlineStr">
        <is>
          <t>coef_permeability_horiz</t>
        </is>
      </c>
      <c r="C50" s="21" t="inlineStr">
        <is>
          <t>//diggs:propertyClass</t>
        </is>
      </c>
      <c r="D50" s="21" t="inlineStr">
        <is>
          <t>ancestor::diggs:measurement//diggs:procedure/diggs:LabPermeabilityTest</t>
        </is>
      </c>
    </row>
    <row r="51" ht="17" customHeight="1">
      <c r="A51">
        <f>IF(ISNA(VLOOKUP(B51,Definitions!B$2:B$1604,1,FALSE)),"Not listed","")</f>
        <v/>
      </c>
      <c r="B51" s="26" t="inlineStr">
        <is>
          <t>coef_permeability_horiz</t>
        </is>
      </c>
      <c r="C51" s="21" t="inlineStr">
        <is>
          <t>//diggs:propertyClass</t>
        </is>
      </c>
      <c r="D51" s="21" t="inlineStr">
        <is>
          <t>ancestor::diggs:measurement//diggs:procedure/diggs:PorePressureDissipationTest</t>
        </is>
      </c>
    </row>
    <row r="52">
      <c r="A52">
        <f>IF(ISNA(VLOOKUP(B52,Definitions!B$2:B$1604,1,FALSE)),"Not listed","")</f>
        <v/>
      </c>
      <c r="B52" t="inlineStr">
        <is>
          <t>coef_permeability_horiz</t>
        </is>
      </c>
      <c r="C52" s="4" t="inlineStr">
        <is>
          <t>//diggs:propertyClass</t>
        </is>
      </c>
      <c r="D52" s="21" t="inlineStr">
        <is>
          <t>ancestor::diggs:measurement//diggs:procedure/diggs:PumpingTest</t>
        </is>
      </c>
    </row>
    <row r="53" ht="17" customHeight="1">
      <c r="A53">
        <f>IF(ISNA(VLOOKUP(B53,Definitions!B$2:B$1604,1,FALSE)),"Not listed","")</f>
        <v/>
      </c>
      <c r="B53" s="26" t="inlineStr">
        <is>
          <t>coef_permeability_horiz</t>
        </is>
      </c>
      <c r="C53" s="21" t="inlineStr">
        <is>
          <t>//diggs:propertyClass</t>
        </is>
      </c>
      <c r="D53" s="21" t="inlineStr">
        <is>
          <t>ancestor::diggs:measurement//diggs:procedure/diggs:StaticConePenetrationTest</t>
        </is>
      </c>
    </row>
    <row r="54">
      <c r="A54">
        <f>IF(ISNA(VLOOKUP(B54,Definitions!B$2:B$1604,1,FALSE)),"Not listed","")</f>
        <v/>
      </c>
      <c r="B54" t="inlineStr">
        <is>
          <t>coef_permeability_vert</t>
        </is>
      </c>
      <c r="C54" s="4" t="inlineStr">
        <is>
          <t>//diggs:propertyClass</t>
        </is>
      </c>
      <c r="D54" s="21" t="inlineStr">
        <is>
          <t>ancestor::diggs:measurement//diggs:procedure/diggs:InsituPermeabilityTest</t>
        </is>
      </c>
    </row>
    <row r="55" ht="17" customHeight="1">
      <c r="A55">
        <f>IF(ISNA(VLOOKUP(B55,Definitions!B$2:B$1604,1,FALSE)),"Not listed","")</f>
        <v/>
      </c>
      <c r="B55" s="26" t="inlineStr">
        <is>
          <t>coef_permeability_vert</t>
        </is>
      </c>
      <c r="C55" s="21" t="inlineStr">
        <is>
          <t>//diggs:propertyClass</t>
        </is>
      </c>
      <c r="D55" s="21" t="inlineStr">
        <is>
          <t>ancestor::diggs:measurement//diggs:procedure/diggs:LabPermeabilityTest</t>
        </is>
      </c>
    </row>
    <row r="56">
      <c r="A56">
        <f>IF(ISNA(VLOOKUP(B56,Definitions!B$2:B$1604,1,FALSE)),"Not listed","")</f>
        <v/>
      </c>
      <c r="B56" t="inlineStr">
        <is>
          <t>coef_permeability_vert</t>
        </is>
      </c>
      <c r="C56" s="4" t="inlineStr">
        <is>
          <t>//diggs:propertyClass</t>
        </is>
      </c>
      <c r="D56" s="21" t="inlineStr">
        <is>
          <t>ancestor::diggs:measurement//diggs:procedure/diggs:PumpingTest</t>
        </is>
      </c>
    </row>
    <row r="57" ht="17" customHeight="1">
      <c r="A57">
        <f>IF(ISNA(VLOOKUP(B57,Definitions!B$2:B$1604,1,FALSE)),"Not listed","")</f>
        <v/>
      </c>
      <c r="B57" s="26" t="inlineStr">
        <is>
          <t>coef_permeability_vert</t>
        </is>
      </c>
      <c r="C57" s="21" t="inlineStr">
        <is>
          <t>//diggs:propertyClass</t>
        </is>
      </c>
      <c r="D57" s="21" t="inlineStr">
        <is>
          <t>ancestor::diggs:measurement//diggs:procedure/diggs:StaticConePenetrationTest</t>
        </is>
      </c>
    </row>
    <row r="58" ht="17" customHeight="1">
      <c r="A58">
        <f>IF(ISNA(VLOOKUP(B58,Definitions!B$2:B$1604,1,FALSE)),"Not listed","")</f>
        <v/>
      </c>
      <c r="B58" s="26" t="inlineStr">
        <is>
          <t>coef_uniformity</t>
        </is>
      </c>
      <c r="C58" s="21" t="inlineStr">
        <is>
          <t>//diggs:propertyClass</t>
        </is>
      </c>
      <c r="D58" s="21" t="inlineStr">
        <is>
          <t>ancestor::diggs:measurement//diggs:procedure/diggs:MaterialGradationTest</t>
        </is>
      </c>
    </row>
    <row r="59" ht="17" customHeight="1">
      <c r="A59">
        <f>IF(ISNA(VLOOKUP(B59,Definitions!B$2:B$1604,1,FALSE)),"Not listed","")</f>
        <v/>
      </c>
      <c r="B59" s="26" t="inlineStr">
        <is>
          <t>coef_uniformity</t>
        </is>
      </c>
      <c r="C59" s="21" t="inlineStr">
        <is>
          <t>//diggs:propertyClass</t>
        </is>
      </c>
      <c r="D59" s="21" t="inlineStr">
        <is>
          <t>ancestor::diggs:measurement//diggs:procedure/diggs:ParticleSizeTest</t>
        </is>
      </c>
    </row>
    <row r="60" ht="17" customHeight="1">
      <c r="A60">
        <f>IF(ISNA(VLOOKUP(B60,Definitions!B$2:B$1604,1,FALSE)),"Not listed","")</f>
        <v/>
      </c>
      <c r="B60" s="26" t="inlineStr">
        <is>
          <t>cohesion_peak</t>
        </is>
      </c>
      <c r="C60" s="21" t="inlineStr">
        <is>
          <t>//diggs:propertyClass</t>
        </is>
      </c>
      <c r="D60" s="21" t="inlineStr">
        <is>
          <t>ancestor::diggs:measurement//diggs:procedure/diggs:DirectShearTest</t>
        </is>
      </c>
    </row>
    <row r="61" ht="17" customHeight="1">
      <c r="A61">
        <f>IF(ISNA(VLOOKUP(B61,Definitions!B$2:B$1604,1,FALSE)),"Not listed","")</f>
        <v/>
      </c>
      <c r="B61" t="inlineStr">
        <is>
          <t>cohesion_peak</t>
        </is>
      </c>
      <c r="C61" t="inlineStr">
        <is>
          <t>//diggs:propertyClass</t>
        </is>
      </c>
      <c r="D61" t="inlineStr">
        <is>
          <t>ancestor::diggs:measurement//diggs:procedure/diggs:TriaxialTest</t>
        </is>
      </c>
    </row>
    <row r="62" ht="17" customHeight="1">
      <c r="A62">
        <f>IF(ISNA(VLOOKUP(B61,Definitions!B$2:B$1604,1,FALSE)),"Not listed","")</f>
        <v/>
      </c>
      <c r="B62" s="26" t="inlineStr">
        <is>
          <t>cohesion_residual</t>
        </is>
      </c>
      <c r="C62" s="21" t="inlineStr">
        <is>
          <t>//diggs:propertyClass</t>
        </is>
      </c>
      <c r="D62" s="21" t="inlineStr">
        <is>
          <t>ancestor::diggs:measurement//diggs:procedure/diggs:DirectShearTest</t>
        </is>
      </c>
    </row>
    <row r="63" ht="17" customHeight="1">
      <c r="A63">
        <f>IF(ISNA(VLOOKUP(B62,Definitions!B$2:B$1604,1,FALSE)),"Not listed","")</f>
        <v/>
      </c>
      <c r="B63" t="inlineStr">
        <is>
          <t>cohesion_residual</t>
        </is>
      </c>
      <c r="C63" t="inlineStr">
        <is>
          <t>//diggs:propertyClass</t>
        </is>
      </c>
      <c r="D63" t="inlineStr">
        <is>
          <t>ancestor::diggs:measurement//diggs:procedure/diggs:TriaxialTest</t>
        </is>
      </c>
    </row>
    <row r="64" ht="17" customHeight="1">
      <c r="A64">
        <f>IF(ISNA(VLOOKUP(B62,Definitions!B$2:B$1604,1,FALSE)),"Not listed","")</f>
        <v/>
      </c>
      <c r="B64" s="26" t="inlineStr">
        <is>
          <t>colloid_percent</t>
        </is>
      </c>
      <c r="C64" s="21" t="inlineStr">
        <is>
          <t>//diggs:propertyClass</t>
        </is>
      </c>
      <c r="D64" s="21" t="inlineStr">
        <is>
          <t>ancestor::diggs:measurement//diggs:procedure/diggs:ParticleSizeTest</t>
        </is>
      </c>
    </row>
    <row r="65" ht="17" customHeight="1">
      <c r="A65">
        <f>IF(ISNA(VLOOKUP(B63,Definitions!B$2:B$1604,1,FALSE)),"Not listed","")</f>
        <v/>
      </c>
      <c r="B65" s="26" t="inlineStr">
        <is>
          <t>compression_index</t>
        </is>
      </c>
      <c r="C65" s="21" t="inlineStr">
        <is>
          <t>//diggs:propertyClass</t>
        </is>
      </c>
      <c r="D65" s="21" t="inlineStr">
        <is>
          <t>ancestor::diggs:measurement//diggs:procedure/diggs:ConsolidationTest</t>
        </is>
      </c>
    </row>
    <row r="66" ht="17" customHeight="1">
      <c r="A66">
        <f>IF(ISNA(VLOOKUP(B64,Definitions!B$2:B$1604,1,FALSE)),"Not listed","")</f>
        <v/>
      </c>
      <c r="B66" s="38" t="inlineStr">
        <is>
          <t>compressive_strength_unconfined</t>
        </is>
      </c>
      <c r="C66" s="4" t="inlineStr">
        <is>
          <t>//diggs:propertyClass</t>
        </is>
      </c>
      <c r="D66" s="21" t="inlineStr">
        <is>
          <t>ancestor::diggs:measurement//diggs:procedure/diggs:InSituPenetrometerTest</t>
        </is>
      </c>
    </row>
    <row r="67" ht="17" customHeight="1">
      <c r="A67">
        <f>IF(ISNA(VLOOKUP(B65,Definitions!B$2:B$1604,1,FALSE)),"Not listed","")</f>
        <v/>
      </c>
      <c r="B67" t="inlineStr">
        <is>
          <t>compressive_strength_unconfined</t>
        </is>
      </c>
      <c r="C67" s="4" t="inlineStr">
        <is>
          <t>//diggs:propertyClass</t>
        </is>
      </c>
      <c r="D67" s="21" t="inlineStr">
        <is>
          <t>ancestor::diggs:measurement//diggs:procedure/diggs:LabPenetrometerTest</t>
        </is>
      </c>
    </row>
    <row r="68" ht="17" customHeight="1">
      <c r="A68">
        <f>IF(ISNA(VLOOKUP(B66,Definitions!B$2:B$1604,1,FALSE)),"Not listed","")</f>
        <v/>
      </c>
      <c r="B68" s="26" t="inlineStr">
        <is>
          <t>compressive_strength_unconfined</t>
        </is>
      </c>
      <c r="C68" s="21" t="inlineStr">
        <is>
          <t>//diggs:propertyClass</t>
        </is>
      </c>
      <c r="D68" s="30" t="inlineStr">
        <is>
          <t>ancestor::diggs:measurement//diggs:procedure/diggs:PocketPenetrometerTest</t>
        </is>
      </c>
    </row>
    <row r="69" ht="17" customHeight="1">
      <c r="A69">
        <f>IF(ISNA(VLOOKUP(B67,Definitions!B$2:B$1604,1,FALSE)),"Not listed","")</f>
        <v/>
      </c>
      <c r="B69" s="26" t="inlineStr">
        <is>
          <t>compressive_strength_unconfined</t>
        </is>
      </c>
      <c r="C69" s="21" t="inlineStr">
        <is>
          <t>//diggs:propertyClass</t>
        </is>
      </c>
      <c r="D69" s="21" t="inlineStr">
        <is>
          <t>ancestor::diggs:measurement//diggs:procedure/diggs:UnconfinedCompressiveStrengthTest</t>
        </is>
      </c>
    </row>
    <row r="70" ht="17" customHeight="1">
      <c r="A70">
        <f>IF(ISNA(VLOOKUP(B68,Definitions!B$2:B$1604,1,FALSE)),"Not listed","")</f>
        <v/>
      </c>
      <c r="B70" s="26" t="inlineStr">
        <is>
          <t>conductivity</t>
        </is>
      </c>
      <c r="C70" s="21" t="inlineStr">
        <is>
          <t>//diggs:propertyClass</t>
        </is>
      </c>
      <c r="D70" s="21" t="inlineStr">
        <is>
          <t>ancestor::diggs:measurement//diggs:procedure/diggs:StaticConePenetrationTest</t>
        </is>
      </c>
    </row>
    <row r="71" ht="17" customHeight="1">
      <c r="A71">
        <f>IF(ISNA(VLOOKUP(B69,Definitions!B$2:B$1604,1,FALSE)),"Not listed","")</f>
        <v/>
      </c>
      <c r="B71" s="26" t="inlineStr">
        <is>
          <t>consistency_index</t>
        </is>
      </c>
      <c r="C71" s="21" t="inlineStr">
        <is>
          <t>//diggs:propertyClass</t>
        </is>
      </c>
      <c r="D71" s="21" t="inlineStr">
        <is>
          <t>ancestor::diggs:measurement//diggs:procedure/diggs:AtterbergLimitsTest</t>
        </is>
      </c>
    </row>
    <row r="72" ht="17" customHeight="1">
      <c r="A72">
        <f>IF(ISNA(VLOOKUP(B70,Definitions!B$2:B$1604,1,FALSE)),"Not listed","")</f>
        <v/>
      </c>
      <c r="B72" s="26" t="inlineStr">
        <is>
          <t>consistency_index</t>
        </is>
      </c>
      <c r="C72" s="21" t="inlineStr">
        <is>
          <t>//diggs:propertyClass</t>
        </is>
      </c>
      <c r="D72" s="21" t="inlineStr">
        <is>
          <t>ancestor::diggs:measurement//diggs:procedure/diggs:WaterContentTest</t>
        </is>
      </c>
    </row>
    <row r="73" ht="17" customHeight="1">
      <c r="A73">
        <f>IF(ISNA(VLOOKUP(B71,Definitions!B$2:B$1604,1,FALSE)),"Not listed","")</f>
        <v/>
      </c>
      <c r="B73" s="26" t="inlineStr">
        <is>
          <t>constrained_vert_modulus</t>
        </is>
      </c>
      <c r="C73" s="21" t="inlineStr">
        <is>
          <t>//diggs:propertyClass</t>
        </is>
      </c>
      <c r="D73" s="21" t="inlineStr">
        <is>
          <t>ancestor::diggs:measurement//diggs:procedure/diggs:ConsolidationTest</t>
        </is>
      </c>
    </row>
    <row r="74" ht="17" customHeight="1">
      <c r="A74">
        <f>IF(ISNA(VLOOKUP(B72,Definitions!B$2:B$1604,1,FALSE)),"Not listed","")</f>
        <v/>
      </c>
      <c r="B74" s="26" t="inlineStr">
        <is>
          <t>constrained_vert_modulus</t>
        </is>
      </c>
      <c r="C74" s="21" t="inlineStr">
        <is>
          <t>//diggs:propertyClass</t>
        </is>
      </c>
      <c r="D74" s="21" t="inlineStr">
        <is>
          <t>ancestor::diggs:measurement//diggs:procedure/diggs:FlatPlateDilatometerTest</t>
        </is>
      </c>
    </row>
    <row r="75" ht="17" customHeight="1">
      <c r="A75">
        <f>IF(ISNA(VLOOKUP([1]AssociatedElements!B288,Definitions!B$2:B$1604,1,FALSE)),"Not listed","")</f>
        <v/>
      </c>
      <c r="B75" s="38" t="inlineStr">
        <is>
          <t>d_value</t>
        </is>
      </c>
      <c r="C75" s="4" t="inlineStr">
        <is>
          <t>//diggs:propertyClass</t>
        </is>
      </c>
      <c r="D75" s="21" t="inlineStr">
        <is>
          <t>ancestor::diggs:measurement//diggs:procedure/diggs:LabCompactionTest</t>
        </is>
      </c>
    </row>
    <row r="76" ht="17" customHeight="1">
      <c r="A76">
        <f>IF(ISNA(VLOOKUP(B74,Definitions!B$2:B$1604,1,FALSE)),"Not listed","")</f>
        <v/>
      </c>
      <c r="B76" s="26" t="inlineStr">
        <is>
          <t>d10</t>
        </is>
      </c>
      <c r="C76" s="21" t="inlineStr">
        <is>
          <t>//diggs:propertyClass</t>
        </is>
      </c>
      <c r="D76" s="21" t="inlineStr">
        <is>
          <t>ancestor::diggs:measurement//diggs:procedure/diggs:MaterialGradationTest</t>
        </is>
      </c>
    </row>
    <row r="77" ht="17" customHeight="1">
      <c r="A77">
        <f>IF(ISNA(VLOOKUP(B75,Definitions!B$2:B$1604,1,FALSE)),"Not listed","")</f>
        <v/>
      </c>
      <c r="B77" s="26" t="inlineStr">
        <is>
          <t>d10</t>
        </is>
      </c>
      <c r="C77" s="21" t="inlineStr">
        <is>
          <t>//diggs:propertyClass</t>
        </is>
      </c>
      <c r="D77" s="21" t="inlineStr">
        <is>
          <t>ancestor::diggs:measurement//diggs:procedure/diggs:ParticleSizeTest</t>
        </is>
      </c>
    </row>
    <row r="78" ht="17" customHeight="1">
      <c r="A78">
        <f>IF(ISNA(VLOOKUP(B76,Definitions!B$2:B$1604,1,FALSE)),"Not listed","")</f>
        <v/>
      </c>
      <c r="B78" s="26" t="inlineStr">
        <is>
          <t>d15</t>
        </is>
      </c>
      <c r="C78" s="21" t="inlineStr">
        <is>
          <t>//diggs:propertyClass</t>
        </is>
      </c>
      <c r="D78" s="21" t="inlineStr">
        <is>
          <t>ancestor::diggs:measurement//diggs:procedure/diggs:MaterialGradationTest</t>
        </is>
      </c>
    </row>
    <row r="79" ht="17" customHeight="1">
      <c r="A79">
        <f>IF(ISNA(VLOOKUP(B77,Definitions!B$2:B$1604,1,FALSE)),"Not listed","")</f>
        <v/>
      </c>
      <c r="B79" s="26" t="inlineStr">
        <is>
          <t>d15</t>
        </is>
      </c>
      <c r="C79" s="21" t="inlineStr">
        <is>
          <t>//diggs:propertyClass</t>
        </is>
      </c>
      <c r="D79" s="21" t="inlineStr">
        <is>
          <t>ancestor::diggs:measurement//diggs:procedure/diggs:ParticleSizeTest</t>
        </is>
      </c>
    </row>
    <row r="80" ht="17" customHeight="1">
      <c r="A80">
        <f>IF(ISNA(VLOOKUP(B78,Definitions!B$2:B$1604,1,FALSE)),"Not listed","")</f>
        <v/>
      </c>
      <c r="B80" s="26" t="inlineStr">
        <is>
          <t>d30</t>
        </is>
      </c>
      <c r="C80" s="21" t="inlineStr">
        <is>
          <t>//diggs:propertyClass</t>
        </is>
      </c>
      <c r="D80" s="21" t="inlineStr">
        <is>
          <t>ancestor::diggs:measurement//diggs:procedure/diggs:MaterialGradationTest</t>
        </is>
      </c>
    </row>
    <row r="81" ht="17" customHeight="1">
      <c r="A81">
        <f>IF(ISNA(VLOOKUP(B79,Definitions!B$2:B$1604,1,FALSE)),"Not listed","")</f>
        <v/>
      </c>
      <c r="B81" s="26" t="inlineStr">
        <is>
          <t>d30</t>
        </is>
      </c>
      <c r="C81" s="21" t="inlineStr">
        <is>
          <t>//diggs:propertyClass</t>
        </is>
      </c>
      <c r="D81" s="21" t="inlineStr">
        <is>
          <t>ancestor::diggs:measurement//diggs:procedure/diggs:ParticleSizeTest</t>
        </is>
      </c>
    </row>
    <row r="82" ht="17" customHeight="1">
      <c r="A82">
        <f>IF(ISNA(VLOOKUP(B80,Definitions!B$2:B$1604,1,FALSE)),"Not listed","")</f>
        <v/>
      </c>
      <c r="B82" s="26" t="inlineStr">
        <is>
          <t>d50</t>
        </is>
      </c>
      <c r="C82" s="21" t="inlineStr">
        <is>
          <t>//diggs:propertyClass</t>
        </is>
      </c>
      <c r="D82" s="21" t="inlineStr">
        <is>
          <t>ancestor::diggs:measurement//diggs:procedure/diggs:MaterialGradationTest</t>
        </is>
      </c>
    </row>
    <row r="83" ht="17" customHeight="1">
      <c r="A83">
        <f>IF(ISNA(VLOOKUP(B81,Definitions!B$2:B$1604,1,FALSE)),"Not listed","")</f>
        <v/>
      </c>
      <c r="B83" s="26" t="inlineStr">
        <is>
          <t>d50</t>
        </is>
      </c>
      <c r="C83" s="21" t="inlineStr">
        <is>
          <t>//diggs:propertyClass</t>
        </is>
      </c>
      <c r="D83" s="21" t="inlineStr">
        <is>
          <t>ancestor::diggs:measurement//diggs:procedure/diggs:ParticleSizeTest</t>
        </is>
      </c>
    </row>
    <row r="84" ht="17" customHeight="1">
      <c r="A84">
        <f>IF(ISNA(VLOOKUP(B82,Definitions!B$2:B$1604,1,FALSE)),"Not listed","")</f>
        <v/>
      </c>
      <c r="B84" s="26" t="inlineStr">
        <is>
          <t>d60</t>
        </is>
      </c>
      <c r="C84" s="21" t="inlineStr">
        <is>
          <t>//diggs:propertyClass</t>
        </is>
      </c>
      <c r="D84" s="21" t="inlineStr">
        <is>
          <t>ancestor::diggs:measurement//diggs:procedure/diggs:MaterialGradationTest</t>
        </is>
      </c>
    </row>
    <row r="85" ht="17" customHeight="1">
      <c r="A85">
        <f>IF(ISNA(VLOOKUP(B83,Definitions!B$2:B$1604,1,FALSE)),"Not listed","")</f>
        <v/>
      </c>
      <c r="B85" s="26" t="inlineStr">
        <is>
          <t>d60</t>
        </is>
      </c>
      <c r="C85" s="21" t="inlineStr">
        <is>
          <t>//diggs:propertyClass</t>
        </is>
      </c>
      <c r="D85" s="21" t="inlineStr">
        <is>
          <t>ancestor::diggs:measurement//diggs:procedure/diggs:ParticleSizeTest</t>
        </is>
      </c>
    </row>
    <row r="86" ht="17" customHeight="1">
      <c r="A86">
        <f>IF(ISNA(VLOOKUP(B84,Definitions!B$2:B$1604,1,FALSE)),"Not listed","")</f>
        <v/>
      </c>
      <c r="B86" s="26" t="inlineStr">
        <is>
          <t>d85</t>
        </is>
      </c>
      <c r="C86" s="21" t="inlineStr">
        <is>
          <t>//diggs:propertyClass</t>
        </is>
      </c>
      <c r="D86" s="21" t="inlineStr">
        <is>
          <t>ancestor::diggs:measurement//diggs:procedure/diggs:MaterialGradationTest</t>
        </is>
      </c>
    </row>
    <row r="87" ht="17" customHeight="1">
      <c r="A87">
        <f>IF(ISNA(VLOOKUP(B85,Definitions!B$2:B$1604,1,FALSE)),"Not listed","")</f>
        <v/>
      </c>
      <c r="B87" s="26" t="inlineStr">
        <is>
          <t>d85</t>
        </is>
      </c>
      <c r="C87" s="21" t="inlineStr">
        <is>
          <t>//diggs:propertyClass</t>
        </is>
      </c>
      <c r="D87" s="21" t="inlineStr">
        <is>
          <t>ancestor::diggs:measurement//diggs:procedure/diggs:ParticleSizeTest</t>
        </is>
      </c>
    </row>
    <row r="88" ht="17" customHeight="1">
      <c r="A88">
        <f>IF(ISNA(VLOOKUP(B86,Definitions!B$2:B$1604,1,FALSE)),"Not listed","")</f>
        <v/>
      </c>
      <c r="B88" s="26" t="inlineStr">
        <is>
          <t>degree_of_saturation</t>
        </is>
      </c>
      <c r="C88" s="21" t="inlineStr">
        <is>
          <t>//diggs:propertyClass</t>
        </is>
      </c>
      <c r="D88" s="21" t="inlineStr">
        <is>
          <t>ancestor::diggs:measurement//diggs:procedure/diggs:WaterContentTest</t>
        </is>
      </c>
    </row>
    <row r="89" ht="17" customHeight="1">
      <c r="A89">
        <f>IF(ISNA(VLOOKUP(B87,Definitions!B$2:B$1604,1,FALSE)),"Not listed","")</f>
        <v/>
      </c>
      <c r="B89" s="26" t="inlineStr">
        <is>
          <t>delay</t>
        </is>
      </c>
      <c r="C89" s="21" t="inlineStr">
        <is>
          <t>//diggs:propertyClass</t>
        </is>
      </c>
      <c r="D89" s="21" t="inlineStr">
        <is>
          <t>ancestor::diggs:measurement//diggs:procedure/diggs:DynamicProbeTest</t>
        </is>
      </c>
    </row>
    <row r="90" ht="17" customHeight="1">
      <c r="A90">
        <f>IF(ISNA(VLOOKUP(B88,Definitions!B$2:B$1604,1,FALSE)),"Not listed","")</f>
        <v/>
      </c>
      <c r="B90" s="38" t="inlineStr">
        <is>
          <t>depth</t>
        </is>
      </c>
      <c r="C90" s="4" t="inlineStr">
        <is>
          <t>//diggs:propertyClass</t>
        </is>
      </c>
      <c r="D90" s="21" t="inlineStr">
        <is>
          <t>ancestor::diggs:TemporalResult</t>
        </is>
      </c>
    </row>
    <row r="91" ht="17" customHeight="1">
      <c r="A91">
        <f>IF(ISNA(VLOOKUP(B89,Definitions!B$2:B$1604,1,FALSE)),"Not listed","")</f>
        <v/>
      </c>
      <c r="B91" s="38" t="inlineStr">
        <is>
          <t>depth</t>
        </is>
      </c>
      <c r="C91" s="4" t="inlineStr">
        <is>
          <t>//diggs:propertyClass</t>
        </is>
      </c>
      <c r="D91" s="21" t="inlineStr">
        <is>
          <t>ancestor::diggs:TemporalResult</t>
        </is>
      </c>
    </row>
    <row r="92" ht="17" customHeight="1">
      <c r="A92">
        <f>IF(ISNA(VLOOKUP(B90,Definitions!B$2:B$1604,1,FALSE)),"Not listed","")</f>
        <v/>
      </c>
      <c r="B92" t="inlineStr">
        <is>
          <t>dilation_angle</t>
        </is>
      </c>
      <c r="C92" s="4" t="inlineStr">
        <is>
          <t>//diggs:propertyClass</t>
        </is>
      </c>
      <c r="D92" s="21" t="inlineStr">
        <is>
          <t>ancestor::diggs:measurement//diggs:procedure/diggs:PressuremeterTest</t>
        </is>
      </c>
    </row>
    <row r="93" ht="17" customHeight="1">
      <c r="A93">
        <f>IF(ISNA(VLOOKUP(B91,Definitions!B$2:B$1604,1,FALSE)),"Not listed","")</f>
        <v/>
      </c>
      <c r="B93" s="26" t="inlineStr">
        <is>
          <t>dilatometer_modulus</t>
        </is>
      </c>
      <c r="C93" s="21" t="inlineStr">
        <is>
          <t>//diggs:propertyClass</t>
        </is>
      </c>
      <c r="D93" s="21" t="inlineStr">
        <is>
          <t>ancestor::diggs:measurement//diggs:procedure/diggs:FlatPlateDilatometerTest</t>
        </is>
      </c>
    </row>
    <row r="94" ht="17" customHeight="1">
      <c r="A94">
        <f>IF(ISNA(VLOOKUP(B92,Definitions!B$2:B$1604,1,FALSE)),"Not listed","")</f>
        <v/>
      </c>
      <c r="B94" s="26" t="inlineStr">
        <is>
          <t>dmt_tip_bearing</t>
        </is>
      </c>
      <c r="C94" s="21" t="inlineStr">
        <is>
          <t>//diggs:propertyClass</t>
        </is>
      </c>
      <c r="D94" s="21" t="inlineStr">
        <is>
          <t>ancestor::diggs:measurement//diggs:procedure/diggs:FlatPlateDilatometerTest</t>
        </is>
      </c>
    </row>
    <row r="95" ht="17" customHeight="1">
      <c r="A95">
        <f>IF(ISNA(VLOOKUP(B93,Definitions!B$2:B$1604,1,FALSE)),"Not listed","")</f>
        <v/>
      </c>
      <c r="B95" s="26" t="inlineStr">
        <is>
          <t>dry_density</t>
        </is>
      </c>
      <c r="C95" s="21" t="inlineStr">
        <is>
          <t>//diggs:propertyClass</t>
        </is>
      </c>
      <c r="D95" s="21" t="inlineStr">
        <is>
          <t>ancestor::diggs:measurement//diggs:procedure/diggs:LabDensityTest</t>
        </is>
      </c>
    </row>
    <row r="96" ht="17" customHeight="1">
      <c r="A96">
        <f>IF(ISNA(VLOOKUP(B94,Definitions!B$2:B$1604,1,FALSE)),"Not listed","")</f>
        <v/>
      </c>
      <c r="B96" s="26" t="inlineStr">
        <is>
          <t>dry_density_max</t>
        </is>
      </c>
      <c r="C96" s="21" t="inlineStr">
        <is>
          <t>//diggs:propertyClass</t>
        </is>
      </c>
      <c r="D96" s="21" t="inlineStr">
        <is>
          <t>ancestor::diggs:measurement//diggs:procedure/diggs:LabCompactionTest</t>
        </is>
      </c>
    </row>
    <row r="97" ht="17" customHeight="1">
      <c r="A97">
        <f>IF(ISNA(VLOOKUP([1]AssociatedElements!B284,Definitions!B$2:B$1604,1,FALSE)),"Not listed","")</f>
        <v/>
      </c>
      <c r="B97" s="38" t="inlineStr">
        <is>
          <t>dry_density_max_true</t>
        </is>
      </c>
      <c r="C97" s="21" t="inlineStr">
        <is>
          <t>//diggs:propertyClass</t>
        </is>
      </c>
      <c r="D97" s="21" t="inlineStr">
        <is>
          <t>ancestor::diggs:measurement//diggs:procedure/diggs:LabCompactionTest</t>
        </is>
      </c>
    </row>
    <row r="98" ht="17" customHeight="1">
      <c r="A98">
        <f>IF(ISNA(VLOOKUP([1]AssociatedElements!B283,Definitions!B$2:B$1604,1,FALSE)),"Not listed","")</f>
        <v/>
      </c>
      <c r="B98" s="11" t="inlineStr">
        <is>
          <t>dry_density_true</t>
        </is>
      </c>
      <c r="C98" s="21" t="inlineStr">
        <is>
          <t>//diggs:propertyClass</t>
        </is>
      </c>
      <c r="D98" s="21" t="inlineStr">
        <is>
          <t>ancestor::diggs:measurement//diggs:procedure/diggs:LabDensityTest</t>
        </is>
      </c>
    </row>
    <row r="99" ht="17" customHeight="1">
      <c r="B99" s="38" t="inlineStr">
        <is>
          <t>easily_oxidized_carbon</t>
        </is>
      </c>
      <c r="C99" s="4" t="inlineStr">
        <is>
          <t>//diggs:propertyClass</t>
        </is>
      </c>
      <c r="D99" s="21" t="inlineStr">
        <is>
          <t>ancestor::diggs:measurement//diggs:procedure/diggs:OrganicMatterByWetCombustionTest</t>
        </is>
      </c>
    </row>
    <row r="100" ht="17" customHeight="1">
      <c r="A100">
        <f>IF(ISNA(VLOOKUP([1]AssociatedElements!B284,Definitions!B$2:B$1604,1,FALSE)),"Not listed","")</f>
        <v/>
      </c>
      <c r="B100" s="38" t="inlineStr">
        <is>
          <t>easily_oxidized_matter</t>
        </is>
      </c>
      <c r="C100" s="4" t="inlineStr">
        <is>
          <t>//diggs:propertyClass</t>
        </is>
      </c>
      <c r="D100" s="21" t="inlineStr">
        <is>
          <t>ancestor::diggs:measurement//diggs:procedure/diggs:OrganicMatterByWetCombustionTest</t>
        </is>
      </c>
    </row>
    <row r="101" ht="17" customHeight="1">
      <c r="A101">
        <f>IF(ISNA(VLOOKUP(B99,Definitions!B$2:B$1604,1,FALSE)),"Not listed","")</f>
        <v/>
      </c>
      <c r="B101" s="26" t="inlineStr">
        <is>
          <t>effective_stress_vertical</t>
        </is>
      </c>
      <c r="C101" s="21" t="inlineStr">
        <is>
          <t>//diggs:propertyClass</t>
        </is>
      </c>
      <c r="D101" s="21" t="inlineStr">
        <is>
          <t>ancestor::diggs:measurement//diggs:procedure/diggs:FlatPlateDilatometerTest</t>
        </is>
      </c>
    </row>
    <row r="102" ht="17" customHeight="1">
      <c r="A102">
        <f>IF(ISNA(VLOOKUP(B100,Definitions!B$2:B$1604,1,FALSE)),"Not listed","")</f>
        <v/>
      </c>
      <c r="B102" s="38" t="inlineStr">
        <is>
          <t>elapsed_time</t>
        </is>
      </c>
      <c r="C102" s="4" t="inlineStr">
        <is>
          <t>//diggs:propertyClass</t>
        </is>
      </c>
      <c r="D102" s="29" t="inlineStr">
        <is>
          <t>ancestor::diggs:dissipationTimeSeries</t>
        </is>
      </c>
    </row>
    <row r="103" ht="17" customHeight="1">
      <c r="A103">
        <f>IF(ISNA(VLOOKUP(B101,Definitions!B$2:B$1604,1,FALSE)),"Not listed","")</f>
        <v/>
      </c>
      <c r="B103" s="38" t="inlineStr">
        <is>
          <t>elapsed_time</t>
        </is>
      </c>
      <c r="C103" s="4" t="inlineStr">
        <is>
          <t>//diggs:propertyClass</t>
        </is>
      </c>
      <c r="D103" s="21" t="inlineStr">
        <is>
          <t>ancestor::diggs:lugeonStepTimeSeries</t>
        </is>
      </c>
    </row>
    <row r="104" ht="17" customHeight="1">
      <c r="A104">
        <f>IF(ISNA(VLOOKUP(B102,Definitions!B$2:B$1604,1,FALSE)),"Not listed","")</f>
        <v/>
      </c>
      <c r="B104" s="38" t="inlineStr">
        <is>
          <t>elapsed_time</t>
        </is>
      </c>
      <c r="C104" s="4" t="inlineStr">
        <is>
          <t>//diggs:propertyClass</t>
        </is>
      </c>
      <c r="D104" s="21" t="inlineStr">
        <is>
          <t>ancestor::diggs:measurement//diggs:procedure/diggs:StaticConePenetrationTest</t>
        </is>
      </c>
    </row>
    <row r="105" ht="17" customHeight="1">
      <c r="A105">
        <f>IF(ISNA(VLOOKUP(B103,Definitions!B$2:B$1604,1,FALSE)),"Not listed","")</f>
        <v/>
      </c>
      <c r="B105" s="38" t="inlineStr">
        <is>
          <t>elapsed_time</t>
        </is>
      </c>
      <c r="C105" s="4" t="inlineStr">
        <is>
          <t>//diggs:propertyClass</t>
        </is>
      </c>
      <c r="D105" s="21" t="inlineStr">
        <is>
          <t>ancestor::diggs:syneresisTimeSeries</t>
        </is>
      </c>
    </row>
    <row r="106" ht="17" customHeight="1">
      <c r="A106">
        <f>IF(ISNA(VLOOKUP(B104,Definitions!B$2:B$1604,1,FALSE)),"Not listed","")</f>
        <v/>
      </c>
      <c r="B106" t="inlineStr">
        <is>
          <t>filtrate_volume</t>
        </is>
      </c>
      <c r="C106" s="4" t="inlineStr">
        <is>
          <t>//diggs:propertyClass</t>
        </is>
      </c>
      <c r="D106" s="21" t="inlineStr">
        <is>
          <t>ancestor::diggs:measurement//diggs:procedure/diggs:PressureFiltrationTest</t>
        </is>
      </c>
    </row>
    <row r="107" ht="17" customHeight="1">
      <c r="A107">
        <f>IF(ISNA(VLOOKUP(B105,Definitions!B$2:B$1604,1,FALSE)),"Not listed","")</f>
        <v/>
      </c>
      <c r="B107" s="26" t="inlineStr">
        <is>
          <t>flame_ionization_measurement</t>
        </is>
      </c>
      <c r="C107" s="21" t="inlineStr">
        <is>
          <t>//diggs:propertyClass</t>
        </is>
      </c>
      <c r="D107" s="21" t="inlineStr">
        <is>
          <t>ancestor::diggs:measurement//diggs:procedure/diggs:EnvironmentalScreeningTest</t>
        </is>
      </c>
    </row>
    <row r="108" ht="17" customHeight="1">
      <c r="A108">
        <f>IF(ISNA(VLOOKUP(B106,Definitions!B$2:B$1604,1,FALSE)),"Not listed","")</f>
        <v/>
      </c>
      <c r="B108" s="26" t="inlineStr">
        <is>
          <t>flame_ionization_measurement</t>
        </is>
      </c>
      <c r="C108" s="21" t="inlineStr">
        <is>
          <t>//diggs:propertyClass</t>
        </is>
      </c>
      <c r="D108" s="21" t="inlineStr">
        <is>
          <t>ancestor::diggs:measurement//diggs:procedure/diggs:FlameIonizationDetectorTest</t>
        </is>
      </c>
    </row>
    <row r="109" ht="17" customHeight="1">
      <c r="A109">
        <f>IF(ISNA(VLOOKUP(B107,Definitions!B$2:B$1604,1,FALSE)),"Not listed","")</f>
        <v/>
      </c>
      <c r="B109" t="inlineStr">
        <is>
          <t>flow_cone_time</t>
        </is>
      </c>
      <c r="C109" s="4" t="inlineStr">
        <is>
          <t>//diggs:propertyClass</t>
        </is>
      </c>
      <c r="D109" s="21" t="inlineStr">
        <is>
          <t>ancestor::diggs:measurement//diggs:procedure/diggs:FlowConeTest</t>
        </is>
      </c>
    </row>
    <row r="110" ht="17" customHeight="1">
      <c r="A110">
        <f>IF(ISNA(VLOOKUP(B108,Definitions!B$2:B$1604,1,FALSE)),"Not listed","")</f>
        <v/>
      </c>
      <c r="B110" s="38" t="inlineStr">
        <is>
          <t>flow_mass_rate</t>
        </is>
      </c>
      <c r="C110" s="4" t="inlineStr">
        <is>
          <t>//diggs:propertyClass</t>
        </is>
      </c>
      <c r="D110" s="21" t="inlineStr">
        <is>
          <t>ancestor::diggs:lugeonStepTimeSeries</t>
        </is>
      </c>
    </row>
    <row r="111" ht="17" customHeight="1">
      <c r="A111">
        <f>IF(ISNA(VLOOKUP(B109,Definitions!B$2:B$1604,1,FALSE)),"Not listed","")</f>
        <v/>
      </c>
      <c r="B111" s="38" t="inlineStr">
        <is>
          <t>flow_volume_rate</t>
        </is>
      </c>
      <c r="C111" s="4" t="inlineStr">
        <is>
          <t>//diggs:propertyClass</t>
        </is>
      </c>
      <c r="D111" s="21" t="inlineStr">
        <is>
          <t>ancestor::diggs:lugeonStepTimeSeries</t>
        </is>
      </c>
    </row>
    <row r="112" ht="17" customHeight="1">
      <c r="A112">
        <f>IF(ISNA(VLOOKUP([1]AssociatedElements!B286,Definitions!B$2:B$1604,1,FALSE)),"Not listed","")</f>
        <v/>
      </c>
      <c r="B112" s="38" t="inlineStr">
        <is>
          <t>free_swell_value</t>
        </is>
      </c>
      <c r="C112" s="4" t="inlineStr">
        <is>
          <t>//diggs:propertyClass</t>
        </is>
      </c>
      <c r="D112" s="21" t="inlineStr">
        <is>
          <t>ancestor::diggs:measurement//diggs:procedure/diggs:SwellOrCollapseTest</t>
        </is>
      </c>
    </row>
    <row r="113" ht="17" customHeight="1">
      <c r="A113">
        <f>IF(ISNA(VLOOKUP(B111,Definitions!B$2:B$1604,1,FALSE)),"Not listed","")</f>
        <v/>
      </c>
      <c r="B113" s="26" t="inlineStr">
        <is>
          <t>friction_angle_cv</t>
        </is>
      </c>
      <c r="C113" s="21" t="inlineStr">
        <is>
          <t>//diggs:propertyClass</t>
        </is>
      </c>
      <c r="D113" s="21" t="inlineStr">
        <is>
          <t>ancestor::diggs:measurement//diggs:procedure/diggs:DirectShearTest</t>
        </is>
      </c>
    </row>
    <row r="114" ht="17" customHeight="1">
      <c r="A114">
        <f>IF(ISNA(VLOOKUP(B112,Definitions!B$2:B$1604,1,FALSE)),"Not listed","")</f>
        <v/>
      </c>
      <c r="B114" t="inlineStr">
        <is>
          <t>friction_angle_cv</t>
        </is>
      </c>
      <c r="C114" s="4" t="inlineStr">
        <is>
          <t>//diggs:propertyClass</t>
        </is>
      </c>
      <c r="D114" s="21" t="inlineStr">
        <is>
          <t>ancestor::diggs:measurement//diggs:procedure/diggs:PressuremeterTest</t>
        </is>
      </c>
    </row>
    <row r="115">
      <c r="A115">
        <f>IF(ISNA(VLOOKUP(B113,Definitions!B$2:B$1604,1,FALSE)),"Not listed","")</f>
        <v/>
      </c>
      <c r="B115" t="inlineStr">
        <is>
          <t>friction_angle_cv</t>
        </is>
      </c>
      <c r="C115" t="inlineStr">
        <is>
          <t>//diggs:propertyClass</t>
        </is>
      </c>
      <c r="D115" t="inlineStr">
        <is>
          <t>ancestor::diggs:measurement//diggs:procedure/diggs:TriaxialTest</t>
        </is>
      </c>
    </row>
    <row r="116" ht="17" customHeight="1">
      <c r="A116">
        <f>IF(ISNA(VLOOKUP(B113,Definitions!B$2:B$1604,1,FALSE)),"Not listed","")</f>
        <v/>
      </c>
      <c r="B116" s="26" t="inlineStr">
        <is>
          <t>friction_angle_peak</t>
        </is>
      </c>
      <c r="C116" s="21" t="inlineStr">
        <is>
          <t>//diggs:propertyClass</t>
        </is>
      </c>
      <c r="D116" s="21" t="inlineStr">
        <is>
          <t>ancestor::diggs:measurement//diggs:procedure/diggs:DirectShearTest</t>
        </is>
      </c>
    </row>
    <row r="117" ht="17" customHeight="1">
      <c r="A117">
        <f>IF(ISNA(VLOOKUP(B114,Definitions!B$2:B$1604,1,FALSE)),"Not listed","")</f>
        <v/>
      </c>
      <c r="B117" s="26" t="inlineStr">
        <is>
          <t>friction_angle_peak</t>
        </is>
      </c>
      <c r="C117" s="21" t="inlineStr">
        <is>
          <t>//diggs:propertyClass</t>
        </is>
      </c>
      <c r="D117" s="21" t="inlineStr">
        <is>
          <t>ancestor::diggs:measurement//diggs:procedure/diggs:FlatPlateDilatometerTest</t>
        </is>
      </c>
    </row>
    <row r="118" ht="17" customHeight="1">
      <c r="A118">
        <f>IF(ISNA(VLOOKUP(B115,Definitions!B$2:B$1604,1,FALSE)),"Not listed","")</f>
        <v/>
      </c>
      <c r="B118" t="inlineStr">
        <is>
          <t>friction_angle_peak</t>
        </is>
      </c>
      <c r="C118" s="4" t="inlineStr">
        <is>
          <t>//diggs:propertyClass</t>
        </is>
      </c>
      <c r="D118" s="21" t="inlineStr">
        <is>
          <t>ancestor::diggs:measurement//diggs:procedure/diggs:TriaxialTest</t>
        </is>
      </c>
    </row>
    <row r="119" ht="17" customHeight="1">
      <c r="A119">
        <f>IF(ISNA(VLOOKUP(B117,Definitions!B$2:B$1604,1,FALSE)),"Not listed","")</f>
        <v/>
      </c>
      <c r="B119" s="26" t="inlineStr">
        <is>
          <t>friction_angle_residual</t>
        </is>
      </c>
      <c r="C119" s="21" t="inlineStr">
        <is>
          <t>//diggs:propertyClass</t>
        </is>
      </c>
      <c r="D119" s="21" t="inlineStr">
        <is>
          <t>ancestor::diggs:measurement//diggs:procedure/diggs:DirectShearTest</t>
        </is>
      </c>
    </row>
    <row r="120" ht="17" customHeight="1">
      <c r="A120">
        <f>IF(ISNA(VLOOKUP(B118,Definitions!B$2:B$1604,1,FALSE)),"Not listed","")</f>
        <v/>
      </c>
      <c r="B120" s="26" t="inlineStr">
        <is>
          <t>friction_angle_residual</t>
        </is>
      </c>
      <c r="C120" s="21" t="inlineStr">
        <is>
          <t>//diggs:propertyClass</t>
        </is>
      </c>
      <c r="D120" s="21" t="inlineStr">
        <is>
          <t>ancestor::diggs:measurement//diggs:procedure/diggs:FlatPlateDilatometerTest</t>
        </is>
      </c>
    </row>
    <row r="121" ht="17" customHeight="1">
      <c r="A121">
        <f>IF(ISNA(VLOOKUP(B119,Definitions!B$2:B$1604,1,FALSE)),"Not listed","")</f>
        <v/>
      </c>
      <c r="B121" t="inlineStr">
        <is>
          <t>friction_angle_residual</t>
        </is>
      </c>
      <c r="C121" s="4" t="inlineStr">
        <is>
          <t>//diggs:propertyClass</t>
        </is>
      </c>
      <c r="D121" s="21" t="inlineStr">
        <is>
          <t>ancestor::diggs:measurement//diggs:procedure/diggs:PressuremeterTest</t>
        </is>
      </c>
    </row>
    <row r="122" ht="17" customHeight="1">
      <c r="A122">
        <f>IF(ISNA(VLOOKUP(B120,Definitions!B$2:B$1604,1,FALSE)),"Not listed","")</f>
        <v/>
      </c>
      <c r="B122" t="inlineStr">
        <is>
          <t>friction_angle_residual</t>
        </is>
      </c>
      <c r="C122" s="4" t="inlineStr">
        <is>
          <t>//diggs:propertyClass</t>
        </is>
      </c>
      <c r="D122" s="21" t="inlineStr">
        <is>
          <t>ancestor::diggs:measurement//diggs:procedure/diggs:TriaxialTest</t>
        </is>
      </c>
    </row>
    <row r="123" ht="17" customHeight="1">
      <c r="A123">
        <f>IF(ISNA(VLOOKUP(B121,Definitions!B$2:B$1604,1,FALSE)),"Not listed","")</f>
        <v/>
      </c>
      <c r="B123" s="26" t="inlineStr">
        <is>
          <t>friction_angle_residual</t>
        </is>
      </c>
      <c r="C123" s="21" t="inlineStr">
        <is>
          <t>//diggs:propertyClass</t>
        </is>
      </c>
      <c r="D123" s="21" t="inlineStr">
        <is>
          <t>ancestor::diggs:measurement//diggs:procedure/diggs:TriaxialTest</t>
        </is>
      </c>
    </row>
    <row r="124" ht="17" customHeight="1">
      <c r="A124">
        <f>IF(ISNA(VLOOKUP(B122,Definitions!B$2:B$1604,1,FALSE)),"Not listed","")</f>
        <v/>
      </c>
      <c r="B124" s="26" t="inlineStr">
        <is>
          <t>friction_ratio</t>
        </is>
      </c>
      <c r="C124" s="21" t="inlineStr">
        <is>
          <t>//diggs:propertyClass</t>
        </is>
      </c>
      <c r="D124" s="21" t="inlineStr">
        <is>
          <t>ancestor::diggs:measurement//diggs:procedure/diggs:StaticConePenetrationTest</t>
        </is>
      </c>
    </row>
    <row r="125">
      <c r="A125">
        <f>IF(ISNA(VLOOKUP(B123,Definitions!B$2:B$1604,1,FALSE)),"Not listed","")</f>
        <v/>
      </c>
      <c r="B125" t="inlineStr">
        <is>
          <t>frost_heave</t>
        </is>
      </c>
      <c r="C125" s="4" t="inlineStr">
        <is>
          <t>//diggs:propertyClass</t>
        </is>
      </c>
      <c r="D125" s="21" t="inlineStr">
        <is>
          <t>ancestor::diggs:measurement//diggs:procedure/diggs:FrostSusceptibilityTest</t>
        </is>
      </c>
    </row>
    <row r="126" ht="17" customHeight="1">
      <c r="A126">
        <f>IF(ISNA(VLOOKUP(B124,Definitions!B$2:B$1604,1,FALSE)),"Not listed","")</f>
        <v/>
      </c>
      <c r="B126" s="38" t="inlineStr">
        <is>
          <t>gauge_pressure</t>
        </is>
      </c>
      <c r="C126" s="4" t="inlineStr">
        <is>
          <t>//diggs:propertyClass</t>
        </is>
      </c>
      <c r="D126" s="21" t="inlineStr">
        <is>
          <t>ancestor::diggs:lugeonStepTimeSeries</t>
        </is>
      </c>
    </row>
    <row r="127" ht="17" customHeight="1">
      <c r="A127">
        <f>IF(ISNA(VLOOKUP(B125,Definitions!B$2:B$1604,1,FALSE)),"Not listed","")</f>
        <v/>
      </c>
      <c r="B127" t="inlineStr">
        <is>
          <t>gel_time</t>
        </is>
      </c>
      <c r="C127" s="4" t="inlineStr">
        <is>
          <t>//diggs:propertyClass</t>
        </is>
      </c>
      <c r="D127" s="21" t="inlineStr">
        <is>
          <t>ancestor::diggs:measurement//diggs:procedure/diggs:TiltCupTest</t>
        </is>
      </c>
    </row>
    <row r="128" ht="17" customHeight="1">
      <c r="A128">
        <f>IF(ISNA(VLOOKUP(B126,Definitions!B$2:B$1604,1,FALSE)),"Not listed","")</f>
        <v/>
      </c>
      <c r="B128" t="inlineStr">
        <is>
          <t>gel_time</t>
        </is>
      </c>
      <c r="C128" s="4" t="inlineStr">
        <is>
          <t>//diggs:propertyClass</t>
        </is>
      </c>
      <c r="D128" s="21" t="inlineStr">
        <is>
          <t>ancestor::diggs:measurement//diggs:procedure/diggs:ViscometerTest</t>
        </is>
      </c>
    </row>
    <row r="129" ht="17" customHeight="1">
      <c r="A129">
        <f>IF(ISNA(VLOOKUP(B127,Definitions!B$2:B$1604,1,FALSE)),"Not listed","")</f>
        <v/>
      </c>
      <c r="B129" s="26" t="inlineStr">
        <is>
          <t>HFFD</t>
        </is>
      </c>
      <c r="C129" s="21" t="inlineStr">
        <is>
          <t>//diggs:propertyClass</t>
        </is>
      </c>
      <c r="D129" s="21" t="inlineStr">
        <is>
          <t>ancestor::diggs:measurement//diggs:procedure/diggs:StaticConePenetrationTest</t>
        </is>
      </c>
    </row>
    <row r="130" ht="17" customHeight="1">
      <c r="A130">
        <f>IF(ISNA(VLOOKUP(B128,Definitions!B$2:B$1604,1,FALSE)),"Not listed","")</f>
        <v/>
      </c>
      <c r="B130" s="26" t="inlineStr">
        <is>
          <t>horiz_stress_index</t>
        </is>
      </c>
      <c r="C130" s="21" t="inlineStr">
        <is>
          <t>//diggs:propertyClass</t>
        </is>
      </c>
      <c r="D130" s="21" t="inlineStr">
        <is>
          <t>ancestor::diggs:measurement//diggs:procedure/diggs:FlatPlateDilatometerTest</t>
        </is>
      </c>
    </row>
    <row r="131" ht="17" customHeight="1">
      <c r="A131">
        <f>IF(ISNA(VLOOKUP(B129,Definitions!B$2:B$1604,1,FALSE)),"Not listed","")</f>
        <v/>
      </c>
      <c r="B131" s="26" t="inlineStr">
        <is>
          <t>inclination</t>
        </is>
      </c>
      <c r="C131" s="21" t="inlineStr">
        <is>
          <t>//diggs:propertyClass</t>
        </is>
      </c>
      <c r="D131" s="21" t="inlineStr">
        <is>
          <t>ancestor::diggs:measurement//diggs:procedure/diggs:StaticConePenetrationTest</t>
        </is>
      </c>
    </row>
    <row r="132" ht="17" customHeight="1">
      <c r="A132">
        <f>IF(ISNA(VLOOKUP(B130,Definitions!B$2:B$1604,1,FALSE)),"Not listed","")</f>
        <v/>
      </c>
      <c r="B132" s="26" t="inlineStr">
        <is>
          <t>inclination_x</t>
        </is>
      </c>
      <c r="C132" s="21" t="inlineStr">
        <is>
          <t>//diggs:propertyClass</t>
        </is>
      </c>
      <c r="D132" s="21" t="inlineStr">
        <is>
          <t>ancestor::diggs:measurement//diggs:procedure/diggs:StaticConePenetrationTest</t>
        </is>
      </c>
    </row>
    <row r="133" ht="17" customHeight="1">
      <c r="A133">
        <f>IF(ISNA(VLOOKUP(B131,Definitions!B$2:B$1604,1,FALSE)),"Not listed","")</f>
        <v/>
      </c>
      <c r="B133" s="26" t="inlineStr">
        <is>
          <t>inclination_y</t>
        </is>
      </c>
      <c r="C133" s="21" t="inlineStr">
        <is>
          <t>//diggs:propertyClass</t>
        </is>
      </c>
      <c r="D133" s="21" t="inlineStr">
        <is>
          <t>ancestor::diggs:measurement//diggs:procedure/diggs:StaticConePenetrationTest</t>
        </is>
      </c>
    </row>
    <row r="134" ht="17" customHeight="1">
      <c r="A134">
        <f>IF(ISNA(VLOOKUP(B132,Definitions!B$2:B$1604,1,FALSE)),"Not listed","")</f>
        <v/>
      </c>
      <c r="B134" t="inlineStr">
        <is>
          <t>insitu_horizontal_stress</t>
        </is>
      </c>
      <c r="C134" s="4" t="inlineStr">
        <is>
          <t>//diggs:propertyClass</t>
        </is>
      </c>
      <c r="D134" s="21" t="inlineStr">
        <is>
          <t>ancestor::diggs:measurement//diggs:procedure/diggs:PressuremeterTest</t>
        </is>
      </c>
    </row>
    <row r="135" ht="17" customHeight="1">
      <c r="A135">
        <f>IF(ISNA(VLOOKUP(B133,Definitions!B$2:B$1604,1,FALSE)),"Not listed","")</f>
        <v/>
      </c>
      <c r="B135" s="26" t="inlineStr">
        <is>
          <t>Is</t>
        </is>
      </c>
      <c r="C135" s="21" t="inlineStr">
        <is>
          <t>//diggs:propertyClass</t>
        </is>
      </c>
      <c r="D135" s="21" t="inlineStr">
        <is>
          <t>ancestor::diggs:measurement//diggs:procedure/diggs:PointLoadTest</t>
        </is>
      </c>
    </row>
    <row r="136" ht="17" customHeight="1">
      <c r="A136">
        <f>IF(ISNA(VLOOKUP(B134,Definitions!B$2:B$1604,1,FALSE)),"Not listed","")</f>
        <v/>
      </c>
      <c r="B136" s="26" t="inlineStr">
        <is>
          <t>Is50</t>
        </is>
      </c>
      <c r="C136" s="21" t="inlineStr">
        <is>
          <t>//diggs:propertyClass</t>
        </is>
      </c>
      <c r="D136" s="21" t="inlineStr">
        <is>
          <t>ancestor::diggs:measurement//diggs:procedure/diggs:PointLoadTest</t>
        </is>
      </c>
    </row>
    <row r="137" ht="17" customHeight="1">
      <c r="A137">
        <f>IF(ISNA(VLOOKUP(B135,Definitions!B$2:B$1604,1,FALSE)),"Not listed","")</f>
        <v/>
      </c>
      <c r="B137" s="26" t="inlineStr">
        <is>
          <t>LFFD</t>
        </is>
      </c>
      <c r="C137" s="21" t="inlineStr">
        <is>
          <t>//diggs:propertyClass</t>
        </is>
      </c>
      <c r="D137" s="21" t="inlineStr">
        <is>
          <t>ancestor::diggs:measurement//diggs:procedure/diggs:StaticConePenetrationTest</t>
        </is>
      </c>
    </row>
    <row r="138">
      <c r="A138">
        <f>IF(ISNA(VLOOKUP(B136,Definitions!B$2:B$1604,1,FALSE)),"Not listed","")</f>
        <v/>
      </c>
      <c r="B138" t="inlineStr">
        <is>
          <t>limit_pressure</t>
        </is>
      </c>
      <c r="C138" s="4" t="inlineStr">
        <is>
          <t>//diggs:propertyClass</t>
        </is>
      </c>
      <c r="D138" s="21" t="inlineStr">
        <is>
          <t>ancestor::diggs:measurement//diggs:procedure/diggs:PressuremeterTest</t>
        </is>
      </c>
    </row>
    <row r="139">
      <c r="A139">
        <f>IF(ISNA(VLOOKUP(B137,Definitions!B$2:B$1604,1,FALSE)),"Not listed","")</f>
        <v/>
      </c>
      <c r="B139" t="inlineStr">
        <is>
          <t>line_loss_coeff_A</t>
        </is>
      </c>
      <c r="C139" s="4" t="inlineStr">
        <is>
          <t>//diggs:propertyClass</t>
        </is>
      </c>
      <c r="D139" s="21" t="inlineStr">
        <is>
          <t>ancestor::diggs:measurement//diggs:procedure/diggs:LineLossTest</t>
        </is>
      </c>
    </row>
    <row r="140">
      <c r="A140">
        <f>IF(ISNA(VLOOKUP(B138,Definitions!B$2:B$1604,1,FALSE)),"Not listed","")</f>
        <v/>
      </c>
      <c r="B140" t="inlineStr">
        <is>
          <t>line_loss_coeff_B</t>
        </is>
      </c>
      <c r="C140" s="4" t="inlineStr">
        <is>
          <t>//diggs:propertyClass</t>
        </is>
      </c>
      <c r="D140" s="21" t="inlineStr">
        <is>
          <t>ancestor::diggs:measurement//diggs:procedure/diggs:LineLossTest</t>
        </is>
      </c>
    </row>
    <row r="141" ht="17" customHeight="1">
      <c r="A141">
        <f>IF(ISNA(VLOOKUP(B139,Definitions!B$2:B$1604,1,FALSE)),"Not listed","")</f>
        <v/>
      </c>
      <c r="B141" t="inlineStr">
        <is>
          <t>line_loss_coeff_C</t>
        </is>
      </c>
      <c r="C141" s="4" t="inlineStr">
        <is>
          <t>//diggs:propertyClass</t>
        </is>
      </c>
      <c r="D141" s="21" t="inlineStr">
        <is>
          <t>ancestor::diggs:measurement//diggs:procedure/diggs:LineLossTest</t>
        </is>
      </c>
    </row>
    <row r="142" ht="17" customHeight="1">
      <c r="A142">
        <f>IF(ISNA(VLOOKUP(B140,Definitions!B$2:B$1604,1,FALSE)),"Not listed","")</f>
        <v/>
      </c>
      <c r="B142" t="inlineStr">
        <is>
          <t>line_loss_r2</t>
        </is>
      </c>
      <c r="C142" s="4" t="inlineStr">
        <is>
          <t>//diggs:propertyClass</t>
        </is>
      </c>
      <c r="D142" s="21" t="inlineStr">
        <is>
          <t>ancestor::diggs:measurement//diggs:procedure/diggs:LineLossTest</t>
        </is>
      </c>
    </row>
    <row r="143" ht="17" customHeight="1">
      <c r="A143">
        <f>IF(ISNA(VLOOKUP(B141,Definitions!B$2:B$1604,1,FALSE)),"Not listed","")</f>
        <v/>
      </c>
      <c r="B143" s="26" t="inlineStr">
        <is>
          <t>liquid_limit</t>
        </is>
      </c>
      <c r="C143" s="21" t="inlineStr">
        <is>
          <t>//diggs:propertyClass</t>
        </is>
      </c>
      <c r="D143" s="21" t="inlineStr">
        <is>
          <t>ancestor::diggs:measurement//diggs:procedure/diggs:AtterbergLimitsTest</t>
        </is>
      </c>
    </row>
    <row r="144" ht="17" customHeight="1">
      <c r="A144">
        <f>IF(ISNA(VLOOKUP(B142,Definitions!B$2:B$1604,1,FALSE)),"Not listed","")</f>
        <v/>
      </c>
      <c r="B144" s="26" t="inlineStr">
        <is>
          <t>liquid_limit_oven_dried</t>
        </is>
      </c>
      <c r="C144" s="21" t="inlineStr">
        <is>
          <t>//diggs:propertyClass</t>
        </is>
      </c>
      <c r="D144" s="21" t="inlineStr">
        <is>
          <t>ancestor::diggs:measurement//diggs:procedure/diggs:AtterbergLimitsTest</t>
        </is>
      </c>
    </row>
    <row r="145" ht="17" customHeight="1">
      <c r="A145">
        <f>IF(ISNA(VLOOKUP(B143,Definitions!B$2:B$1604,1,FALSE)),"Not listed","")</f>
        <v/>
      </c>
      <c r="B145" s="26" t="inlineStr">
        <is>
          <t>liquidity_index</t>
        </is>
      </c>
      <c r="C145" s="21" t="inlineStr">
        <is>
          <t>//diggs:propertyClass</t>
        </is>
      </c>
      <c r="D145" s="21" t="inlineStr">
        <is>
          <t>ancestor::diggs:measurement//diggs:procedure/diggs:AtterbergLimitsTest</t>
        </is>
      </c>
    </row>
    <row r="146" ht="17" customHeight="1">
      <c r="A146">
        <f>IF(ISNA(VLOOKUP(B144,Definitions!B$2:B$1604,1,FALSE)),"Not listed","")</f>
        <v/>
      </c>
      <c r="B146" s="26" t="inlineStr">
        <is>
          <t>liquidity_index</t>
        </is>
      </c>
      <c r="C146" s="21" t="inlineStr">
        <is>
          <t>//diggs:propertyClass</t>
        </is>
      </c>
      <c r="D146" s="21" t="inlineStr">
        <is>
          <t>ancestor::diggs:measurement//diggs:procedure/diggs:WaterContentTest</t>
        </is>
      </c>
    </row>
    <row r="147" ht="17" customHeight="1">
      <c r="A147">
        <f>IF(ISNA(VLOOKUP(B145,Definitions!B$2:B$1604,1,FALSE)),"Not listed","")</f>
        <v/>
      </c>
      <c r="B147" s="26" t="inlineStr">
        <is>
          <t>LOI</t>
        </is>
      </c>
      <c r="C147" s="21" t="inlineStr">
        <is>
          <t>//diggs:propertyClass</t>
        </is>
      </c>
      <c r="D147" s="21" t="inlineStr">
        <is>
          <t>ancestor::diggs:measurement//diggs:procedure/diggs:LossOnIgnitionTest</t>
        </is>
      </c>
    </row>
    <row r="148" ht="17" customHeight="1">
      <c r="A148">
        <f>IF(ISNA(VLOOKUP(B146,Definitions!B$2:B$1604,1,FALSE)),"Not listed","")</f>
        <v/>
      </c>
      <c r="B148" t="inlineStr">
        <is>
          <t>lugeon_value</t>
        </is>
      </c>
      <c r="C148" s="4" t="inlineStr">
        <is>
          <t>//diggs:propertyClass</t>
        </is>
      </c>
      <c r="D148" s="21" t="inlineStr">
        <is>
          <t>ancestor::diggs:measurement//diggs:procedure/diggs:LugeonTest</t>
        </is>
      </c>
    </row>
    <row r="149" ht="17" customHeight="1">
      <c r="A149">
        <f>IF(ISNA(VLOOKUP(B147,Definitions!B$2:B$1604,1,FALSE)),"Not listed","")</f>
        <v/>
      </c>
      <c r="B149" t="inlineStr">
        <is>
          <t>marsh_funnel_time</t>
        </is>
      </c>
      <c r="C149" s="4" t="inlineStr">
        <is>
          <t>//diggs:propertyClass</t>
        </is>
      </c>
      <c r="D149" s="21" t="inlineStr">
        <is>
          <t>ancestor::diggs:measurement//diggs:procedure/diggs:MarshFunnelTest</t>
        </is>
      </c>
    </row>
    <row r="150" ht="17" customHeight="1">
      <c r="A150">
        <f>IF(ISNA(VLOOKUP(B148,Definitions!B$2:B$1604,1,FALSE)),"Not listed","")</f>
        <v/>
      </c>
      <c r="B150" s="38" t="inlineStr">
        <is>
          <t>mass</t>
        </is>
      </c>
      <c r="C150" s="4" t="inlineStr">
        <is>
          <t>//diggs:propertyClass</t>
        </is>
      </c>
      <c r="D150" s="21" t="inlineStr">
        <is>
          <t>ancestor::diggs:syneresisTimeSeries</t>
        </is>
      </c>
    </row>
    <row r="151" ht="17" customHeight="1">
      <c r="A151">
        <f>IF(ISNA(VLOOKUP(B149,Definitions!B$2:B$1604,1,FALSE)),"Not listed","")</f>
        <v/>
      </c>
      <c r="B151" s="38" t="inlineStr">
        <is>
          <t>mass_loss</t>
        </is>
      </c>
      <c r="C151" s="4" t="inlineStr">
        <is>
          <t>//diggs:propertyClass</t>
        </is>
      </c>
      <c r="D151" s="21" t="inlineStr">
        <is>
          <t>ancestor::diggs:syneresisTimeSeries</t>
        </is>
      </c>
    </row>
    <row r="152" ht="17" customHeight="1">
      <c r="A152">
        <f>IF(ISNA(VLOOKUP(B150,Definitions!B$2:B$1604,1,FALSE)),"Not listed","")</f>
        <v/>
      </c>
      <c r="B152" s="26" t="inlineStr">
        <is>
          <t>material_index</t>
        </is>
      </c>
      <c r="C152" s="21" t="inlineStr">
        <is>
          <t>//diggs:propertyClass</t>
        </is>
      </c>
      <c r="D152" s="21" t="inlineStr">
        <is>
          <t>ancestor::diggs:measurement//diggs:procedure/diggs:FlatPlateDilatometerTest</t>
        </is>
      </c>
    </row>
    <row r="153" ht="17" customHeight="1">
      <c r="A153">
        <f>IF(ISNA(VLOOKUP(B151,Definitions!B$2:B$1604,1,FALSE)),"Not listed","")</f>
        <v/>
      </c>
      <c r="B153" t="inlineStr">
        <is>
          <t>mcv</t>
        </is>
      </c>
      <c r="C153" s="4" t="inlineStr">
        <is>
          <t>//diggs:propertyClass</t>
        </is>
      </c>
      <c r="D153" s="21" t="inlineStr">
        <is>
          <t>ancestor::diggs:measurement//diggs:procedure/diggs:MCVTest</t>
        </is>
      </c>
    </row>
    <row r="154" ht="17" customHeight="1">
      <c r="A154">
        <f>IF(ISNA(VLOOKUP(B152,Definitions!B$2:B$1604,1,FALSE)),"Not listed","")</f>
        <v/>
      </c>
      <c r="B154" s="38" t="inlineStr">
        <is>
          <t>mean_micro_deval_dry</t>
        </is>
      </c>
      <c r="C154" s="4" t="inlineStr">
        <is>
          <t>//diggs:propertyClass</t>
        </is>
      </c>
      <c r="D154" s="21" t="inlineStr">
        <is>
          <t>ancestor::diggs:measurement//diggs:procedure/diggs:MicroDevalTest</t>
        </is>
      </c>
    </row>
    <row r="155" ht="17" customHeight="1">
      <c r="A155">
        <f>IF(ISNA(VLOOKUP(B153,Definitions!B$2:B$1604,1,FALSE)),"Not listed","")</f>
        <v/>
      </c>
      <c r="B155" s="38" t="inlineStr">
        <is>
          <t>mean_micro_deval_wet</t>
        </is>
      </c>
      <c r="C155" s="4" t="inlineStr">
        <is>
          <t>//diggs:propertyClass</t>
        </is>
      </c>
      <c r="D155" s="21" t="inlineStr">
        <is>
          <t>ancestor::diggs:measurement//diggs:procedure/diggs:MicroDevalTest</t>
        </is>
      </c>
    </row>
    <row r="156" ht="17" customHeight="1">
      <c r="A156">
        <f>IF(ISNA(VLOOKUP(B154,Definitions!B$2:B$1604,1,FALSE)),"Not listed","")</f>
        <v/>
      </c>
      <c r="B156" t="inlineStr">
        <is>
          <t>menard_modulus</t>
        </is>
      </c>
      <c r="C156" t="inlineStr">
        <is>
          <t>//diggs:propertyClass</t>
        </is>
      </c>
      <c r="D156" t="inlineStr">
        <is>
          <t>ancestor::diggs:measurement//diggs:procedure/diggs:PressuremeterTest</t>
        </is>
      </c>
    </row>
    <row r="157">
      <c r="A157">
        <f>IF(ISNA(VLOOKUP(B154,Definitions!B$2:B$1604,1,FALSE)),"Not listed","")</f>
        <v/>
      </c>
      <c r="B157" t="inlineStr">
        <is>
          <t>modulus_shear</t>
        </is>
      </c>
      <c r="C157" s="4" t="inlineStr">
        <is>
          <t>//diggs:propertyClass</t>
        </is>
      </c>
      <c r="D157" s="21" t="inlineStr">
        <is>
          <t>ancestor::diggs:measurement//diggs:procedure/diggs:PressuremeterTest</t>
        </is>
      </c>
    </row>
    <row r="158" ht="17" customHeight="1">
      <c r="A158">
        <f>IF(ISNA(VLOOKUP(B155,Definitions!B$2:B$1604,1,FALSE)),"Not listed","")</f>
        <v/>
      </c>
      <c r="B158" s="26" t="inlineStr">
        <is>
          <t>modulus_shear</t>
        </is>
      </c>
      <c r="C158" s="21" t="inlineStr">
        <is>
          <t>//diggs:propertyClass</t>
        </is>
      </c>
      <c r="D158" s="21" t="inlineStr">
        <is>
          <t>ancestor::diggs:measurement//diggs:procedure/diggs:UnconfinedCompressiveStrengthTest</t>
        </is>
      </c>
    </row>
    <row r="159" ht="17" customHeight="1">
      <c r="A159">
        <f>IF(ISNA(VLOOKUP(B156,Definitions!B$2:B$1604,1,FALSE)),"Not listed","")</f>
        <v/>
      </c>
      <c r="B159" s="26" t="inlineStr">
        <is>
          <t>modulus_youngs</t>
        </is>
      </c>
      <c r="C159" s="21" t="inlineStr">
        <is>
          <t>//diggs:propertyClass</t>
        </is>
      </c>
      <c r="D159" s="21" t="inlineStr">
        <is>
          <t>ancestor::diggs:measurement//diggs:procedure/diggs:UnconfinedCompressiveStrengthTest</t>
        </is>
      </c>
    </row>
    <row r="160" ht="17" customHeight="1">
      <c r="A160">
        <f>IF(ISNA(VLOOKUP(B157,Definitions!B$2:B$1604,1,FALSE)),"Not listed","")</f>
        <v/>
      </c>
      <c r="B160" t="inlineStr">
        <is>
          <t>mud_balance_density</t>
        </is>
      </c>
      <c r="C160" s="4" t="inlineStr">
        <is>
          <t>//diggs:propertyClass</t>
        </is>
      </c>
      <c r="D160" s="21" t="inlineStr">
        <is>
          <t>ancestor::diggs:measurement//diggs:procedure/diggs:MudBalanceTest</t>
        </is>
      </c>
    </row>
    <row r="161" ht="17" customHeight="1">
      <c r="A161">
        <f>IF(ISNA(VLOOKUP(B158,Definitions!B$2:B$1604,1,FALSE)),"Not listed","")</f>
        <v/>
      </c>
      <c r="B161" s="26" t="inlineStr">
        <is>
          <t>n_value</t>
        </is>
      </c>
      <c r="C161" s="21" t="inlineStr">
        <is>
          <t>//diggs:propertyClass</t>
        </is>
      </c>
      <c r="D161" s="21" t="inlineStr">
        <is>
          <t>ancestor::diggs:measurement//diggs:procedure/diggs:DrivenPenetrationTest</t>
        </is>
      </c>
    </row>
    <row r="162" ht="17" customHeight="1">
      <c r="A162">
        <f>IF(ISNA(VLOOKUP(B159,Definitions!B$2:B$1604,1,FALSE)),"Not listed","")</f>
        <v/>
      </c>
      <c r="B162" s="26" t="inlineStr">
        <is>
          <t>n1_60</t>
        </is>
      </c>
      <c r="C162" s="21" t="inlineStr">
        <is>
          <t>//diggs:propertyClass</t>
        </is>
      </c>
      <c r="D162" s="21" t="inlineStr">
        <is>
          <t>ancestor::diggs:measurement//diggs:procedure/diggs:DrivenPenetrationTest</t>
        </is>
      </c>
    </row>
    <row r="163" ht="17" customHeight="1">
      <c r="A163">
        <f>IF(ISNA(VLOOKUP(B160,Definitions!B$2:B$1604,1,FALSE)),"Not listed","")</f>
        <v/>
      </c>
      <c r="B163" s="26" t="inlineStr">
        <is>
          <t>n60</t>
        </is>
      </c>
      <c r="C163" s="21" t="inlineStr">
        <is>
          <t>//diggs:propertyClass</t>
        </is>
      </c>
      <c r="D163" s="21" t="inlineStr">
        <is>
          <t>ancestor::diggs:measurement//diggs:procedure/diggs:DrivenPenetrationTest</t>
        </is>
      </c>
    </row>
    <row r="164" ht="17" customHeight="1">
      <c r="A164">
        <f>IF(ISNA(VLOOKUP(B161,Definitions!B$2:B$1604,1,FALSE)),"Not listed","")</f>
        <v/>
      </c>
      <c r="B164" s="26" t="inlineStr">
        <is>
          <t>non_plastic</t>
        </is>
      </c>
      <c r="C164" s="21" t="inlineStr">
        <is>
          <t>//diggs:propertyClass</t>
        </is>
      </c>
      <c r="D164" s="21" t="inlineStr">
        <is>
          <t>ancestor::diggs:measurement//diggs:procedure/diggs:AtterbergLimitsTest</t>
        </is>
      </c>
    </row>
    <row r="165" ht="17" customHeight="1">
      <c r="A165">
        <f>IF(ISNA(VLOOKUP(B162,Definitions!B$2:B$1604,1,FALSE)),"Not listed","")</f>
        <v/>
      </c>
      <c r="B165" s="26" t="inlineStr">
        <is>
          <t>ocr</t>
        </is>
      </c>
      <c r="C165" s="21" t="inlineStr">
        <is>
          <t>//diggs:propertyClass</t>
        </is>
      </c>
      <c r="D165" s="21" t="inlineStr">
        <is>
          <t>ancestor::diggs:measurement//diggs:procedure/diggs:ConsolidationTest</t>
        </is>
      </c>
    </row>
    <row r="166" ht="17" customHeight="1">
      <c r="A166">
        <f>IF(ISNA(VLOOKUP(B163,Definitions!B$2:B$1604,1,FALSE)),"Not listed","")</f>
        <v/>
      </c>
      <c r="B166" s="26" t="inlineStr">
        <is>
          <t>ocr</t>
        </is>
      </c>
      <c r="C166" s="21" t="inlineStr">
        <is>
          <t>//diggs:propertyClass</t>
        </is>
      </c>
      <c r="D166" s="21" t="inlineStr">
        <is>
          <t>ancestor::diggs:measurement//diggs:procedure/diggs:FlatPlateDilatometerTest</t>
        </is>
      </c>
    </row>
    <row r="167" ht="17" customHeight="1">
      <c r="A167">
        <f>IF(ISNA(VLOOKUP(B164,Definitions!B$2:B$1604,1,FALSE)),"Not listed","")</f>
        <v/>
      </c>
      <c r="B167" s="38" t="inlineStr">
        <is>
          <t>p_wave_velocity</t>
        </is>
      </c>
      <c r="C167" s="4" t="inlineStr">
        <is>
          <t>//diggs:propertyClass</t>
        </is>
      </c>
      <c r="D167" s="21" t="inlineStr">
        <is>
          <t>ancestor::diggs:measurement//diggs:procedure/diggs:LabVelocityTest</t>
        </is>
      </c>
    </row>
    <row r="168" ht="17" customHeight="1">
      <c r="A168">
        <f>IF(ISNA(VLOOKUP(B165,Definitions!B$2:B$1604,1,FALSE)),"Not listed","")</f>
        <v/>
      </c>
      <c r="B168" s="26" t="inlineStr">
        <is>
          <t>p0_reading</t>
        </is>
      </c>
      <c r="C168" s="21" t="inlineStr">
        <is>
          <t>//diggs:propertyClass</t>
        </is>
      </c>
      <c r="D168" s="21" t="inlineStr">
        <is>
          <t>ancestor::diggs:measurement//diggs:procedure/diggs:FlatPlateDilatometerTest</t>
        </is>
      </c>
    </row>
    <row r="169" ht="17" customHeight="1">
      <c r="A169">
        <f>IF(ISNA(VLOOKUP(B166,Definitions!B$2:B$1604,1,FALSE)),"Not listed","")</f>
        <v/>
      </c>
      <c r="B169" s="26" t="inlineStr">
        <is>
          <t>p1_reading</t>
        </is>
      </c>
      <c r="C169" s="21" t="inlineStr">
        <is>
          <t>//diggs:propertyClass</t>
        </is>
      </c>
      <c r="D169" s="21" t="inlineStr">
        <is>
          <t>ancestor::diggs:measurement//diggs:procedure/diggs:FlatPlateDilatometerTest</t>
        </is>
      </c>
    </row>
    <row r="170" ht="17" customHeight="1">
      <c r="A170">
        <f>IF(ISNA(VLOOKUP(B167,Definitions!B$2:B$1604,1,FALSE)),"Not listed","")</f>
        <v/>
      </c>
      <c r="B170" s="26" t="inlineStr">
        <is>
          <t>p2_reading</t>
        </is>
      </c>
      <c r="C170" s="21" t="inlineStr">
        <is>
          <t>//diggs:propertyClass</t>
        </is>
      </c>
      <c r="D170" s="21" t="inlineStr">
        <is>
          <t>ancestor::diggs:measurement//diggs:procedure/diggs:FlatPlateDilatometerTest</t>
        </is>
      </c>
    </row>
    <row r="171" ht="17" customHeight="1">
      <c r="A171">
        <f>IF(ISNA(VLOOKUP(B168,Definitions!B$2:B$1604,1,FALSE)),"Not listed","")</f>
        <v/>
      </c>
      <c r="B171" s="26" t="inlineStr">
        <is>
          <t>pen_increment</t>
        </is>
      </c>
      <c r="C171" s="21" t="inlineStr">
        <is>
          <t>//diggs:propertyClass</t>
        </is>
      </c>
      <c r="D171" s="21" t="inlineStr">
        <is>
          <t>ancestor::diggs:measurement//diggs:procedure/diggs:DynamicProbeTest</t>
        </is>
      </c>
    </row>
    <row r="172" ht="17" customHeight="1">
      <c r="A172">
        <f>IF(ISNA(VLOOKUP(B169,Definitions!B$2:B$1604,1,FALSE)),"Not listed","")</f>
        <v/>
      </c>
      <c r="B172" s="38" t="inlineStr">
        <is>
          <t>percent_cobbles</t>
        </is>
      </c>
      <c r="C172" s="4" t="inlineStr">
        <is>
          <t>//diggs:propertyClass</t>
        </is>
      </c>
      <c r="D172" s="21" t="inlineStr">
        <is>
          <t>ancestor::diggs:measurement//diggs:procedure/diggs:MaterialGradationTest</t>
        </is>
      </c>
    </row>
    <row r="173" ht="17" customHeight="1">
      <c r="A173">
        <f>IF(ISNA(VLOOKUP(B170,Definitions!B$2:B$1604,1,FALSE)),"Not listed","")</f>
        <v/>
      </c>
      <c r="B173" s="38" t="inlineStr">
        <is>
          <t>percent_cobbles</t>
        </is>
      </c>
      <c r="C173" s="4" t="inlineStr">
        <is>
          <t>//diggs:propertyClass</t>
        </is>
      </c>
      <c r="D173" s="21" t="inlineStr">
        <is>
          <t>ancestor::diggs:measurement//diggs:procedure/diggs:ParticleSizeTest</t>
        </is>
      </c>
    </row>
    <row r="174" ht="17" customHeight="1">
      <c r="A174">
        <f>IF(ISNA(VLOOKUP(B171,Definitions!B$2:B$1604,1,FALSE)),"Not listed","")</f>
        <v/>
      </c>
      <c r="B174" s="26" t="inlineStr">
        <is>
          <t>percent_fines</t>
        </is>
      </c>
      <c r="C174" s="21" t="inlineStr">
        <is>
          <t>//diggs:propertyClass</t>
        </is>
      </c>
      <c r="D174" s="21" t="inlineStr">
        <is>
          <t>ancestor::diggs:measurement//diggs:procedure/diggs:MaterialGradationTest</t>
        </is>
      </c>
    </row>
    <row r="175" ht="17" customHeight="1">
      <c r="A175">
        <f>IF(ISNA(VLOOKUP(B172,Definitions!B$2:B$1604,1,FALSE)),"Not listed","")</f>
        <v/>
      </c>
      <c r="B175" s="26" t="inlineStr">
        <is>
          <t>percent_fines</t>
        </is>
      </c>
      <c r="C175" s="21" t="inlineStr">
        <is>
          <t>//diggs:propertyClass</t>
        </is>
      </c>
      <c r="D175" s="21" t="inlineStr">
        <is>
          <t>ancestor::diggs:measurement//diggs:procedure/diggs:ParticleSizeTest</t>
        </is>
      </c>
    </row>
    <row r="176" ht="17" customHeight="1">
      <c r="A176">
        <f>IF(ISNA(VLOOKUP(B173,Definitions!B$2:B$1604,1,FALSE)),"Not listed","")</f>
        <v/>
      </c>
      <c r="B176" s="26" t="inlineStr">
        <is>
          <t>percent_gravel</t>
        </is>
      </c>
      <c r="C176" s="21" t="inlineStr">
        <is>
          <t>//diggs:propertyClass</t>
        </is>
      </c>
      <c r="D176" s="21" t="inlineStr">
        <is>
          <t>ancestor::diggs:measurement//diggs:procedure/diggs:MaterialGradationTest</t>
        </is>
      </c>
    </row>
    <row r="177" ht="17" customHeight="1">
      <c r="A177">
        <f>IF(ISNA(VLOOKUP(B174,Definitions!B$2:B$1604,1,FALSE)),"Not listed","")</f>
        <v/>
      </c>
      <c r="B177" s="26" t="inlineStr">
        <is>
          <t>percent_gravel</t>
        </is>
      </c>
      <c r="C177" s="21" t="inlineStr">
        <is>
          <t>//diggs:propertyClass</t>
        </is>
      </c>
      <c r="D177" s="21" t="inlineStr">
        <is>
          <t>ancestor::diggs:measurement//diggs:procedure/diggs:ParticleSizeTest</t>
        </is>
      </c>
    </row>
    <row r="178" ht="17" customHeight="1">
      <c r="A178">
        <f>IF(ISNA(VLOOKUP(B175,Definitions!B$2:B$1604,1,FALSE)),"Not listed","")</f>
        <v/>
      </c>
      <c r="B178" s="26" t="inlineStr">
        <is>
          <t>percent_sand</t>
        </is>
      </c>
      <c r="C178" s="21" t="inlineStr">
        <is>
          <t>//diggs:propertyClass</t>
        </is>
      </c>
      <c r="D178" s="21" t="inlineStr">
        <is>
          <t>ancestor::diggs:measurement//diggs:procedure/diggs:MaterialGradationTest</t>
        </is>
      </c>
    </row>
    <row r="179" ht="17" customHeight="1">
      <c r="A179">
        <f>IF(ISNA(VLOOKUP(B176,Definitions!B$2:B$1604,1,FALSE)),"Not listed","")</f>
        <v/>
      </c>
      <c r="B179" s="26" t="inlineStr">
        <is>
          <t>percent_sand</t>
        </is>
      </c>
      <c r="C179" s="21" t="inlineStr">
        <is>
          <t>//diggs:propertyClass</t>
        </is>
      </c>
      <c r="D179" s="21" t="inlineStr">
        <is>
          <t>ancestor::diggs:measurement//diggs:procedure/diggs:ParticleSizeTest</t>
        </is>
      </c>
    </row>
    <row r="180" ht="17" customHeight="1">
      <c r="A180">
        <f>IF(ISNA(VLOOKUP(B177,Definitions!B$2:B$1604,1,FALSE)),"Not listed","")</f>
        <v/>
      </c>
      <c r="B180" s="38" t="inlineStr">
        <is>
          <t>percent_silt</t>
        </is>
      </c>
      <c r="C180" s="4" t="inlineStr">
        <is>
          <t>//diggs:propertyClass</t>
        </is>
      </c>
      <c r="D180" s="21" t="inlineStr">
        <is>
          <t>ancestor::diggs:measurement//diggs:procedure/diggs:MaterialGradationTest</t>
        </is>
      </c>
    </row>
    <row r="181" ht="17" customHeight="1">
      <c r="A181">
        <f>IF(ISNA(VLOOKUP(B178,Definitions!B$2:B$1604,1,FALSE)),"Not listed","")</f>
        <v/>
      </c>
      <c r="B181" s="38" t="inlineStr">
        <is>
          <t>percent_silt</t>
        </is>
      </c>
      <c r="C181" s="4" t="inlineStr">
        <is>
          <t>//diggs:propertyClass</t>
        </is>
      </c>
      <c r="D181" s="21" t="inlineStr">
        <is>
          <t>ancestor::diggs:measurement//diggs:procedure/diggs:ParticleSizeTest</t>
        </is>
      </c>
    </row>
    <row r="182" ht="17" customHeight="1">
      <c r="A182">
        <f>IF(ISNA(VLOOKUP(B179,Definitions!B$2:B$1604,1,FALSE)),"Not listed","")</f>
        <v/>
      </c>
      <c r="B182" s="26" t="inlineStr">
        <is>
          <t>pH</t>
        </is>
      </c>
      <c r="C182" s="21" t="inlineStr">
        <is>
          <t>//diggs:propertyClass</t>
        </is>
      </c>
      <c r="D182" s="21" t="inlineStr">
        <is>
          <t>ancestor::diggs:measurement//diggs:procedure/diggs:LabChemicalTest</t>
        </is>
      </c>
    </row>
    <row r="183" ht="17" customHeight="1">
      <c r="A183">
        <f>IF(ISNA(VLOOKUP(B180,Definitions!B$2:B$1604,1,FALSE)),"Not listed","")</f>
        <v/>
      </c>
      <c r="B183" s="26" t="inlineStr">
        <is>
          <t>pH</t>
        </is>
      </c>
      <c r="C183" s="21" t="inlineStr">
        <is>
          <t>//diggs:propertyClass</t>
        </is>
      </c>
      <c r="D183" s="21" t="inlineStr">
        <is>
          <t>ancestor::diggs:measurement//diggs:procedure/diggs:RedoxTest</t>
        </is>
      </c>
    </row>
    <row r="184" ht="17" customHeight="1">
      <c r="A184">
        <f>IF(ISNA(VLOOKUP(B181,Definitions!B$2:B$1604,1,FALSE)),"Not listed","")</f>
        <v/>
      </c>
      <c r="B184" s="26" t="inlineStr">
        <is>
          <t>pid_result</t>
        </is>
      </c>
      <c r="C184" s="21" t="inlineStr">
        <is>
          <t>//diggs:propertyClass</t>
        </is>
      </c>
      <c r="D184" s="21" t="inlineStr">
        <is>
          <t>ancestor::diggs:measurement//diggs:procedure/diggs:EnvironmentalScreeningTest</t>
        </is>
      </c>
    </row>
    <row r="185" ht="17" customHeight="1">
      <c r="A185">
        <f>IF(ISNA(VLOOKUP(B182,Definitions!B$2:B$1604,1,FALSE)),"Not listed","")</f>
        <v/>
      </c>
      <c r="B185" s="26" t="inlineStr">
        <is>
          <t>pid_result</t>
        </is>
      </c>
      <c r="C185" s="21" t="inlineStr">
        <is>
          <t>//diggs:propertyClass</t>
        </is>
      </c>
      <c r="D185" s="21" t="inlineStr">
        <is>
          <t>ancestor::diggs:measurement//diggs:procedure/diggs:PhotoIonizationDetectorTest</t>
        </is>
      </c>
    </row>
    <row r="186" ht="17" customHeight="1">
      <c r="A186">
        <f>IF(ISNA(VLOOKUP(B183,Definitions!B$2:B$1604,1,FALSE)),"Not listed","")</f>
        <v/>
      </c>
      <c r="B186" s="26" t="inlineStr">
        <is>
          <t>plastic_limit</t>
        </is>
      </c>
      <c r="C186" s="21" t="inlineStr">
        <is>
          <t>//diggs:propertyClass</t>
        </is>
      </c>
      <c r="D186" s="21" t="inlineStr">
        <is>
          <t>ancestor::diggs:measurement//diggs:procedure/diggs:AtterbergLimitsTest</t>
        </is>
      </c>
    </row>
    <row r="187" ht="17" customHeight="1">
      <c r="A187">
        <f>IF(ISNA(VLOOKUP(B184,Definitions!B$2:B$1604,1,FALSE)),"Not listed","")</f>
        <v/>
      </c>
      <c r="B187" s="26" t="inlineStr">
        <is>
          <t>plasticity_index</t>
        </is>
      </c>
      <c r="C187" s="21" t="inlineStr">
        <is>
          <t>//diggs:propertyClass</t>
        </is>
      </c>
      <c r="D187" s="21" t="inlineStr">
        <is>
          <t>ancestor::diggs:measurement//diggs:procedure/diggs:AtterbergLimitsTest</t>
        </is>
      </c>
    </row>
    <row r="188" ht="17" customHeight="1">
      <c r="A188">
        <f>IF(ISNA(VLOOKUP(B185,Definitions!B$2:B$1604,1,FALSE)),"Not listed","")</f>
        <v/>
      </c>
      <c r="B188" s="26" t="inlineStr">
        <is>
          <t>point_load_test_index</t>
        </is>
      </c>
      <c r="C188" s="21" t="inlineStr">
        <is>
          <t>//diggs:propertyClass</t>
        </is>
      </c>
      <c r="D188" s="21" t="inlineStr">
        <is>
          <t>ancestor::diggs:measurement//diggs:procedure/diggs:PointLoadTest</t>
        </is>
      </c>
    </row>
    <row r="189" ht="17" customHeight="1">
      <c r="A189">
        <f>IF(ISNA(VLOOKUP(B186,Definitions!B$2:B$1604,1,FALSE)),"Not listed","")</f>
        <v/>
      </c>
      <c r="B189" s="26" t="inlineStr">
        <is>
          <t>poisson_ratio</t>
        </is>
      </c>
      <c r="C189" s="21" t="inlineStr">
        <is>
          <t>//diggs:propertyClass</t>
        </is>
      </c>
      <c r="D189" s="21" t="inlineStr">
        <is>
          <t>ancestor::diggs:measurement//diggs:procedure/diggs:UnconfinedCompressiveStrengthTest</t>
        </is>
      </c>
    </row>
    <row r="190" ht="17" customHeight="1">
      <c r="A190">
        <f>IF(ISNA(VLOOKUP(B187,Definitions!B$2:B$1604,1,FALSE)),"Not listed","")</f>
        <v/>
      </c>
      <c r="B190" s="26" t="inlineStr">
        <is>
          <t>pore_pressure_equil</t>
        </is>
      </c>
      <c r="C190" s="21" t="inlineStr">
        <is>
          <t>//diggs:propertyClass</t>
        </is>
      </c>
      <c r="D190" s="21" t="inlineStr">
        <is>
          <t>ancestor::diggs:measurement//diggs:procedure/diggs:FlatPlateDilatometerTest</t>
        </is>
      </c>
    </row>
    <row r="191" ht="17" customHeight="1">
      <c r="A191">
        <f>IF(ISNA(VLOOKUP(B188,Definitions!B$2:B$1604,1,FALSE)),"Not listed","")</f>
        <v/>
      </c>
      <c r="B191" s="26" t="inlineStr">
        <is>
          <t>pore_pressure_equil</t>
        </is>
      </c>
      <c r="C191" s="21" t="inlineStr">
        <is>
          <t>//diggs:propertyClass</t>
        </is>
      </c>
      <c r="D191" s="21" t="inlineStr">
        <is>
          <t>ancestor::diggs:measurement//diggs:procedure/diggs:PorePressureDissipationTest</t>
        </is>
      </c>
    </row>
    <row r="192" ht="17" customHeight="1">
      <c r="A192">
        <f>IF(ISNA(VLOOKUP(B189,Definitions!B$2:B$1604,1,FALSE)),"Not listed","")</f>
        <v/>
      </c>
      <c r="B192" s="26" t="inlineStr">
        <is>
          <t>pore_pressure_est</t>
        </is>
      </c>
      <c r="C192" s="21" t="inlineStr">
        <is>
          <t>//diggs:propertyClass</t>
        </is>
      </c>
      <c r="D192" s="21" t="inlineStr">
        <is>
          <t>ancestor::diggs:measurement//diggs:procedure/diggs:FlatPlateDilatometerTest</t>
        </is>
      </c>
    </row>
    <row r="193" ht="17" customHeight="1">
      <c r="A193">
        <f>IF(ISNA(VLOOKUP(B190,Definitions!B$2:B$1604,1,FALSE)),"Not listed","")</f>
        <v/>
      </c>
      <c r="B193" s="38" t="inlineStr">
        <is>
          <t>pore_pressure_u1</t>
        </is>
      </c>
      <c r="C193" s="4" t="inlineStr">
        <is>
          <t>//diggs:propertyClass</t>
        </is>
      </c>
      <c r="D193" s="21" t="inlineStr">
        <is>
          <t>ancestor::diggs:dissipationTimeSeries</t>
        </is>
      </c>
    </row>
    <row r="194" ht="17" customHeight="1">
      <c r="A194">
        <f>IF(ISNA(VLOOKUP(B191,Definitions!B$2:B$1604,1,FALSE)),"Not listed","")</f>
        <v/>
      </c>
      <c r="B194" s="26" t="inlineStr">
        <is>
          <t>pore_pressure_u1</t>
        </is>
      </c>
      <c r="C194" s="21" t="inlineStr">
        <is>
          <t>//diggs:propertyClass</t>
        </is>
      </c>
      <c r="D194" s="21" t="inlineStr">
        <is>
          <t>ancestor::diggs:measurement//diggs:procedure/diggs:StaticConePenetrationTest</t>
        </is>
      </c>
    </row>
    <row r="195" ht="17" customHeight="1">
      <c r="A195">
        <f>IF(ISNA(VLOOKUP(B192,Definitions!B$2:B$1604,1,FALSE)),"Not listed","")</f>
        <v/>
      </c>
      <c r="B195" s="38" t="inlineStr">
        <is>
          <t>pore_pressure_u2</t>
        </is>
      </c>
      <c r="C195" s="4" t="inlineStr">
        <is>
          <t>//diggs:propertyClass</t>
        </is>
      </c>
      <c r="D195" s="21" t="inlineStr">
        <is>
          <t>ancestor::diggs:dissipationTimeSeries</t>
        </is>
      </c>
    </row>
    <row r="196" ht="17" customHeight="1">
      <c r="A196">
        <f>IF(ISNA(VLOOKUP(B193,Definitions!B$2:B$1604,1,FALSE)),"Not listed","")</f>
        <v/>
      </c>
      <c r="B196" s="26" t="inlineStr">
        <is>
          <t>pore_pressure_u2</t>
        </is>
      </c>
      <c r="C196" s="21" t="inlineStr">
        <is>
          <t>//diggs:propertyClass</t>
        </is>
      </c>
      <c r="D196" s="21" t="inlineStr">
        <is>
          <t>ancestor::diggs:measurement//diggs:procedure/diggs:StaticConePenetrationTest</t>
        </is>
      </c>
    </row>
    <row r="197" ht="17" customHeight="1">
      <c r="A197">
        <f>IF(ISNA(VLOOKUP(B194,Definitions!B$2:B$1604,1,FALSE)),"Not listed","")</f>
        <v/>
      </c>
      <c r="B197" s="38" t="inlineStr">
        <is>
          <t>pore_pressure_u3</t>
        </is>
      </c>
      <c r="C197" s="4" t="inlineStr">
        <is>
          <t>//diggs:propertyClass</t>
        </is>
      </c>
      <c r="D197" s="21" t="inlineStr">
        <is>
          <t>ancestor::diggs:dissipationTimeSeries</t>
        </is>
      </c>
    </row>
    <row r="198" ht="17" customHeight="1">
      <c r="A198">
        <f>IF(ISNA(VLOOKUP(B195,Definitions!B$2:B$1604,1,FALSE)),"Not listed","")</f>
        <v/>
      </c>
      <c r="B198" s="26" t="inlineStr">
        <is>
          <t>pore_pressure_u3</t>
        </is>
      </c>
      <c r="C198" s="21" t="inlineStr">
        <is>
          <t>//diggs:propertyClass</t>
        </is>
      </c>
      <c r="D198" s="21" t="inlineStr">
        <is>
          <t>ancestor::diggs:measurement//diggs:procedure/diggs:StaticConePenetrationTest</t>
        </is>
      </c>
    </row>
    <row r="199" ht="17" customHeight="1">
      <c r="A199">
        <f>IF(ISNA(VLOOKUP(B196,Definitions!B$2:B$1604,1,FALSE)),"Not listed","")</f>
        <v/>
      </c>
      <c r="B199" s="26" t="inlineStr">
        <is>
          <t>preconsolidation_pressure</t>
        </is>
      </c>
      <c r="C199" s="21" t="inlineStr">
        <is>
          <t>//diggs:propertyClass</t>
        </is>
      </c>
      <c r="D199" s="21" t="inlineStr">
        <is>
          <t>ancestor::diggs:measurement//diggs:procedure/diggs:ConsolidationTest</t>
        </is>
      </c>
    </row>
    <row r="200" ht="17" customHeight="1">
      <c r="A200">
        <f>IF(ISNA(VLOOKUP(B197,Definitions!B$2:B$1604,1,FALSE)),"Not listed","")</f>
        <v/>
      </c>
      <c r="B200" t="inlineStr">
        <is>
          <t>pressure_filtration_coeff</t>
        </is>
      </c>
      <c r="C200" s="4" t="inlineStr">
        <is>
          <t>//diggs:propertyClass</t>
        </is>
      </c>
      <c r="D200" s="21" t="inlineStr">
        <is>
          <t>ancestor::diggs:measurement//diggs:procedure/diggs:PressureFiltrationTest</t>
        </is>
      </c>
    </row>
    <row r="201" ht="17" customHeight="1">
      <c r="A201">
        <f>IF(ISNA(VLOOKUP([1]AssociatedElements!B293,Definitions!B$2:B$1604,1,FALSE)),"Not listed","")</f>
        <v/>
      </c>
      <c r="B201" s="38" t="inlineStr">
        <is>
          <t>pumping_rate</t>
        </is>
      </c>
      <c r="C201" s="4" t="inlineStr">
        <is>
          <t>//diggs:propertyClass</t>
        </is>
      </c>
      <c r="D201" s="21" t="inlineStr">
        <is>
          <t>ancestor::diggs:measurement//diggs:procedure/diggs:PumpingTest</t>
        </is>
      </c>
    </row>
    <row r="202" ht="17" customHeight="1">
      <c r="A202">
        <f>IF(ISNA(VLOOKUP(B199,Definitions!B$2:B$1604,1,FALSE)),"Not listed","")</f>
        <v/>
      </c>
      <c r="B202" s="26" t="inlineStr">
        <is>
          <t>recompression_index</t>
        </is>
      </c>
      <c r="C202" s="21" t="inlineStr">
        <is>
          <t>//diggs:propertyClass</t>
        </is>
      </c>
      <c r="D202" s="21" t="inlineStr">
        <is>
          <t>ancestor::diggs:measurement//diggs:procedure/diggs:ConsolidationTest</t>
        </is>
      </c>
    </row>
    <row r="203" ht="17" customHeight="1">
      <c r="A203">
        <f>IF(ISNA(VLOOKUP(B200,Definitions!B$2:B$1604,1,FALSE)),"Not listed","")</f>
        <v/>
      </c>
      <c r="B203" s="26" t="inlineStr">
        <is>
          <t>redox_potential</t>
        </is>
      </c>
      <c r="C203" s="21" t="inlineStr">
        <is>
          <t>//diggs:propertyClass</t>
        </is>
      </c>
      <c r="D203" s="21" t="inlineStr">
        <is>
          <t>ancestor::diggs:measurement//diggs:procedure/diggs:RedoxTest</t>
        </is>
      </c>
    </row>
    <row r="204" ht="17" customHeight="1">
      <c r="A204">
        <f>IF(ISNA(VLOOKUP(B201,Definitions!B$2:B$1604,1,FALSE)),"Not listed","")</f>
        <v/>
      </c>
      <c r="B204" s="26" t="inlineStr">
        <is>
          <t>relative_density</t>
        </is>
      </c>
      <c r="C204" s="21" t="inlineStr">
        <is>
          <t>//diggs:propertyClass</t>
        </is>
      </c>
      <c r="D204" s="21" t="inlineStr">
        <is>
          <t>ancestor::diggs:measurement//diggs:procedure/diggs:DrivenPenetrationTest</t>
        </is>
      </c>
    </row>
    <row r="205">
      <c r="A205">
        <f>IF(ISNA(VLOOKUP(B202,Definitions!B$2:B$1604,1,FALSE)),"Not listed","")</f>
        <v/>
      </c>
      <c r="B205" t="inlineStr">
        <is>
          <t>relative_density</t>
        </is>
      </c>
      <c r="C205" s="4" t="inlineStr">
        <is>
          <t>//diggs:propertyClass</t>
        </is>
      </c>
      <c r="D205" s="21" t="inlineStr">
        <is>
          <t>ancestor::diggs:measurement//diggs:procedure/diggs:RelativeDensityTest</t>
        </is>
      </c>
    </row>
    <row r="206" ht="17" customHeight="1">
      <c r="A206">
        <f>IF(ISNA(VLOOKUP(B203,Definitions!B$2:B$1604,1,FALSE)),"Not listed","")</f>
        <v/>
      </c>
      <c r="B206" s="38" t="inlineStr">
        <is>
          <t>resistivity</t>
        </is>
      </c>
      <c r="C206" s="4" t="inlineStr">
        <is>
          <t>//diggs:propertyClass</t>
        </is>
      </c>
      <c r="D206" s="21" t="inlineStr">
        <is>
          <t>ancestor::diggs:measurement//diggs:procedure/diggs:InSituResistivityTest</t>
        </is>
      </c>
    </row>
    <row r="207" ht="17" customHeight="1">
      <c r="A207">
        <f>IF(ISNA(VLOOKUP(B204,Definitions!B$2:B$1604,1,FALSE)),"Not listed","")</f>
        <v/>
      </c>
      <c r="B207" s="26" t="inlineStr">
        <is>
          <t>resistivity</t>
        </is>
      </c>
      <c r="C207" s="21" t="inlineStr">
        <is>
          <t>//diggs:propertyClass</t>
        </is>
      </c>
      <c r="D207" s="21" t="inlineStr">
        <is>
          <t>ancestor::diggs:measurement//diggs:procedure/diggs:LabResistivityTest</t>
        </is>
      </c>
    </row>
    <row r="208" ht="17" customHeight="1">
      <c r="A208">
        <f>IF(ISNA(VLOOKUP(B205,Definitions!B$2:B$1604,1,FALSE)),"Not listed","")</f>
        <v/>
      </c>
      <c r="B208" t="inlineStr">
        <is>
          <t>rock_porosity</t>
        </is>
      </c>
      <c r="C208" s="4" t="inlineStr">
        <is>
          <t>//diggs:propertyClass</t>
        </is>
      </c>
      <c r="D208" s="21" t="inlineStr">
        <is>
          <t>ancestor::diggs:measurement//diggs:procedure/diggs:RockPorosityDensityTest</t>
        </is>
      </c>
    </row>
    <row r="209" ht="17" customHeight="1">
      <c r="A209">
        <f>IF(ISNA(VLOOKUP(B206,Definitions!B$2:B$1604,1,FALSE)),"Not listed","")</f>
        <v/>
      </c>
      <c r="B209" t="inlineStr">
        <is>
          <t>schmidt_hardness_value</t>
        </is>
      </c>
      <c r="C209" s="4" t="inlineStr">
        <is>
          <t>//diggs:propertyClass</t>
        </is>
      </c>
      <c r="D209" s="21" t="inlineStr">
        <is>
          <t>ancestor::diggs:measurement//diggs:procedure/diggs:SchmidtReboundHardnessTest</t>
        </is>
      </c>
    </row>
    <row r="210" ht="17" customHeight="1">
      <c r="A210">
        <f>IF(ISNA(VLOOKUP(B207,Definitions!B$2:B$1604,1,FALSE)),"Not listed","")</f>
        <v/>
      </c>
      <c r="B210" s="26" t="inlineStr">
        <is>
          <t>sensitivity</t>
        </is>
      </c>
      <c r="C210" s="21" t="inlineStr">
        <is>
          <t>//diggs:propertyClass</t>
        </is>
      </c>
      <c r="D210" s="21" t="inlineStr">
        <is>
          <t>ancestor::diggs:measurement//diggs:procedure/diggs:InsituVaneTest</t>
        </is>
      </c>
    </row>
    <row r="211" ht="17" customHeight="1">
      <c r="A211">
        <f>IF(ISNA(VLOOKUP(B208,Definitions!B$2:B$1604,1,FALSE)),"Not listed","")</f>
        <v/>
      </c>
      <c r="B211" s="26" t="inlineStr">
        <is>
          <t>sensitivity</t>
        </is>
      </c>
      <c r="C211" s="21" t="inlineStr">
        <is>
          <t>//diggs:propertyClass</t>
        </is>
      </c>
      <c r="D211" s="21" t="inlineStr">
        <is>
          <t>ancestor::diggs:measurement//diggs:procedure/diggs:LabVaneTest</t>
        </is>
      </c>
    </row>
    <row r="212" ht="17" customHeight="1">
      <c r="A212">
        <f>IF(ISNA(VLOOKUP(B209,Definitions!B$2:B$1604,1,FALSE)),"Not listed","")</f>
        <v/>
      </c>
      <c r="B212" s="26" t="inlineStr">
        <is>
          <t>sensitivity</t>
        </is>
      </c>
      <c r="C212" s="21" t="inlineStr">
        <is>
          <t>//diggs:propertyClass</t>
        </is>
      </c>
      <c r="D212" s="21" t="inlineStr">
        <is>
          <t>ancestor::diggs:measurement//diggs:procedure/diggs:UnconfinedCompressiveStrengthTest</t>
        </is>
      </c>
    </row>
    <row r="213">
      <c r="A213">
        <f>IF(ISNA(VLOOKUP(B210,Definitions!B$2:B$1604,1,FALSE)),"Not listed","")</f>
        <v/>
      </c>
      <c r="B213" t="inlineStr">
        <is>
          <t>set_time</t>
        </is>
      </c>
      <c r="C213" s="4" t="inlineStr">
        <is>
          <t>//diggs:propertyClass</t>
        </is>
      </c>
      <c r="D213" s="21" t="inlineStr">
        <is>
          <t>ancestor::diggs:measurement//diggs:procedure/diggs:SetTimeTest</t>
        </is>
      </c>
    </row>
    <row r="214">
      <c r="A214">
        <f>IF(ISNA(VLOOKUP(B211,Definitions!B$2:B$1604,1,FALSE)),"Not listed","")</f>
        <v/>
      </c>
      <c r="B214" t="inlineStr">
        <is>
          <t>shear_strength_drained</t>
        </is>
      </c>
      <c r="C214" s="4" t="inlineStr">
        <is>
          <t>//diggs:propertyClass</t>
        </is>
      </c>
      <c r="D214" s="21" t="inlineStr">
        <is>
          <t>ancestor::diggs:measurement//diggs:procedure/diggs:LabPenetrometerTest</t>
        </is>
      </c>
    </row>
    <row r="215" ht="17" customHeight="1">
      <c r="A215">
        <f>IF(ISNA(VLOOKUP(B212,Definitions!B$2:B$1604,1,FALSE)),"Not listed","")</f>
        <v/>
      </c>
      <c r="B215" s="26" t="inlineStr">
        <is>
          <t>shear_strength_drained</t>
        </is>
      </c>
      <c r="C215" s="21" t="inlineStr">
        <is>
          <t>//diggs:propertyClass</t>
        </is>
      </c>
      <c r="D215" s="21" t="inlineStr">
        <is>
          <t>ancestor::diggs:measurement//diggs:procedure/diggs:PocketPenetrometerTest</t>
        </is>
      </c>
    </row>
    <row r="216" ht="17" customHeight="1">
      <c r="A216">
        <f>IF(ISNA(VLOOKUP(B213,Definitions!B$2:B$1604,1,FALSE)),"Not listed","")</f>
        <v/>
      </c>
      <c r="B216" t="inlineStr">
        <is>
          <t>shear_strength_drained</t>
        </is>
      </c>
      <c r="C216" s="4" t="inlineStr">
        <is>
          <t>//diggs:propertyClass</t>
        </is>
      </c>
      <c r="D216" s="21" t="inlineStr">
        <is>
          <t>ancestor::diggs:measurement//diggs:procedure/diggs:PressuremeterTest</t>
        </is>
      </c>
    </row>
    <row r="217" ht="17" customHeight="1">
      <c r="A217">
        <f>IF(ISNA(VLOOKUP(B214,Definitions!B$2:B$1604,1,FALSE)),"Not listed","")</f>
        <v/>
      </c>
      <c r="B217" t="inlineStr">
        <is>
          <t>shear_strength_drained</t>
        </is>
      </c>
      <c r="C217" s="4" t="inlineStr">
        <is>
          <t>//diggs:propertyClass</t>
        </is>
      </c>
      <c r="D217" s="21" t="inlineStr">
        <is>
          <t>ancestor::diggs:measurement//diggs:procedure/diggs:TriaxialTest</t>
        </is>
      </c>
    </row>
    <row r="218" ht="17" customHeight="1">
      <c r="A218">
        <f>IF(ISNA(VLOOKUP(B216,Definitions!B$2:B$1604,1,FALSE)),"Not listed","")</f>
        <v/>
      </c>
      <c r="B218" s="26" t="inlineStr">
        <is>
          <t>shear_strength_undrained</t>
        </is>
      </c>
      <c r="C218" s="21" t="inlineStr">
        <is>
          <t>//diggs:propertyClass</t>
        </is>
      </c>
      <c r="D218" s="21" t="inlineStr">
        <is>
          <t>ancestor::diggs:measurement//diggs:procedure/diggs:FlatPlateDilatometerTest</t>
        </is>
      </c>
    </row>
    <row r="219" ht="17" customHeight="1">
      <c r="A219">
        <f>IF(ISNA(VLOOKUP(B217,Definitions!B$2:B$1604,1,FALSE)),"Not listed","")</f>
        <v/>
      </c>
      <c r="B219" s="26" t="inlineStr">
        <is>
          <t>shear_strength_undrained</t>
        </is>
      </c>
      <c r="C219" s="21" t="inlineStr">
        <is>
          <t>//diggs:propertyClass</t>
        </is>
      </c>
      <c r="D219" s="21" t="inlineStr">
        <is>
          <t>ancestor::diggs:measurement//diggs:procedure/diggs:InsituVaneTest</t>
        </is>
      </c>
    </row>
    <row r="220" ht="17" customHeight="1">
      <c r="A220">
        <f>IF(ISNA(VLOOKUP(B218,Definitions!B$2:B$1604,1,FALSE)),"Not listed","")</f>
        <v/>
      </c>
      <c r="B220" t="inlineStr">
        <is>
          <t>shear_strength_undrained</t>
        </is>
      </c>
      <c r="C220" s="4" t="inlineStr">
        <is>
          <t>//diggs:propertyClass</t>
        </is>
      </c>
      <c r="D220" s="21" t="inlineStr">
        <is>
          <t>ancestor::diggs:measurement//diggs:procedure/diggs:LabPenetrometerTest</t>
        </is>
      </c>
    </row>
    <row r="221" ht="17" customHeight="1">
      <c r="A221">
        <f>IF(ISNA(VLOOKUP(B219,Definitions!B$2:B$1604,1,FALSE)),"Not listed","")</f>
        <v/>
      </c>
      <c r="B221" s="26" t="inlineStr">
        <is>
          <t>shear_strength_undrained</t>
        </is>
      </c>
      <c r="C221" s="21" t="inlineStr">
        <is>
          <t>//diggs:propertyClass</t>
        </is>
      </c>
      <c r="D221" s="21" t="inlineStr">
        <is>
          <t>ancestor::diggs:measurement//diggs:procedure/diggs:LabVaneTest</t>
        </is>
      </c>
    </row>
    <row r="222" ht="17" customHeight="1">
      <c r="A222">
        <f>IF(ISNA(VLOOKUP(B220,Definitions!B$2:B$1604,1,FALSE)),"Not listed","")</f>
        <v/>
      </c>
      <c r="B222" s="26" t="inlineStr">
        <is>
          <t>shear_strength_undrained</t>
        </is>
      </c>
      <c r="C222" s="21" t="inlineStr">
        <is>
          <t>//diggs:propertyClass</t>
        </is>
      </c>
      <c r="D222" s="21" t="inlineStr">
        <is>
          <t>ancestor::diggs:measurement//diggs:procedure/diggs:PocketPenetrometerTest</t>
        </is>
      </c>
    </row>
    <row r="223" ht="17" customHeight="1">
      <c r="A223">
        <f>IF(ISNA(VLOOKUP(B221,Definitions!B$2:B$1604,1,FALSE)),"Not listed","")</f>
        <v/>
      </c>
      <c r="B223" t="inlineStr">
        <is>
          <t>shear_strength_undrained</t>
        </is>
      </c>
      <c r="C223" s="4" t="inlineStr">
        <is>
          <t>//diggs:propertyClass</t>
        </is>
      </c>
      <c r="D223" s="21" t="inlineStr">
        <is>
          <t>ancestor::diggs:measurement//diggs:procedure/diggs:PressuremeterTest</t>
        </is>
      </c>
    </row>
    <row r="224" ht="17" customHeight="1">
      <c r="A224">
        <f>IF(ISNA(VLOOKUP(B222,Definitions!B$2:B$1604,1,FALSE)),"Not listed","")</f>
        <v/>
      </c>
      <c r="B224" t="inlineStr">
        <is>
          <t>shear_strength_undrained</t>
        </is>
      </c>
      <c r="C224" s="4" t="inlineStr">
        <is>
          <t>//diggs:propertyClass</t>
        </is>
      </c>
      <c r="D224" s="21" t="inlineStr">
        <is>
          <t>ancestor::diggs:measurement//diggs:procedure/diggs:TriaxialTest</t>
        </is>
      </c>
    </row>
    <row r="225" ht="17" customHeight="1">
      <c r="A225">
        <f>IF(ISNA(VLOOKUP(B223,Definitions!B$2:B$1604,1,FALSE)),"Not listed","")</f>
        <v/>
      </c>
      <c r="B225" s="26" t="inlineStr">
        <is>
          <t>shear_strength_undrained</t>
        </is>
      </c>
      <c r="C225" s="21" t="inlineStr">
        <is>
          <t>//diggs:propertyClass</t>
        </is>
      </c>
      <c r="D225" s="21" t="inlineStr">
        <is>
          <t>ancestor::diggs:measurement//diggs:procedure/diggs:TriaxialTest</t>
        </is>
      </c>
    </row>
    <row r="226" ht="17" customHeight="1">
      <c r="A226">
        <f>IF(ISNA(VLOOKUP(B224,Definitions!B$2:B$1604,1,FALSE)),"Not listed","")</f>
        <v/>
      </c>
      <c r="B226" s="26" t="inlineStr">
        <is>
          <t>shear_strength_undrained_residual</t>
        </is>
      </c>
      <c r="C226" s="21" t="inlineStr">
        <is>
          <t>//diggs:propertyClass</t>
        </is>
      </c>
      <c r="D226" s="21" t="inlineStr">
        <is>
          <t>ancestor::diggs:measurement//diggs:procedure/diggs:FlatPlateDilatometerTest</t>
        </is>
      </c>
    </row>
    <row r="227" ht="17" customHeight="1">
      <c r="A227">
        <f>IF(ISNA(VLOOKUP(B225,Definitions!B$2:B$1604,1,FALSE)),"Not listed","")</f>
        <v/>
      </c>
      <c r="B227" s="26" t="inlineStr">
        <is>
          <t>shear_strength_undrained_residual</t>
        </is>
      </c>
      <c r="C227" s="21" t="inlineStr">
        <is>
          <t>//diggs:propertyClass</t>
        </is>
      </c>
      <c r="D227" s="21" t="inlineStr">
        <is>
          <t>ancestor::diggs:measurement//diggs:procedure/diggs:InsituVaneTest</t>
        </is>
      </c>
    </row>
    <row r="228" ht="17" customHeight="1">
      <c r="A228">
        <f>IF(ISNA(VLOOKUP(B226,Definitions!B$2:B$1604,1,FALSE)),"Not listed","")</f>
        <v/>
      </c>
      <c r="B228" t="inlineStr">
        <is>
          <t>shear_strength_undrained_residual</t>
        </is>
      </c>
      <c r="C228" s="4" t="inlineStr">
        <is>
          <t>//diggs:propertyClass</t>
        </is>
      </c>
      <c r="D228" s="21" t="inlineStr">
        <is>
          <t>ancestor::diggs:measurement//diggs:procedure/diggs:LabPenetrometerTest</t>
        </is>
      </c>
    </row>
    <row r="229" ht="17" customHeight="1">
      <c r="A229">
        <f>IF(ISNA(VLOOKUP(B227,Definitions!B$2:B$1604,1,FALSE)),"Not listed","")</f>
        <v/>
      </c>
      <c r="B229" s="26" t="inlineStr">
        <is>
          <t>shear_strength_undrained_residual</t>
        </is>
      </c>
      <c r="C229" s="21" t="inlineStr">
        <is>
          <t>//diggs:propertyClass</t>
        </is>
      </c>
      <c r="D229" s="21" t="inlineStr">
        <is>
          <t>ancestor::diggs:measurement//diggs:procedure/diggs:LabVaneTest</t>
        </is>
      </c>
    </row>
    <row r="230" ht="17" customHeight="1">
      <c r="A230">
        <f>IF(ISNA(VLOOKUP(B228,Definitions!B$2:B$1604,1,FALSE)),"Not listed","")</f>
        <v/>
      </c>
      <c r="B230" s="26" t="inlineStr">
        <is>
          <t>shear_strength_undrained_residual</t>
        </is>
      </c>
      <c r="C230" s="21" t="inlineStr">
        <is>
          <t>//diggs:propertyClass</t>
        </is>
      </c>
      <c r="D230" s="21" t="inlineStr">
        <is>
          <t>ancestor::diggs:measurement//diggs:procedure/diggs:PocketPenetrometerTest</t>
        </is>
      </c>
    </row>
    <row r="231" ht="17" customHeight="1">
      <c r="A231">
        <f>IF(ISNA(VLOOKUP(B229,Definitions!B$2:B$1604,1,FALSE)),"Not listed","")</f>
        <v/>
      </c>
      <c r="B231" t="inlineStr">
        <is>
          <t>shear_strength_undrained_residual</t>
        </is>
      </c>
      <c r="C231" s="4" t="inlineStr">
        <is>
          <t>//diggs:propertyClass</t>
        </is>
      </c>
      <c r="D231" s="21" t="inlineStr">
        <is>
          <t>ancestor::diggs:measurement//diggs:procedure/diggs:PressuremeterTest</t>
        </is>
      </c>
    </row>
    <row r="232" ht="17" customHeight="1">
      <c r="A232">
        <f>IF(ISNA(VLOOKUP(B230,Definitions!B$2:B$1604,1,FALSE)),"Not listed","")</f>
        <v/>
      </c>
      <c r="B232" t="inlineStr">
        <is>
          <t>shear_strength_undrained_residual</t>
        </is>
      </c>
      <c r="C232" s="4" t="inlineStr">
        <is>
          <t>//diggs:propertyClass</t>
        </is>
      </c>
      <c r="D232" s="21" t="inlineStr">
        <is>
          <t>ancestor::diggs:measurement//diggs:procedure/diggs:TriaxialTest</t>
        </is>
      </c>
    </row>
    <row r="233" ht="17" customHeight="1">
      <c r="A233">
        <f>IF(ISNA(VLOOKUP(B231,Definitions!B$2:B$1604,1,FALSE)),"Not listed","")</f>
        <v/>
      </c>
      <c r="B233" s="26" t="inlineStr">
        <is>
          <t>shear_strength_undrained_residual</t>
        </is>
      </c>
      <c r="C233" s="21" t="inlineStr">
        <is>
          <t>//diggs:propertyClass</t>
        </is>
      </c>
      <c r="D233" s="21" t="inlineStr">
        <is>
          <t>ancestor::diggs:measurement//diggs:procedure/diggs:TriaxialTest</t>
        </is>
      </c>
    </row>
    <row r="234" ht="17" customHeight="1">
      <c r="A234">
        <f>IF(ISNA(VLOOKUP(B232,Definitions!B$2:B$1604,1,FALSE)),"Not listed","")</f>
        <v/>
      </c>
      <c r="B234" s="38" t="inlineStr">
        <is>
          <t>shear_velocity</t>
        </is>
      </c>
      <c r="C234" s="4" t="inlineStr">
        <is>
          <t>//diggs:propertyClass</t>
        </is>
      </c>
      <c r="D234" s="21" t="inlineStr">
        <is>
          <t>ancestor::diggs:measurement//diggs:procedure/diggs:LabVelocityTest</t>
        </is>
      </c>
    </row>
    <row r="235">
      <c r="A235">
        <f>IF(ISNA(VLOOKUP(B233,Definitions!B$2:B$1604,1,FALSE)),"Not listed","")</f>
        <v/>
      </c>
      <c r="B235" t="inlineStr">
        <is>
          <t>shore_hardness_value</t>
        </is>
      </c>
      <c r="C235" s="4" t="inlineStr">
        <is>
          <t>//diggs:propertyClass</t>
        </is>
      </c>
      <c r="D235" s="21" t="inlineStr">
        <is>
          <t>ancestor::diggs:measurement//diggs:procedure/diggs:ShoreScleroscopeHardnessTest</t>
        </is>
      </c>
    </row>
    <row r="236" ht="17" customHeight="1">
      <c r="A236">
        <f>IF(ISNA(VLOOKUP(B234,Definitions!B$2:B$1604,1,FALSE)),"Not listed","")</f>
        <v/>
      </c>
      <c r="B236" s="38" t="inlineStr">
        <is>
          <t>shrinkage</t>
        </is>
      </c>
      <c r="C236" s="4" t="inlineStr">
        <is>
          <t>//diggs:propertyClass</t>
        </is>
      </c>
      <c r="D236" s="21" t="inlineStr">
        <is>
          <t>ancestor::diggs:measurement//diggs:procedure/diggs:LinearShrinkageTest</t>
        </is>
      </c>
    </row>
    <row r="237" ht="17" customHeight="1">
      <c r="A237">
        <f>IF(ISNA(VLOOKUP(B235,Definitions!B$2:B$1604,1,FALSE)),"Not listed","")</f>
        <v/>
      </c>
      <c r="B237" t="inlineStr">
        <is>
          <t>shrinkage</t>
        </is>
      </c>
      <c r="C237" s="4" t="inlineStr">
        <is>
          <t>//diggs:propertyClass</t>
        </is>
      </c>
      <c r="D237" s="21" t="inlineStr">
        <is>
          <t>ancestor::diggs:measurement//diggs:procedure/diggs:ShrinkageTest</t>
        </is>
      </c>
    </row>
    <row r="238" ht="17" customHeight="1">
      <c r="A238">
        <f>IF(ISNA(VLOOKUP(B236,Definitions!B$2:B$1604,1,FALSE)),"Not listed","")</f>
        <v/>
      </c>
      <c r="B238" s="26" t="inlineStr">
        <is>
          <t>shrinkage_limit</t>
        </is>
      </c>
      <c r="C238" s="21" t="inlineStr">
        <is>
          <t>//diggs:propertyClass</t>
        </is>
      </c>
      <c r="D238" s="21" t="inlineStr">
        <is>
          <t>ancestor::diggs:measurement//diggs:procedure/diggs:AtterbergLimitsTest</t>
        </is>
      </c>
    </row>
    <row r="239" ht="17" customHeight="1">
      <c r="A239">
        <f>IF(ISNA(VLOOKUP(B237,Definitions!B$2:B$1604,1,FALSE)),"Not listed","")</f>
        <v/>
      </c>
      <c r="B239" s="26" t="inlineStr">
        <is>
          <t>shrinkage_ratio</t>
        </is>
      </c>
      <c r="C239" s="21" t="inlineStr">
        <is>
          <t>//diggs:propertyClass</t>
        </is>
      </c>
      <c r="D239" s="21" t="inlineStr">
        <is>
          <t>ancestor::diggs:measurement//diggs:procedure/diggs:AtterbergLimitsTest</t>
        </is>
      </c>
    </row>
    <row r="240">
      <c r="A240">
        <f>IF(ISNA(VLOOKUP(B238,Definitions!B$2:B$1604,1,FALSE)),"Not listed","")</f>
        <v/>
      </c>
      <c r="B240" t="inlineStr">
        <is>
          <t>slake_durability_index</t>
        </is>
      </c>
      <c r="C240" s="4" t="inlineStr">
        <is>
          <t>//diggs:propertyClass</t>
        </is>
      </c>
      <c r="D240" s="21" t="inlineStr">
        <is>
          <t>ancestor::diggs:measurement//diggs:procedure/diggs:AggregateSlakeDurabilityTest</t>
        </is>
      </c>
    </row>
    <row r="241" ht="17" customHeight="1">
      <c r="A241">
        <f>IF(ISNA(VLOOKUP(B239,Definitions!B$2:B$1604,1,FALSE)),"Not listed","")</f>
        <v/>
      </c>
      <c r="B241" s="26" t="inlineStr">
        <is>
          <t>sleeve_friction</t>
        </is>
      </c>
      <c r="C241" s="21" t="inlineStr">
        <is>
          <t>//diggs:propertyClass</t>
        </is>
      </c>
      <c r="D241" s="21" t="inlineStr">
        <is>
          <t>ancestor::diggs:measurement//diggs:procedure/diggs:StaticConePenetrationTest</t>
        </is>
      </c>
    </row>
    <row r="242">
      <c r="A242">
        <f>IF(ISNA(VLOOKUP(B240,Definitions!B$2:B$1604,1,FALSE)),"Not listed","")</f>
        <v/>
      </c>
      <c r="B242" t="inlineStr">
        <is>
          <t>slump</t>
        </is>
      </c>
      <c r="C242" s="4" t="inlineStr">
        <is>
          <t>//diggs:propertyClass</t>
        </is>
      </c>
      <c r="D242" s="21" t="inlineStr">
        <is>
          <t>ancestor::diggs:measurement//diggs:procedure/diggs:SlumpTest</t>
        </is>
      </c>
    </row>
    <row r="243" ht="17" customHeight="1">
      <c r="A243">
        <f>IF(ISNA(VLOOKUP(B241,Definitions!B$2:B$1604,1,FALSE)),"Not listed","")</f>
        <v/>
      </c>
      <c r="B243" s="26" t="inlineStr">
        <is>
          <t>soil_moisture_content</t>
        </is>
      </c>
      <c r="C243" s="21" t="inlineStr">
        <is>
          <t>//diggs:propertyClass</t>
        </is>
      </c>
      <c r="D243" s="21" t="inlineStr">
        <is>
          <t>ancestor::diggs:measurement//diggs:procedure/diggs:StaticConePenetrationTest</t>
        </is>
      </c>
    </row>
    <row r="244" ht="17" customHeight="1">
      <c r="A244">
        <f>IF(ISNA(VLOOKUP(B242,Definitions!B$2:B$1604,1,FALSE)),"Not listed","")</f>
        <v/>
      </c>
      <c r="B244" t="inlineStr">
        <is>
          <t>soil_suction</t>
        </is>
      </c>
      <c r="C244" s="4" t="inlineStr">
        <is>
          <t>//diggs:propertyClass</t>
        </is>
      </c>
      <c r="D244" s="21" t="inlineStr">
        <is>
          <t>ancestor::diggs:measurement//diggs:procedure/diggs:SuctionTest</t>
        </is>
      </c>
    </row>
    <row r="245" ht="17" customHeight="1">
      <c r="A245">
        <f>IF(ISNA(VLOOKUP(B243,Definitions!B$2:B$1604,1,FALSE)),"Not listed","")</f>
        <v/>
      </c>
      <c r="B245" s="26" t="inlineStr">
        <is>
          <t>soil_type</t>
        </is>
      </c>
      <c r="C245" s="21" t="inlineStr">
        <is>
          <t>//diggs:propertyClass</t>
        </is>
      </c>
      <c r="D245" s="21" t="inlineStr">
        <is>
          <t>ancestor::diggs:measurement//diggs:procedure/diggs:FlatPlateDilatometerTest</t>
        </is>
      </c>
    </row>
    <row r="246" ht="17" customHeight="1">
      <c r="A246">
        <f>IF(ISNA(VLOOKUP(B244,Definitions!B$2:B$1604,1,FALSE)),"Not listed","")</f>
        <v/>
      </c>
      <c r="B246" s="26" t="inlineStr">
        <is>
          <t>specific_gravity_apparent</t>
        </is>
      </c>
      <c r="C246" s="21" t="inlineStr">
        <is>
          <t>//diggs:propertyClass</t>
        </is>
      </c>
      <c r="D246" s="21" t="inlineStr">
        <is>
          <t>ancestor::diggs:measurement//diggs:procedure/diggs:SpecificGravityTest</t>
        </is>
      </c>
    </row>
    <row r="247" ht="17" customHeight="1">
      <c r="A247">
        <f>IF(ISNA(VLOOKUP(B245,Definitions!B$2:B$1604,1,FALSE)),"Not listed","")</f>
        <v/>
      </c>
      <c r="B247" s="26" t="inlineStr">
        <is>
          <t>specific_gravity_bulk</t>
        </is>
      </c>
      <c r="C247" s="21" t="inlineStr">
        <is>
          <t>//diggs:propertyClass</t>
        </is>
      </c>
      <c r="D247" s="21" t="inlineStr">
        <is>
          <t>ancestor::diggs:measurement//diggs:procedure/diggs:SpecificGravityTest</t>
        </is>
      </c>
    </row>
    <row r="248" ht="17" customHeight="1">
      <c r="A248">
        <f>IF(ISNA(VLOOKUP(B246,Definitions!B$2:B$1604,1,FALSE)),"Not listed","")</f>
        <v/>
      </c>
      <c r="B248" s="26" t="inlineStr">
        <is>
          <t>specific_gravity_solids</t>
        </is>
      </c>
      <c r="C248" s="21" t="inlineStr">
        <is>
          <t>//diggs:propertyClass</t>
        </is>
      </c>
      <c r="D248" s="21" t="inlineStr">
        <is>
          <t>ancestor::diggs:measurement//diggs:procedure/diggs:LabCompactionTest</t>
        </is>
      </c>
    </row>
    <row r="249" ht="17" customHeight="1">
      <c r="A249">
        <f>IF(ISNA(VLOOKUP([1]AssociatedElements!B231,Definitions!B$2:B$1604,1,FALSE)),"Not listed","")</f>
        <v/>
      </c>
      <c r="B249" s="26" t="inlineStr">
        <is>
          <t>specific_gravity_solids</t>
        </is>
      </c>
      <c r="C249" s="21" t="inlineStr">
        <is>
          <t>//diggs:propertyClass</t>
        </is>
      </c>
      <c r="D249" s="21" t="inlineStr">
        <is>
          <t>ancestor::diggs:measurement//diggs:procedure/diggs:SpecificGravityTest</t>
        </is>
      </c>
    </row>
    <row r="250" ht="17" customHeight="1">
      <c r="A250">
        <f>IF(ISNA(VLOOKUP(B248,Definitions!B$2:B$1604,1,FALSE)),"Not listed","")</f>
        <v/>
      </c>
      <c r="B250" s="26" t="inlineStr">
        <is>
          <t>sulfate_content</t>
        </is>
      </c>
      <c r="C250" s="21" t="inlineStr">
        <is>
          <t>//diggs:propertyClass</t>
        </is>
      </c>
      <c r="D250" s="21" t="inlineStr">
        <is>
          <t>ancestor::diggs:measurement//diggs:procedure/diggs:LabChemicalTest</t>
        </is>
      </c>
    </row>
    <row r="251" ht="17" customHeight="1">
      <c r="A251">
        <f>IF(ISNA(VLOOKUP([1]AssociatedElements!B287,Definitions!B$2:B$1604,1,FALSE)),"Not listed","")</f>
        <v/>
      </c>
      <c r="B251" s="38" t="inlineStr">
        <is>
          <t>swell_pressure</t>
        </is>
      </c>
      <c r="C251" s="4" t="inlineStr">
        <is>
          <t>//diggs:propertyClass</t>
        </is>
      </c>
      <c r="D251" s="21" t="inlineStr">
        <is>
          <t>ancestor::diggs:measurement//diggs:procedure/diggs:SwellOrCollapseTest</t>
        </is>
      </c>
    </row>
    <row r="252">
      <c r="A252">
        <f>IF(ISNA(VLOOKUP(B250,Definitions!B$2:B$1604,1,FALSE)),"Not listed","")</f>
        <v/>
      </c>
      <c r="B252" t="inlineStr">
        <is>
          <t>syneresis</t>
        </is>
      </c>
      <c r="C252" s="4" t="inlineStr">
        <is>
          <t>//diggs:propertyClass</t>
        </is>
      </c>
      <c r="D252" s="21" t="inlineStr">
        <is>
          <t>ancestor::diggs:measurement//diggs:procedure/diggs:SyneresisTest</t>
        </is>
      </c>
    </row>
    <row r="253" ht="17" customHeight="1">
      <c r="A253">
        <f>IF(ISNA(VLOOKUP(B251,Definitions!B$2:B$1604,1,FALSE)),"Not listed","")</f>
        <v/>
      </c>
      <c r="B253" s="38" t="inlineStr">
        <is>
          <t>syneresis</t>
        </is>
      </c>
      <c r="C253" s="4" t="inlineStr">
        <is>
          <t>//diggs:propertyClass</t>
        </is>
      </c>
      <c r="D253" s="21" t="inlineStr">
        <is>
          <t>ancestor::diggs:syneresisTimeSeries</t>
        </is>
      </c>
    </row>
    <row r="254" ht="17" customHeight="1">
      <c r="A254">
        <f>IF(ISNA(VLOOKUP(B252,Definitions!B$2:B$1604,1,FALSE)),"Not listed","")</f>
        <v/>
      </c>
      <c r="B254" t="inlineStr">
        <is>
          <t>syneresis_surface_area_normalized</t>
        </is>
      </c>
      <c r="C254" s="4" t="inlineStr">
        <is>
          <t>//diggs:propertyClass</t>
        </is>
      </c>
      <c r="D254" s="21" t="inlineStr">
        <is>
          <t>ancestor::diggs:measurement//diggs:procedure/diggs:SyneresisTest</t>
        </is>
      </c>
    </row>
    <row r="255" ht="17" customHeight="1">
      <c r="A255">
        <f>IF(ISNA(VLOOKUP(B253,Definitions!B$2:B$1604,1,FALSE)),"Not listed","")</f>
        <v/>
      </c>
      <c r="B255" s="38" t="inlineStr">
        <is>
          <t>syneresis_surface_area_normalized</t>
        </is>
      </c>
      <c r="C255" s="4" t="inlineStr">
        <is>
          <t>//diggs:propertyClass</t>
        </is>
      </c>
      <c r="D255" s="21" t="inlineStr">
        <is>
          <t>ancestor::diggs:syneresisTimeSeries</t>
        </is>
      </c>
    </row>
    <row r="256" ht="17" customHeight="1">
      <c r="A256">
        <f>IF(ISNA(VLOOKUP(B254,Definitions!B$2:B$1604,1,FALSE)),"Not listed","")</f>
        <v/>
      </c>
      <c r="B256" s="26" t="inlineStr">
        <is>
          <t>t50</t>
        </is>
      </c>
      <c r="C256" s="21" t="inlineStr">
        <is>
          <t>//diggs:propertyClass</t>
        </is>
      </c>
      <c r="D256" s="21" t="inlineStr">
        <is>
          <t>ancestor::diggs:measurement//diggs:procedure/diggs:PorePressureDissipationTest</t>
        </is>
      </c>
    </row>
    <row r="257" ht="17" customHeight="1">
      <c r="A257">
        <f>IF(ISNA(VLOOKUP([1]AssociatedElements!B276,Definitions!B$2:B$1604,1,FALSE)),"Not listed","")</f>
        <v/>
      </c>
      <c r="B257" s="26" t="inlineStr">
        <is>
          <t>temperature</t>
        </is>
      </c>
      <c r="C257" s="4" t="inlineStr">
        <is>
          <t>//diggs:propertyClass</t>
        </is>
      </c>
      <c r="D257" s="21" t="inlineStr">
        <is>
          <t>ancestor::diggs:measurement//diggs:procedure/diggs:WaterLevelMonitoring</t>
        </is>
      </c>
    </row>
    <row r="258" ht="17" customHeight="1">
      <c r="A258">
        <f>IF(ISNA(VLOOKUP(B256,Definitions!B$2:B$1604,1,FALSE)),"Not listed","")</f>
        <v/>
      </c>
      <c r="B258" s="26" t="inlineStr">
        <is>
          <t>temperature</t>
        </is>
      </c>
      <c r="C258" s="21" t="inlineStr">
        <is>
          <t>//diggs:propertyClass</t>
        </is>
      </c>
      <c r="D258" s="21" t="inlineStr">
        <is>
          <t>ancestor::diggs:measurement//diggs:procedure/diggs:StaticConePenetrationTest</t>
        </is>
      </c>
    </row>
    <row r="259" ht="17" customHeight="1">
      <c r="A259">
        <f>IF(ISNA(VLOOKUP(B257,Definitions!B$2:B$1604,1,FALSE)),"Not listed","")</f>
        <v/>
      </c>
      <c r="B259" t="inlineStr">
        <is>
          <t>ten_percent_fines_value</t>
        </is>
      </c>
      <c r="C259" s="4" t="inlineStr">
        <is>
          <t>//diggs:propertyClass</t>
        </is>
      </c>
      <c r="D259" s="21" t="inlineStr">
        <is>
          <t>ancestor::diggs:measurement//diggs:procedure/diggs:AggregateTenPercentFinesTest</t>
        </is>
      </c>
    </row>
    <row r="260" ht="17" customHeight="1">
      <c r="A260">
        <f>IF(ISNA(VLOOKUP([1]AssociatedElements!B294,Definitions!B$2:B$1604,1,FALSE)),"Not listed","")</f>
        <v/>
      </c>
      <c r="B260" s="38" t="inlineStr">
        <is>
          <t>tensile_strength</t>
        </is>
      </c>
      <c r="C260" s="4" t="inlineStr">
        <is>
          <t>//diggs:propertyClass</t>
        </is>
      </c>
      <c r="D260" s="21" t="inlineStr">
        <is>
          <t>ancestor::diggs:measurement//diggs:procedure/diggs:TensileStrengthTest</t>
        </is>
      </c>
    </row>
    <row r="261" ht="17" customHeight="1">
      <c r="A261">
        <f>IF(ISNA(VLOOKUP(B259,Definitions!B$2:B$1604,1,FALSE)),"Not listed","")</f>
        <v/>
      </c>
      <c r="B261" s="26" t="inlineStr">
        <is>
          <t>thrust</t>
        </is>
      </c>
      <c r="C261" s="21" t="inlineStr">
        <is>
          <t>//diggs:propertyClass</t>
        </is>
      </c>
      <c r="D261" s="21" t="inlineStr">
        <is>
          <t>ancestor::diggs:measurement//diggs:procedure/diggs:FlatPlateDilatometerTest</t>
        </is>
      </c>
    </row>
    <row r="262" ht="15" customHeight="1">
      <c r="A262">
        <f>IF(ISNA(VLOOKUP(B260,Definitions!B$2:B$1604,1,FALSE)),"Not listed","")</f>
        <v/>
      </c>
      <c r="B262" s="26" t="inlineStr">
        <is>
          <t>time</t>
        </is>
      </c>
      <c r="C262" s="4" t="inlineStr">
        <is>
          <t>//diggs:propertyClass</t>
        </is>
      </c>
      <c r="D262" s="21" t="inlineStr">
        <is>
          <t>ancestor::diggs:dissipationTimeSeries</t>
        </is>
      </c>
    </row>
    <row r="263" ht="17" customHeight="1">
      <c r="A263">
        <f>IF(ISNA(VLOOKUP(B261,Definitions!B$2:B$1604,1,FALSE)),"Not listed","")</f>
        <v/>
      </c>
      <c r="B263" s="38" t="inlineStr">
        <is>
          <t>time</t>
        </is>
      </c>
      <c r="C263" s="4" t="inlineStr">
        <is>
          <t>//diggs:propertyClass</t>
        </is>
      </c>
      <c r="D263" s="21" t="inlineStr">
        <is>
          <t>ancestor::diggs:lugeonStepTimeSeries</t>
        </is>
      </c>
    </row>
    <row r="264" ht="17" customHeight="1">
      <c r="A264">
        <f>IF(ISNA(VLOOKUP(B262,Definitions!B$2:B$1604,1,FALSE)),"Not listed","")</f>
        <v/>
      </c>
      <c r="B264" s="26" t="inlineStr">
        <is>
          <t>time</t>
        </is>
      </c>
      <c r="C264" s="21" t="inlineStr">
        <is>
          <t>//diggs:propertyClass</t>
        </is>
      </c>
      <c r="D264" s="21" t="inlineStr">
        <is>
          <t>ancestor::diggs:measurement//diggs:procedure/diggs:StaticConePenetrationTest</t>
        </is>
      </c>
    </row>
    <row r="265" ht="17" customHeight="1">
      <c r="A265">
        <f>IF(ISNA(VLOOKUP(B263,Definitions!B$2:B$1604,1,FALSE)),"Not listed","")</f>
        <v/>
      </c>
      <c r="B265" s="26" t="inlineStr">
        <is>
          <t>time</t>
        </is>
      </c>
      <c r="C265" s="4" t="inlineStr">
        <is>
          <t>//diggs:propertyClass</t>
        </is>
      </c>
      <c r="D265" s="21" t="inlineStr">
        <is>
          <t>ancestor::diggs:syneresisTimeSeries</t>
        </is>
      </c>
    </row>
    <row r="266" ht="17" customHeight="1">
      <c r="A266">
        <f>IF(ISNA(VLOOKUP(B264,Definitions!B$2:B$1604,1,FALSE)),"Not listed","")</f>
        <v/>
      </c>
      <c r="B266" s="26" t="inlineStr">
        <is>
          <t>time</t>
        </is>
      </c>
      <c r="C266" s="21" t="inlineStr">
        <is>
          <t>//diggs:propertyClass</t>
        </is>
      </c>
      <c r="D266" s="21" t="inlineStr">
        <is>
          <t>ancestor::SpatialResult</t>
        </is>
      </c>
    </row>
    <row r="267" ht="17" customHeight="1">
      <c r="A267">
        <f>IF(ISNA(VLOOKUP(B265,Definitions!B$2:B$1604,1,FALSE)),"Not listed","")</f>
        <v/>
      </c>
      <c r="B267" s="26" t="inlineStr">
        <is>
          <t>time</t>
        </is>
      </c>
      <c r="C267" s="21" t="inlineStr">
        <is>
          <t>//diggs:propertyClass</t>
        </is>
      </c>
      <c r="D267" s="21" t="inlineStr">
        <is>
          <t>ancestor::TestResult</t>
        </is>
      </c>
    </row>
    <row r="268" ht="17" customHeight="1">
      <c r="A268">
        <f>IF(ISNA(VLOOKUP(B266,Definitions!B$2:B$1604,1,FALSE)),"Not listed","")</f>
        <v/>
      </c>
      <c r="B268" s="26" t="inlineStr">
        <is>
          <t>tip_resistance</t>
        </is>
      </c>
      <c r="C268" s="21" t="inlineStr">
        <is>
          <t>//diggs:propertyClass</t>
        </is>
      </c>
      <c r="D268" s="21" t="inlineStr">
        <is>
          <t>ancestor::diggs:measurement//diggs:procedure/diggs:StaticConePenetrationTest</t>
        </is>
      </c>
    </row>
    <row r="269" ht="17" customHeight="1">
      <c r="A269">
        <f>IF(ISNA(VLOOKUP(B267,Definitions!B$2:B$1604,1,FALSE)),"Not listed","")</f>
        <v/>
      </c>
      <c r="B269" s="26" t="inlineStr">
        <is>
          <t>tip_resistance_corrected</t>
        </is>
      </c>
      <c r="C269" s="21" t="inlineStr">
        <is>
          <t>//diggs:propertyClass</t>
        </is>
      </c>
      <c r="D269" s="21" t="inlineStr">
        <is>
          <t>ancestor::diggs:measurement//diggs:procedure/diggs:StaticConePenetrationTest</t>
        </is>
      </c>
    </row>
    <row r="270" ht="17" customHeight="1">
      <c r="A270">
        <f>IF(ISNA(VLOOKUP(B268,Definitions!B$2:B$1604,1,FALSE)),"Not listed","")</f>
        <v/>
      </c>
      <c r="B270" s="26" t="inlineStr">
        <is>
          <t>torque</t>
        </is>
      </c>
      <c r="C270" s="21" t="inlineStr">
        <is>
          <t>//diggs:propertyClass</t>
        </is>
      </c>
      <c r="D270" s="21" t="inlineStr">
        <is>
          <t>ancestor::diggs:measurement//diggs:procedure/diggs:DynamicProbeTest</t>
        </is>
      </c>
    </row>
    <row r="271" ht="17" customHeight="1">
      <c r="A271">
        <f>IF(ISNA(VLOOKUP([1]AssociatedElements!B283,Definitions!B$2:B$1604,1,FALSE)),"Not listed","")</f>
        <v/>
      </c>
      <c r="B271" s="38" t="inlineStr">
        <is>
          <t>total_carbon</t>
        </is>
      </c>
      <c r="C271" s="4" t="inlineStr">
        <is>
          <t>//diggs:propertyClass</t>
        </is>
      </c>
      <c r="D271" s="21" t="inlineStr">
        <is>
          <t>ancestor::diggs:measurement//diggs:procedure/diggs:OrganicMatterByWetCombustionTest</t>
        </is>
      </c>
    </row>
    <row r="272" ht="17" customHeight="1">
      <c r="A272">
        <f>IF(ISNA(VLOOKUP([1]AssociatedElements!B285,Definitions!B$2:B$1604,1,FALSE)),"Not listed","")</f>
        <v/>
      </c>
      <c r="B272" s="38" t="inlineStr">
        <is>
          <t>total_organic_matter</t>
        </is>
      </c>
      <c r="C272" s="4" t="inlineStr">
        <is>
          <t>//diggs:propertyClass</t>
        </is>
      </c>
      <c r="D272" s="21" t="inlineStr">
        <is>
          <t>ancestor::diggs:measurement//diggs:procedure/diggs:OrganicMatterByWetCombustionTest</t>
        </is>
      </c>
    </row>
    <row r="273" ht="17" customHeight="1">
      <c r="A273">
        <f>IF(ISNA(VLOOKUP(B271,Definitions!B$2:B$1604,1,FALSE)),"Not listed","")</f>
        <v/>
      </c>
      <c r="B273" s="38" t="inlineStr">
        <is>
          <t>transducer_pressure</t>
        </is>
      </c>
      <c r="C273" s="4" t="inlineStr">
        <is>
          <t>//diggs:propertyClass</t>
        </is>
      </c>
      <c r="D273" s="21" t="inlineStr">
        <is>
          <t>ancestor::diggs:lugeonStepTimeSeries</t>
        </is>
      </c>
    </row>
    <row r="274" ht="17" customHeight="1">
      <c r="A274">
        <f>IF(ISNA(VLOOKUP(B272,Definitions!B$2:B$1604,1,FALSE)),"Not listed","")</f>
        <v/>
      </c>
      <c r="B274" s="26" t="inlineStr">
        <is>
          <t>u50</t>
        </is>
      </c>
      <c r="C274" s="21" t="inlineStr">
        <is>
          <t>//diggs:propertyClass</t>
        </is>
      </c>
      <c r="D274" s="21" t="inlineStr">
        <is>
          <t>ancestor::diggs:measurement//diggs:procedure/diggs:PorePressureDissipationTest</t>
        </is>
      </c>
    </row>
    <row r="275" ht="17" customHeight="1">
      <c r="A275">
        <f>IF(ISNA(VLOOKUP(B273,Definitions!B$2:B$1604,1,FALSE)),"Not listed","")</f>
        <v/>
      </c>
      <c r="B275" s="38" t="inlineStr">
        <is>
          <t>uscs_group_name</t>
        </is>
      </c>
      <c r="C275" s="4" t="inlineStr">
        <is>
          <t>//diggs:propertyClass</t>
        </is>
      </c>
      <c r="D275" s="21" t="inlineStr">
        <is>
          <t>ancestor::diggs:measurement//diggs:procedure/diggs:ParticleSizeTest</t>
        </is>
      </c>
    </row>
    <row r="276" ht="17" customHeight="1">
      <c r="A276">
        <f>IF(ISNA(VLOOKUP(B274,Definitions!B$2:B$1604,1,FALSE)),"Not listed","")</f>
        <v/>
      </c>
      <c r="B276" s="26" t="inlineStr">
        <is>
          <t>uscs_symbol</t>
        </is>
      </c>
      <c r="C276" s="21" t="inlineStr">
        <is>
          <t>//diggs:propertyClass</t>
        </is>
      </c>
      <c r="D276" s="21" t="inlineStr">
        <is>
          <t>ancestor::diggs:measurement//diggs:procedure/diggs:ParticleSizeTest</t>
        </is>
      </c>
    </row>
    <row r="277" ht="17" customHeight="1">
      <c r="A277">
        <f>IF(ISNA(VLOOKUP(B275,Definitions!B$2:B$1604,1,FALSE)),"Not listed","")</f>
        <v/>
      </c>
      <c r="B277" s="26" t="inlineStr">
        <is>
          <t>uscs_symbol_425</t>
        </is>
      </c>
      <c r="C277" s="21" t="inlineStr">
        <is>
          <t>//diggs:propertyClass</t>
        </is>
      </c>
      <c r="D277" s="21" t="inlineStr">
        <is>
          <t>ancestor::diggs:measurement//diggs:procedure/diggs:AtterbergLimitsTest</t>
        </is>
      </c>
    </row>
    <row r="278" ht="17" customHeight="1">
      <c r="A278">
        <f>IF(ISNA(VLOOKUP(B276,Definitions!B$2:B$1604,1,FALSE)),"Not listed","")</f>
        <v/>
      </c>
      <c r="B278" s="26" t="inlineStr">
        <is>
          <t>vertical_stress_total</t>
        </is>
      </c>
      <c r="C278" s="21" t="inlineStr">
        <is>
          <t>//diggs:propertyClass</t>
        </is>
      </c>
      <c r="D278" s="21" t="inlineStr">
        <is>
          <t>ancestor::diggs:measurement//diggs:procedure/diggs:FlatPlateDilatometerTest</t>
        </is>
      </c>
    </row>
    <row r="279" ht="17" customHeight="1">
      <c r="A279">
        <f>IF(ISNA(VLOOKUP(B277,Definitions!B$2:B$1604,1,FALSE)),"Not listed","")</f>
        <v/>
      </c>
      <c r="B279" s="38" t="inlineStr">
        <is>
          <t>volume</t>
        </is>
      </c>
      <c r="C279" s="4" t="inlineStr">
        <is>
          <t>//diggs:propertyClass</t>
        </is>
      </c>
      <c r="D279" s="21" t="inlineStr">
        <is>
          <t>ancestor::diggs:syneresisTimeSeries</t>
        </is>
      </c>
    </row>
    <row r="280" ht="17" customHeight="1">
      <c r="A280">
        <f>IF(ISNA(VLOOKUP(B278,Definitions!B$2:B$1604,1,FALSE)),"Not listed","")</f>
        <v/>
      </c>
      <c r="B280" s="38" t="inlineStr">
        <is>
          <t>volume_loss</t>
        </is>
      </c>
      <c r="C280" s="4" t="inlineStr">
        <is>
          <t>//diggs:propertyClass</t>
        </is>
      </c>
      <c r="D280" s="21" t="inlineStr">
        <is>
          <t>ancestor::diggs:syneresisTimeSeries</t>
        </is>
      </c>
    </row>
    <row r="281" ht="17" customHeight="1">
      <c r="A281">
        <f>IF(ISNA(VLOOKUP(B279,Definitions!B$2:B$1604,1,FALSE)),"Not listed","")</f>
        <v/>
      </c>
      <c r="B281" s="26" t="inlineStr">
        <is>
          <t>volumetric_shrinkage</t>
        </is>
      </c>
      <c r="C281" s="21" t="inlineStr">
        <is>
          <t>//diggs:propertyClass</t>
        </is>
      </c>
      <c r="D281" s="21" t="inlineStr">
        <is>
          <t>ancestor::diggs:measurement//diggs:procedure/diggs:AtterbergLimitsTest</t>
        </is>
      </c>
    </row>
    <row r="282" ht="17" customHeight="1">
      <c r="A282">
        <f>IF(ISNA(VLOOKUP(B280,Definitions!B$2:B$1604,1,FALSE)),"Not listed","")</f>
        <v/>
      </c>
      <c r="B282" t="inlineStr">
        <is>
          <t>washout_result</t>
        </is>
      </c>
      <c r="C282" s="4" t="inlineStr">
        <is>
          <t>//diggs:propertyClass</t>
        </is>
      </c>
      <c r="D282" s="21" t="inlineStr">
        <is>
          <t>ancestor::diggs:measurement//diggs:procedure/diggs:WashoutTest</t>
        </is>
      </c>
    </row>
    <row r="283" ht="17" customHeight="1">
      <c r="A283">
        <f>IF(ISNA(VLOOKUP([1]AssociatedElements!B290,Definitions!B$2:B$1604,1,FALSE)),"Not listed","")</f>
        <v/>
      </c>
      <c r="B283" s="38" t="inlineStr">
        <is>
          <t>water_content_difference</t>
        </is>
      </c>
      <c r="C283" s="4" t="inlineStr">
        <is>
          <t>//diggs:propertyClass</t>
        </is>
      </c>
      <c r="D283" s="21" t="inlineStr">
        <is>
          <t>ancestor::diggs:measurement//diggs:procedure/diggs:LabCompactionTest</t>
        </is>
      </c>
    </row>
    <row r="284" ht="17" customHeight="1">
      <c r="A284">
        <f>IF(ISNA(VLOOKUP(B282,Definitions!B$2:B$1604,1,FALSE)),"Not listed","")</f>
        <v/>
      </c>
      <c r="B284" s="26" t="inlineStr">
        <is>
          <t>water_content_natural</t>
        </is>
      </c>
      <c r="C284" s="21" t="inlineStr">
        <is>
          <t>//diggs:propertyClass</t>
        </is>
      </c>
      <c r="D284" s="21" t="inlineStr">
        <is>
          <t>ancestor::diggs:measurement//diggs:procedure/diggs:InsituCBRTest</t>
        </is>
      </c>
    </row>
    <row r="285" ht="17" customHeight="1">
      <c r="A285">
        <f>IF(ISNA(VLOOKUP(B283,Definitions!B$2:B$1604,1,FALSE)),"Not listed","")</f>
        <v/>
      </c>
      <c r="B285" s="26" t="inlineStr">
        <is>
          <t>water_content_natural</t>
        </is>
      </c>
      <c r="C285" s="21" t="inlineStr">
        <is>
          <t>//diggs:propertyClass</t>
        </is>
      </c>
      <c r="D285" s="21" t="inlineStr">
        <is>
          <t>ancestor::diggs:measurement//diggs:procedure/diggs:LabCBRTest</t>
        </is>
      </c>
    </row>
    <row r="286" ht="17" customHeight="1">
      <c r="A286">
        <f>IF(ISNA(VLOOKUP(B284,Definitions!B$2:B$1604,1,FALSE)),"Not listed","")</f>
        <v/>
      </c>
      <c r="B286" s="26" t="inlineStr">
        <is>
          <t>water_content_natural</t>
        </is>
      </c>
      <c r="C286" s="21" t="inlineStr">
        <is>
          <t>//diggs:propertyClass</t>
        </is>
      </c>
      <c r="D286" s="21" t="inlineStr">
        <is>
          <t>ancestor::diggs:measurement//diggs:procedure/diggs:LabCompactionTest</t>
        </is>
      </c>
    </row>
    <row r="287" ht="17" customHeight="1">
      <c r="A287">
        <f>IF(ISNA(VLOOKUP(B285,Definitions!B$2:B$1604,1,FALSE)),"Not listed","")</f>
        <v/>
      </c>
      <c r="B287" s="26" t="inlineStr">
        <is>
          <t>water_content_natural</t>
        </is>
      </c>
      <c r="C287" s="21" t="inlineStr">
        <is>
          <t>//diggs:propertyClass</t>
        </is>
      </c>
      <c r="D287" s="21" t="inlineStr">
        <is>
          <t>ancestor::diggs:measurement//diggs:procedure/diggs:LabDensityTest</t>
        </is>
      </c>
    </row>
    <row r="288" ht="17" customHeight="1">
      <c r="A288">
        <f>IF(ISNA(VLOOKUP(B286,Definitions!B$2:B$1604,1,FALSE)),"Not listed","")</f>
        <v/>
      </c>
      <c r="B288" s="26" t="inlineStr">
        <is>
          <t>water_content_natural</t>
        </is>
      </c>
      <c r="C288" s="21" t="inlineStr">
        <is>
          <t>//diggs:propertyClass</t>
        </is>
      </c>
      <c r="D288" s="21" t="inlineStr">
        <is>
          <t>ancestor::diggs:measurement//diggs:procedure/diggs:StaticConePenetrationTest</t>
        </is>
      </c>
    </row>
    <row r="289" ht="17" customHeight="1">
      <c r="A289">
        <f>IF(ISNA(VLOOKUP(B287,Definitions!B$2:B$1604,1,FALSE)),"Not listed","")</f>
        <v/>
      </c>
      <c r="B289" s="26" t="inlineStr">
        <is>
          <t>water_content_natural</t>
        </is>
      </c>
      <c r="C289" s="21" t="inlineStr">
        <is>
          <t>//diggs:propertyClass</t>
        </is>
      </c>
      <c r="D289" s="21" t="inlineStr">
        <is>
          <t>ancestor::diggs:measurement//diggs:procedure/diggs:WaterContentTest</t>
        </is>
      </c>
    </row>
    <row r="290" ht="17" customHeight="1">
      <c r="A290">
        <f>IF(ISNA(VLOOKUP(B288,Definitions!B$2:B$1604,1,FALSE)),"Not listed","")</f>
        <v/>
      </c>
      <c r="B290" s="26" t="inlineStr">
        <is>
          <t>water_content_optimum</t>
        </is>
      </c>
      <c r="C290" s="21" t="inlineStr">
        <is>
          <t>//diggs:propertyClass</t>
        </is>
      </c>
      <c r="D290" s="21" t="inlineStr">
        <is>
          <t>ancestor::diggs:measurement//diggs:procedure/diggs:LabCompactionTest</t>
        </is>
      </c>
    </row>
    <row r="291" ht="17" customHeight="1">
      <c r="A291">
        <f>IF(ISNA(VLOOKUP(B289,Definitions!B$2:B$1604,1,FALSE)),"Not listed","")</f>
        <v/>
      </c>
      <c r="B291" s="38" t="inlineStr">
        <is>
          <t>water_depth</t>
        </is>
      </c>
      <c r="C291" s="4" t="inlineStr">
        <is>
          <t>//diggs:propertyClass</t>
        </is>
      </c>
      <c r="D291" s="21" t="inlineStr">
        <is>
          <t>ancestor::diggs:measurement//diggs:procedure/diggs:PorePressureDissipationTest</t>
        </is>
      </c>
    </row>
    <row r="292" ht="17" customHeight="1">
      <c r="A292">
        <f>IF(ISNA(VLOOKUP([1]AssociatedElements!B292,Definitions!B$2:B$1604,1,FALSE)),"Not listed","")</f>
        <v/>
      </c>
      <c r="B292" s="38" t="inlineStr">
        <is>
          <t>water_depth</t>
        </is>
      </c>
      <c r="C292" s="4" t="inlineStr">
        <is>
          <t>//diggs:propertyClass</t>
        </is>
      </c>
      <c r="D292" s="21" t="inlineStr">
        <is>
          <t>ancestor::diggs:measurement//diggs:procedure/diggs:PumpingTest</t>
        </is>
      </c>
    </row>
    <row r="293" ht="17" customHeight="1">
      <c r="A293">
        <f>IF(ISNA(VLOOKUP([1]AssociatedElements!B274,Definitions!B$2:B$1604,1,FALSE)),"Not listed","")</f>
        <v/>
      </c>
      <c r="B293" s="38" t="inlineStr">
        <is>
          <t>water_depth</t>
        </is>
      </c>
      <c r="C293" s="4" t="inlineStr">
        <is>
          <t>//diggs:propertyClass</t>
        </is>
      </c>
      <c r="D293" s="21" t="inlineStr">
        <is>
          <t>ancestor::diggs:measurement//diggs:procedure/diggs:WaterLevelMonitoring</t>
        </is>
      </c>
    </row>
    <row r="294" ht="17" customHeight="1">
      <c r="A294">
        <f>IF(ISNA(VLOOKUP(B292,Definitions!B$2:B$1604,1,FALSE)),"Not listed","")</f>
        <v/>
      </c>
      <c r="B294" s="38" t="inlineStr">
        <is>
          <t>water_elev</t>
        </is>
      </c>
      <c r="C294" s="4" t="inlineStr">
        <is>
          <t>//diggs:propertyClass</t>
        </is>
      </c>
      <c r="D294" s="21" t="inlineStr">
        <is>
          <t>ancestor::diggs:measurement//diggs:procedure/diggs:PorePressureDissipationTest</t>
        </is>
      </c>
    </row>
    <row r="295" ht="17" customHeight="1">
      <c r="A295">
        <f>IF(ISNA(VLOOKUP([1]AssociatedElements!B291,Definitions!B$2:B$1604,1,FALSE)),"Not listed","")</f>
        <v/>
      </c>
      <c r="B295" s="38" t="inlineStr">
        <is>
          <t>water_elev</t>
        </is>
      </c>
      <c r="C295" s="4" t="inlineStr">
        <is>
          <t>//diggs:propertyClass</t>
        </is>
      </c>
      <c r="D295" s="21" t="inlineStr">
        <is>
          <t>ancestor::diggs:measurement//diggs:procedure/diggs:PumpingTest</t>
        </is>
      </c>
    </row>
    <row r="296" ht="17" customHeight="1">
      <c r="A296">
        <f>IF(ISNA(VLOOKUP([1]AssociatedElements!B275,Definitions!B$2:B$1604,1,FALSE)),"Not listed","")</f>
        <v/>
      </c>
      <c r="B296" s="38" t="inlineStr">
        <is>
          <t>water_elev</t>
        </is>
      </c>
      <c r="C296" s="4" t="inlineStr">
        <is>
          <t>//diggs:propertyClass</t>
        </is>
      </c>
      <c r="D296" s="21" t="inlineStr">
        <is>
          <t>ancestor::diggs:measurement//diggs:procedure/diggs:WaterLevelMonitoring</t>
        </is>
      </c>
    </row>
    <row r="297" ht="17" customHeight="1">
      <c r="A297">
        <f>IF(ISNA(VLOOKUP([1]AssociatedElements!B295,Definitions!B$2:B$1604,1,FALSE)),"Not listed","")</f>
        <v/>
      </c>
      <c r="B297" s="38" t="inlineStr">
        <is>
          <t>d84</t>
        </is>
      </c>
      <c r="C297" s="4" t="inlineStr">
        <is>
          <t>//diggs:propertyClass</t>
        </is>
      </c>
      <c r="D297" s="21" t="inlineStr">
        <is>
          <t>ancestor::diggs:measurement//diggs:procedure/diggs:MaterialGradationTest</t>
        </is>
      </c>
    </row>
    <row r="298" ht="17" customHeight="1">
      <c r="A298">
        <f>IF(ISNA(VLOOKUP([1]AssociatedElements!B296,Definitions!B$2:B$1604,1,FALSE)),"Not listed","")</f>
        <v/>
      </c>
      <c r="B298" s="38" t="inlineStr">
        <is>
          <t>d84</t>
        </is>
      </c>
      <c r="C298" s="4" t="inlineStr">
        <is>
          <t>//diggs:propertyClass</t>
        </is>
      </c>
      <c r="D298" s="21" t="inlineStr">
        <is>
          <t>ancestor::diggs:measurement//diggs:procedure/diggs:ParticleSizeTest</t>
        </is>
      </c>
    </row>
    <row r="299" ht="17" customHeight="1">
      <c r="A299">
        <f>IF(ISNA(VLOOKUP([1]AssociatedElements!B297,Definitions!B$2:B$1604,1,FALSE)),"Not listed","")</f>
        <v/>
      </c>
      <c r="B299" s="38" t="inlineStr">
        <is>
          <t>d90</t>
        </is>
      </c>
      <c r="C299" s="4" t="inlineStr">
        <is>
          <t>//diggs:propertyClass</t>
        </is>
      </c>
      <c r="D299" s="21" t="inlineStr">
        <is>
          <t>ancestor::diggs:measurement//diggs:procedure/diggs:MaterialGradationTest</t>
        </is>
      </c>
    </row>
    <row r="300" ht="17" customHeight="1">
      <c r="A300">
        <f>IF(ISNA(VLOOKUP([1]AssociatedElements!B298,Definitions!B$2:B$1604,1,FALSE)),"Not listed","")</f>
        <v/>
      </c>
      <c r="B300" s="38" t="inlineStr">
        <is>
          <t>d90</t>
        </is>
      </c>
      <c r="C300" s="4" t="inlineStr">
        <is>
          <t>//diggs:propertyClass</t>
        </is>
      </c>
      <c r="D300" s="21" t="inlineStr">
        <is>
          <t>ancestor::diggs:measurement//diggs:procedure/diggs:ParticleSizeTest</t>
        </is>
      </c>
    </row>
    <row r="301" ht="17" customHeight="1">
      <c r="A301">
        <f>IF(ISNA(VLOOKUP([1]AssociatedElements!B299,Definitions!B$2:B$1604,1,FALSE)),"Not listed","")</f>
        <v/>
      </c>
      <c r="B301" s="38" t="inlineStr">
        <is>
          <t>percent_coarse_gravel</t>
        </is>
      </c>
      <c r="C301" s="4" t="inlineStr">
        <is>
          <t>//diggs:propertyClass</t>
        </is>
      </c>
      <c r="D301" s="21" t="inlineStr">
        <is>
          <t>ancestor::diggs:measurement//diggs:procedure/diggs:MaterialGradationTest</t>
        </is>
      </c>
    </row>
    <row r="302" ht="17" customHeight="1">
      <c r="A302">
        <f>IF(ISNA(VLOOKUP([1]AssociatedElements!B300,Definitions!B$2:B$1604,1,FALSE)),"Not listed","")</f>
        <v/>
      </c>
      <c r="B302" s="38" t="inlineStr">
        <is>
          <t>percent_coarse_gravel</t>
        </is>
      </c>
      <c r="C302" s="4" t="inlineStr">
        <is>
          <t>//diggs:propertyClass</t>
        </is>
      </c>
      <c r="D302" s="21" t="inlineStr">
        <is>
          <t>ancestor::diggs:measurement//diggs:procedure/diggs:ParticleSizeTest</t>
        </is>
      </c>
    </row>
    <row r="303" ht="17" customHeight="1">
      <c r="A303">
        <f>IF(ISNA(VLOOKUP([1]AssociatedElements!B301,Definitions!B$2:B$1604,1,FALSE)),"Not listed","")</f>
        <v/>
      </c>
      <c r="B303" s="38" t="inlineStr">
        <is>
          <t>percent_fine_gravel</t>
        </is>
      </c>
      <c r="C303" s="4" t="inlineStr">
        <is>
          <t>//diggs:propertyClass</t>
        </is>
      </c>
      <c r="D303" s="21" t="inlineStr">
        <is>
          <t>ancestor::diggs:measurement//diggs:procedure/diggs:MaterialGradationTest</t>
        </is>
      </c>
    </row>
    <row r="304" ht="17" customHeight="1">
      <c r="A304">
        <f>IF(ISNA(VLOOKUP([1]AssociatedElements!B302,Definitions!B$2:B$1604,1,FALSE)),"Not listed","")</f>
        <v/>
      </c>
      <c r="B304" s="38" t="inlineStr">
        <is>
          <t>percent_fine_gravel</t>
        </is>
      </c>
      <c r="C304" s="4" t="inlineStr">
        <is>
          <t>//diggs:propertyClass</t>
        </is>
      </c>
      <c r="D304" s="21" t="inlineStr">
        <is>
          <t>ancestor::diggs:measurement//diggs:procedure/diggs:ParticleSizeTest</t>
        </is>
      </c>
    </row>
    <row r="305" ht="17" customHeight="1">
      <c r="A305">
        <f>IF(ISNA(VLOOKUP([1]AssociatedElements!B303,Definitions!B$2:B$1604,1,FALSE)),"Not listed","")</f>
        <v/>
      </c>
      <c r="B305" s="38" t="inlineStr">
        <is>
          <t>percent_coarse_sand</t>
        </is>
      </c>
      <c r="C305" s="4" t="inlineStr">
        <is>
          <t>//diggs:propertyClass</t>
        </is>
      </c>
      <c r="D305" s="21" t="inlineStr">
        <is>
          <t>ancestor::diggs:measurement//diggs:procedure/diggs:MaterialGradationTest</t>
        </is>
      </c>
    </row>
    <row r="306" ht="17" customHeight="1">
      <c r="A306">
        <f>IF(ISNA(VLOOKUP([1]AssociatedElements!B304,Definitions!B$2:B$1604,1,FALSE)),"Not listed","")</f>
        <v/>
      </c>
      <c r="B306" s="38" t="inlineStr">
        <is>
          <t>percent_coarse_sand</t>
        </is>
      </c>
      <c r="C306" s="4" t="inlineStr">
        <is>
          <t>//diggs:propertyClass</t>
        </is>
      </c>
      <c r="D306" s="21" t="inlineStr">
        <is>
          <t>ancestor::diggs:measurement//diggs:procedure/diggs:ParticleSizeTest</t>
        </is>
      </c>
    </row>
    <row r="307" ht="17" customHeight="1">
      <c r="A307">
        <f>IF(ISNA(VLOOKUP([1]AssociatedElements!B305,Definitions!B$2:B$1604,1,FALSE)),"Not listed","")</f>
        <v/>
      </c>
      <c r="B307" s="38" t="inlineStr">
        <is>
          <t>percent_medium_sand</t>
        </is>
      </c>
      <c r="C307" s="4" t="inlineStr">
        <is>
          <t>//diggs:propertyClass</t>
        </is>
      </c>
      <c r="D307" s="21" t="inlineStr">
        <is>
          <t>ancestor::diggs:measurement//diggs:procedure/diggs:MaterialGradationTest</t>
        </is>
      </c>
    </row>
    <row r="308" ht="17" customHeight="1">
      <c r="A308">
        <f>IF(ISNA(VLOOKUP([1]AssociatedElements!B306,Definitions!B$2:B$1604,1,FALSE)),"Not listed","")</f>
        <v/>
      </c>
      <c r="B308" s="38" t="inlineStr">
        <is>
          <t>percent_medium_sand</t>
        </is>
      </c>
      <c r="C308" s="4" t="inlineStr">
        <is>
          <t>//diggs:propertyClass</t>
        </is>
      </c>
      <c r="D308" s="21" t="inlineStr">
        <is>
          <t>ancestor::diggs:measurement//diggs:procedure/diggs:ParticleSizeTest</t>
        </is>
      </c>
    </row>
    <row r="309" ht="17" customHeight="1">
      <c r="A309">
        <f>IF(ISNA(VLOOKUP([1]AssociatedElements!B307,Definitions!B$2:B$1604,1,FALSE)),"Not listed","")</f>
        <v/>
      </c>
      <c r="B309" s="38" t="inlineStr">
        <is>
          <t>percent_fine_sand</t>
        </is>
      </c>
      <c r="C309" s="4" t="inlineStr">
        <is>
          <t>//diggs:propertyClass</t>
        </is>
      </c>
      <c r="D309" s="21" t="inlineStr">
        <is>
          <t>ancestor::diggs:measurement//diggs:procedure/diggs:MaterialGradationTest</t>
        </is>
      </c>
    </row>
    <row r="310" ht="17" customHeight="1">
      <c r="A310">
        <f>IF(ISNA(VLOOKUP([1]AssociatedElements!B308,Definitions!B$2:B$1604,1,FALSE)),"Not listed","")</f>
        <v/>
      </c>
      <c r="B310" s="38" t="inlineStr">
        <is>
          <t>percent_fine_sand</t>
        </is>
      </c>
      <c r="C310" s="4" t="inlineStr">
        <is>
          <t>//diggs:propertyClass</t>
        </is>
      </c>
      <c r="D310" s="21" t="inlineStr">
        <is>
          <t>ancestor::diggs:measurement//diggs:procedure/diggs:ParticleSizeTest</t>
        </is>
      </c>
    </row>
    <row r="311" ht="17" customHeight="1">
      <c r="A311">
        <f>IF(ISNA(VLOOKUP([1]AssociatedElements!B309,Definitions!B$2:B$1604,1,FALSE)),"Not listed","")</f>
        <v/>
      </c>
      <c r="B311" s="38" t="inlineStr">
        <is>
          <t>aashto_percent_gravel</t>
        </is>
      </c>
      <c r="C311" s="4" t="inlineStr">
        <is>
          <t>//diggs:propertyClass</t>
        </is>
      </c>
      <c r="D311" s="21" t="inlineStr">
        <is>
          <t>ancestor::diggs:measurement//diggs:procedure/diggs:MaterialGradationTest</t>
        </is>
      </c>
    </row>
    <row r="312" ht="17" customHeight="1">
      <c r="A312">
        <f>IF(ISNA(VLOOKUP([1]AssociatedElements!B310,Definitions!B$2:B$1604,1,FALSE)),"Not listed","")</f>
        <v/>
      </c>
      <c r="B312" s="38" t="inlineStr">
        <is>
          <t>aashto_percent_gravel</t>
        </is>
      </c>
      <c r="C312" s="4" t="inlineStr">
        <is>
          <t>//diggs:propertyClass</t>
        </is>
      </c>
      <c r="D312" s="21" t="inlineStr">
        <is>
          <t>ancestor::diggs:measurement//diggs:procedure/diggs:ParticleSizeTest</t>
        </is>
      </c>
    </row>
    <row r="313" ht="17" customHeight="1">
      <c r="A313">
        <f>IF(ISNA(VLOOKUP([1]AssociatedElements!B311,Definitions!B$2:B$1604,1,FALSE)),"Not listed","")</f>
        <v/>
      </c>
      <c r="B313" s="38" t="inlineStr">
        <is>
          <t>aashto_percent_coarse_sand</t>
        </is>
      </c>
      <c r="C313" s="4" t="inlineStr">
        <is>
          <t>//diggs:propertyClass</t>
        </is>
      </c>
      <c r="D313" s="21" t="inlineStr">
        <is>
          <t>ancestor::diggs:measurement//diggs:procedure/diggs:MaterialGradationTest</t>
        </is>
      </c>
    </row>
    <row r="314" ht="17" customHeight="1">
      <c r="A314">
        <f>IF(ISNA(VLOOKUP([1]AssociatedElements!B312,Definitions!B$2:B$1604,1,FALSE)),"Not listed","")</f>
        <v/>
      </c>
      <c r="B314" s="38" t="inlineStr">
        <is>
          <t>aashto_percent_coarse_sand</t>
        </is>
      </c>
      <c r="C314" s="4" t="inlineStr">
        <is>
          <t>//diggs:propertyClass</t>
        </is>
      </c>
      <c r="D314" s="21" t="inlineStr">
        <is>
          <t>ancestor::diggs:measurement//diggs:procedure/diggs:ParticleSizeTest</t>
        </is>
      </c>
    </row>
    <row r="315" ht="17" customHeight="1">
      <c r="A315">
        <f>IF(ISNA(VLOOKUP([1]AssociatedElements!B313,Definitions!B$2:B$1604,1,FALSE)),"Not listed","")</f>
        <v/>
      </c>
      <c r="B315" s="38" t="inlineStr">
        <is>
          <t>aashto_percent_fine_sand</t>
        </is>
      </c>
      <c r="C315" s="4" t="inlineStr">
        <is>
          <t>//diggs:propertyClass</t>
        </is>
      </c>
      <c r="D315" s="21" t="inlineStr">
        <is>
          <t>ancestor::diggs:measurement//diggs:procedure/diggs:MaterialGradationTest</t>
        </is>
      </c>
    </row>
    <row r="316" ht="17" customHeight="1">
      <c r="A316">
        <f>IF(ISNA(VLOOKUP([1]AssociatedElements!B314,Definitions!B$2:B$1604,1,FALSE)),"Not listed","")</f>
        <v/>
      </c>
      <c r="B316" s="38" t="inlineStr">
        <is>
          <t>aashto_percent_fine_sand</t>
        </is>
      </c>
      <c r="C316" s="4" t="inlineStr">
        <is>
          <t>//diggs:propertyClass</t>
        </is>
      </c>
      <c r="D316" s="21" t="inlineStr">
        <is>
          <t>ancestor::diggs:measurement//diggs:procedure/diggs:ParticleSizeTest</t>
        </is>
      </c>
    </row>
    <row r="317" ht="17" customHeight="1">
      <c r="A317">
        <f>IF(ISNA(VLOOKUP([1]AssociatedElements!B315,Definitions!B$2:B$1604,1,FALSE)),"Not listed","")</f>
        <v/>
      </c>
      <c r="B317" s="14" t="inlineStr">
        <is>
          <t>settlement</t>
        </is>
      </c>
      <c r="C317" s="4" t="inlineStr">
        <is>
          <t>//diggs:propertyClass</t>
        </is>
      </c>
      <c r="D317" s="21" t="inlineStr">
        <is>
          <t>ancestor::diggs:TemporalResult</t>
        </is>
      </c>
    </row>
    <row r="318" ht="17" customHeight="1">
      <c r="A318">
        <f>IF(ISNA(VLOOKUP([1]AssociatedElements!B316,Definitions!B$2:B$1604,1,FALSE)),"Not listed","")</f>
        <v/>
      </c>
      <c r="B318" s="14" t="inlineStr">
        <is>
          <t>settlement</t>
        </is>
      </c>
      <c r="C318" s="4" t="inlineStr">
        <is>
          <t>//diggs:parameterName</t>
        </is>
      </c>
      <c r="D318" s="21" t="inlineStr">
        <is>
          <t>ancestor::diggs:PerformanceCriterion</t>
        </is>
      </c>
    </row>
    <row r="319" ht="17" customHeight="1">
      <c r="A319">
        <f>IF(ISNA(VLOOKUP([1]AssociatedElements!B317,Definitions!B$2:B$1604,1,FALSE)),"Not listed","")</f>
        <v/>
      </c>
      <c r="B319" s="14" t="inlineStr">
        <is>
          <t>differential_settlement</t>
        </is>
      </c>
      <c r="C319" s="4" t="inlineStr">
        <is>
          <t>//diggs:propertyClass</t>
        </is>
      </c>
      <c r="D319" s="21" t="inlineStr">
        <is>
          <t>ancestor::diggs:TemporalResult</t>
        </is>
      </c>
    </row>
    <row r="320" ht="17" customHeight="1">
      <c r="A320">
        <f>IF(ISNA(VLOOKUP([1]AssociatedElements!B318,Definitions!B$2:B$1604,1,FALSE)),"Not listed","")</f>
        <v/>
      </c>
      <c r="B320" s="14" t="inlineStr">
        <is>
          <t>differential_settlement</t>
        </is>
      </c>
      <c r="C320" s="4" t="inlineStr">
        <is>
          <t>//diggs:parameterName</t>
        </is>
      </c>
      <c r="D320" s="21" t="inlineStr">
        <is>
          <t>ancestor::diggs:PerformanceCriterion</t>
        </is>
      </c>
    </row>
    <row r="321" ht="17" customHeight="1">
      <c r="A321">
        <f>IF(ISNA(VLOOKUP([1]AssociatedElements!B319,Definitions!B$2:B$1604,1,FALSE)),"Not listed","")</f>
        <v/>
      </c>
      <c r="B321" s="14" t="inlineStr">
        <is>
          <t>settlement_reduction_ratio</t>
        </is>
      </c>
      <c r="C321" s="4" t="inlineStr">
        <is>
          <t>//diggs:propertyClass</t>
        </is>
      </c>
      <c r="D321" s="21" t="inlineStr">
        <is>
          <t>ancestor::diggs:TemporalResult</t>
        </is>
      </c>
    </row>
    <row r="322" ht="17" customHeight="1">
      <c r="A322">
        <f>IF(ISNA(VLOOKUP([1]AssociatedElements!B320,Definitions!B$2:B$1604,1,FALSE)),"Not listed","")</f>
        <v/>
      </c>
      <c r="B322" s="14" t="inlineStr">
        <is>
          <t>settlement_reduction_ratio</t>
        </is>
      </c>
      <c r="C322" s="4" t="inlineStr">
        <is>
          <t>//diggs:parameterName</t>
        </is>
      </c>
      <c r="D322" s="21" t="inlineStr">
        <is>
          <t>ancestor::diggs:PerformanceCriterion</t>
        </is>
      </c>
    </row>
    <row r="323" ht="17" customHeight="1">
      <c r="A323">
        <f>IF(ISNA(VLOOKUP([1]AssociatedElements!B321,Definitions!B$2:B$1604,1,FALSE)),"Not listed","")</f>
        <v/>
      </c>
      <c r="B323" s="14" t="inlineStr">
        <is>
          <t>pore_pressure</t>
        </is>
      </c>
      <c r="C323" s="4" t="inlineStr">
        <is>
          <t>//diggs:propertyClass</t>
        </is>
      </c>
      <c r="D323" s="21" t="inlineStr">
        <is>
          <t>ancestor::diggs:TemporalResult</t>
        </is>
      </c>
    </row>
    <row r="324" ht="17" customHeight="1">
      <c r="A324">
        <f>IF(ISNA(VLOOKUP([1]AssociatedElements!B322,Definitions!B$2:B$1604,1,FALSE)),"Not listed","")</f>
        <v/>
      </c>
      <c r="B324" s="14" t="inlineStr">
        <is>
          <t>reinforcement_load_fraction</t>
        </is>
      </c>
      <c r="C324" s="4" t="inlineStr">
        <is>
          <t>//diggs:parameterName</t>
        </is>
      </c>
      <c r="D324" s="21" t="inlineStr">
        <is>
          <t>ancestor::diggs:PerformanceCriterion</t>
        </is>
      </c>
    </row>
    <row r="325">
      <c r="A325">
        <f>IF(ISNA(VLOOKUP([1]AssociatedElements!B323,Definitions!B$2:B$1604,1,FALSE)),"Not listed","")</f>
        <v/>
      </c>
      <c r="B325" t="inlineStr">
        <is>
          <t>critical_creep_load</t>
        </is>
      </c>
      <c r="C325" t="inlineStr">
        <is>
          <t>//diggs:propertyClass</t>
        </is>
      </c>
      <c r="D325" t="inlineStr">
        <is>
          <t>ancestor::diggs:measurement//diggs:procedure/diggs:StaticLoadTest</t>
        </is>
      </c>
    </row>
    <row r="326">
      <c r="A326">
        <f>IF(ISNA(VLOOKUP([1]AssociatedElements!B324,Definitions!B$2:B$1604,1,FALSE)),"Not listed","")</f>
        <v/>
      </c>
      <c r="B326" t="inlineStr">
        <is>
          <t>modulus_of_subgrade_reaction</t>
        </is>
      </c>
      <c r="C326" t="inlineStr">
        <is>
          <t>//diggs:propertyClass</t>
        </is>
      </c>
      <c r="D326" t="inlineStr">
        <is>
          <t>ancestor::diggs:measurement//diggs:procedure/diggs:PlateLoadTest</t>
        </is>
      </c>
    </row>
    <row r="327">
      <c r="A327">
        <f>IF(ISNA(VLOOKUP([1]AssociatedElements!B325,Definitions!B$2:B$1604,1,FALSE)),"Not listed","")</f>
        <v/>
      </c>
      <c r="B327" t="inlineStr">
        <is>
          <t>modulus_of_subgrade_reaction</t>
        </is>
      </c>
      <c r="C327" t="inlineStr">
        <is>
          <t>//diggs:propertyClass</t>
        </is>
      </c>
      <c r="D327" t="inlineStr">
        <is>
          <t>ancestor::diggs:measurement//diggs:procedure/diggs:ZoneLoadTest</t>
        </is>
      </c>
    </row>
    <row r="328">
      <c r="A328">
        <f>IF(ISNA(VLOOKUP([1]AssociatedElements!B326,Definitions!B$2:B$1604,1,FALSE)),"Not listed","")</f>
        <v/>
      </c>
      <c r="B328" t="inlineStr">
        <is>
          <t>deformation_modulus_first_load</t>
        </is>
      </c>
      <c r="C328" t="inlineStr">
        <is>
          <t>//diggs:propertyClass</t>
        </is>
      </c>
      <c r="D328" t="inlineStr">
        <is>
          <t>ancestor::diggs:measurement//diggs:procedure/diggs:PlateLoadTest</t>
        </is>
      </c>
    </row>
    <row r="329">
      <c r="A329">
        <f>IF(ISNA(VLOOKUP([1]AssociatedElements!B327,Definitions!B$2:B$1604,1,FALSE)),"Not listed","")</f>
        <v/>
      </c>
      <c r="B329" t="inlineStr">
        <is>
          <t>deformation_modulus_first_load</t>
        </is>
      </c>
      <c r="C329" t="inlineStr">
        <is>
          <t>//diggs:propertyClass</t>
        </is>
      </c>
      <c r="D329" t="inlineStr">
        <is>
          <t>ancestor::diggs:measurement//diggs:procedure/diggs:ZoneLoadTest</t>
        </is>
      </c>
    </row>
    <row r="330">
      <c r="A330">
        <f>IF(ISNA(VLOOKUP([1]AssociatedElements!B328,Definitions!B$2:B$1604,1,FALSE)),"Not listed","")</f>
        <v/>
      </c>
      <c r="B330" t="inlineStr">
        <is>
          <t>deformation_modulus_second_load</t>
        </is>
      </c>
      <c r="C330" t="inlineStr">
        <is>
          <t>//diggs:propertyClass</t>
        </is>
      </c>
      <c r="D330" t="inlineStr">
        <is>
          <t>ancestor::diggs:measurement//diggs:procedure/diggs:PlateLoadTest</t>
        </is>
      </c>
    </row>
    <row r="331">
      <c r="A331">
        <f>IF(ISNA(VLOOKUP([1]AssociatedElements!B329,Definitions!B$2:B$1604,1,FALSE)),"Not listed","")</f>
        <v/>
      </c>
      <c r="B331" t="inlineStr">
        <is>
          <t>deformation_modulus_second_load</t>
        </is>
      </c>
      <c r="C331" t="inlineStr">
        <is>
          <t>//diggs:propertyClass</t>
        </is>
      </c>
      <c r="D331" t="inlineStr">
        <is>
          <t>ancestor::diggs:measurement//diggs:procedure/diggs:ZoneLoadTest</t>
        </is>
      </c>
    </row>
    <row r="332">
      <c r="A332">
        <f>IF(ISNA(VLOOKUP([1]AssociatedElements!B330,Definitions!B$2:B$1604,1,FALSE)),"Not listed","")</f>
        <v/>
      </c>
      <c r="B332" t="inlineStr">
        <is>
          <t>defect_depth</t>
        </is>
      </c>
      <c r="C332" t="inlineStr">
        <is>
          <t>//diggs:propertyClass</t>
        </is>
      </c>
      <c r="D332" t="inlineStr">
        <is>
          <t>ancestor::diggs:measurement//diggs:procedure/diggs:LowStrainIntegrityTest</t>
        </is>
      </c>
    </row>
    <row r="333">
      <c r="A333">
        <f>IF(ISNA(VLOOKUP([1]AssociatedElements!B331,Definitions!B$2:B$1604,1,FALSE)),"Not listed","")</f>
        <v/>
      </c>
      <c r="B333" t="inlineStr">
        <is>
          <t>effective_radius</t>
        </is>
      </c>
      <c r="C333" t="inlineStr">
        <is>
          <t>//diggs:propertyClass</t>
        </is>
      </c>
      <c r="D333" t="inlineStr">
        <is>
          <t>ancestor::diggs:measurement//diggs:procedure/diggs:ThermalIntegrityProfiling</t>
        </is>
      </c>
    </row>
    <row r="334">
      <c r="A334">
        <f>IF(ISNA(VLOOKUP([1]AssociatedElements!B332,Definitions!B$2:B$1604,1,FALSE)),"Not listed","")</f>
        <v/>
      </c>
      <c r="B334" t="inlineStr">
        <is>
          <t>temperature</t>
        </is>
      </c>
      <c r="C334" t="inlineStr">
        <is>
          <t>//diggs:propertyClass</t>
        </is>
      </c>
      <c r="D334" t="inlineStr">
        <is>
          <t>ancestor::diggs:measurement//diggs:procedure/diggs:ThermalIntegrityProfiling</t>
        </is>
      </c>
    </row>
    <row r="335">
      <c r="A335">
        <f>IF(ISNA(VLOOKUP([1]AssociatedElements!B333,Definitions!B$2:B$1604,1,FALSE)),"Not listed","")</f>
        <v/>
      </c>
      <c r="B335" t="inlineStr">
        <is>
          <t>lateral_deflection</t>
        </is>
      </c>
      <c r="C335" t="inlineStr">
        <is>
          <t>//diggs:propertyClass</t>
        </is>
      </c>
      <c r="D335" t="inlineStr">
        <is>
          <t>ancestor::diggs:measurement//diggs:procedure/diggs:LateralLoadTest</t>
        </is>
      </c>
    </row>
    <row r="336">
      <c r="A336">
        <f>IF(ISNA(VLOOKUP([1]AssociatedElements!B334,Definitions!B$2:B$1604,1,FALSE)),"Not listed","")</f>
        <v/>
      </c>
      <c r="B336" t="inlineStr">
        <is>
          <t>magnesium_content</t>
        </is>
      </c>
      <c r="C336" t="inlineStr">
        <is>
          <t>//diggs:propertyClass</t>
        </is>
      </c>
      <c r="D336" t="inlineStr">
        <is>
          <t>ancestor::diggs:measurement//diggs:procedure/diggs:LabChemicalTest</t>
        </is>
      </c>
    </row>
    <row r="337">
      <c r="A337">
        <f>IF(ISNA(VLOOKUP(B337,Definitions!B$2:B$1604,1,FALSE)),"Not listed","")</f>
        <v/>
      </c>
      <c r="B337" t="inlineStr">
        <is>
          <t>cbr</t>
        </is>
      </c>
      <c r="C337" t="inlineStr">
        <is>
          <t>//diggs:propertyClass</t>
        </is>
      </c>
      <c r="D337" t="inlineStr">
        <is>
          <t>ancestor::diggs:measurement//diggs:procedure/diggs:InsituCBRTest</t>
        </is>
      </c>
    </row>
    <row r="338">
      <c r="A338">
        <f>IF(ISNA(VLOOKUP(B338,Definitions!B$2:B$1604,1,FALSE)),"Not listed","")</f>
        <v/>
      </c>
      <c r="B338" t="inlineStr">
        <is>
          <t>cbr</t>
        </is>
      </c>
      <c r="C338" t="inlineStr">
        <is>
          <t>//diggs:propertyClass</t>
        </is>
      </c>
      <c r="D338" t="inlineStr">
        <is>
          <t>ancestor::diggs:measurement//diggs:procedure/diggs:LabCBRTest</t>
        </is>
      </c>
    </row>
    <row r="339">
      <c r="A339">
        <f>IF(ISNA(VLOOKUP(B339,Definitions!B$2:B$1604,1,FALSE)),"Not listed","")</f>
        <v/>
      </c>
      <c r="B339" t="inlineStr">
        <is>
          <t>cbr_at_95_pct_mdd</t>
        </is>
      </c>
      <c r="C339" t="inlineStr">
        <is>
          <t>//diggs:propertyClass</t>
        </is>
      </c>
      <c r="D339" t="inlineStr">
        <is>
          <t>ancestor::diggs:measurement//diggs:procedure/diggs:InsituCBRTest</t>
        </is>
      </c>
    </row>
    <row r="340">
      <c r="A340">
        <f>IF(ISNA(VLOOKUP(B340,Definitions!B$2:B$1604,1,FALSE)),"Not listed","")</f>
        <v/>
      </c>
      <c r="B340" t="inlineStr">
        <is>
          <t>cbr_at_95_pct_mdd</t>
        </is>
      </c>
      <c r="C340" t="inlineStr">
        <is>
          <t>//diggs:propertyClass</t>
        </is>
      </c>
      <c r="D340" t="inlineStr">
        <is>
          <t>ancestor::diggs:measurement//diggs:procedure/diggs:LabCBRTest</t>
        </is>
      </c>
    </row>
    <row r="341">
      <c r="A341">
        <f>IF(ISNA(VLOOKUP(B341,Definitions!B$2:B$1604,1,FALSE)),"Not listed","")</f>
        <v/>
      </c>
      <c r="B341" t="inlineStr">
        <is>
          <t>cbr_at_90_pct_mdd</t>
        </is>
      </c>
      <c r="C341" t="inlineStr">
        <is>
          <t>//diggs:propertyClass</t>
        </is>
      </c>
      <c r="D341" t="inlineStr">
        <is>
          <t>ancestor::diggs:measurement//diggs:procedure/diggs:InsituCBRTest</t>
        </is>
      </c>
    </row>
    <row r="342">
      <c r="A342">
        <f>IF(ISNA(VLOOKUP(B342,Definitions!B$2:B$1604,1,FALSE)),"Not listed","")</f>
        <v/>
      </c>
      <c r="B342" t="inlineStr">
        <is>
          <t>cbr_at_90_pct_mdd</t>
        </is>
      </c>
      <c r="C342" t="inlineStr">
        <is>
          <t>//diggs:propertyClass</t>
        </is>
      </c>
      <c r="D342" t="inlineStr">
        <is>
          <t>ancestor::diggs:measurement//diggs:procedure/diggs:LabCBRTest</t>
        </is>
      </c>
    </row>
    <row r="343">
      <c r="A343">
        <f>IF(ISNA(VLOOKUP(B343,Definitions!B$2:B$1604,1,FALSE)),"Not listed","")</f>
        <v/>
      </c>
      <c r="B343" t="inlineStr">
        <is>
          <t>cbr_at_98_100_pct_mdd</t>
        </is>
      </c>
      <c r="C343" t="inlineStr">
        <is>
          <t>//diggs:propertyClass</t>
        </is>
      </c>
      <c r="D343" t="inlineStr">
        <is>
          <t>ancestor::diggs:measurement//diggs:procedure/diggs:InsituCBRTest</t>
        </is>
      </c>
    </row>
    <row r="344">
      <c r="A344">
        <f>IF(ISNA(VLOOKUP(B344,Definitions!B$2:B$1604,1,FALSE)),"Not listed","")</f>
        <v/>
      </c>
      <c r="B344" t="inlineStr">
        <is>
          <t>cbr_at_98_100_pct_mdd</t>
        </is>
      </c>
      <c r="C344" t="inlineStr">
        <is>
          <t>//diggs:propertyClass</t>
        </is>
      </c>
      <c r="D344" t="inlineStr">
        <is>
          <t>ancestor::diggs:measurement//diggs:procedure/diggs:LabCBRTest</t>
        </is>
      </c>
    </row>
    <row r="345">
      <c r="A345">
        <f>IF(ISNA(VLOOKUP(B345,Definitions!B$2:B$1604,1,FALSE)),"Not listed","")</f>
        <v/>
      </c>
      <c r="B345" t="inlineStr">
        <is>
          <t>cbr_as_compacted</t>
        </is>
      </c>
      <c r="C345" t="inlineStr">
        <is>
          <t>//diggs:propertyClass</t>
        </is>
      </c>
      <c r="D345" t="inlineStr">
        <is>
          <t>ancestor::diggs:measurement//diggs:procedure/diggs:InsituCBRTest</t>
        </is>
      </c>
    </row>
    <row r="346">
      <c r="A346">
        <f>IF(ISNA(VLOOKUP(B346,Definitions!B$2:B$1604,1,FALSE)),"Not listed","")</f>
        <v/>
      </c>
      <c r="B346" t="inlineStr">
        <is>
          <t>cbr_as_compacted</t>
        </is>
      </c>
      <c r="C346" t="inlineStr">
        <is>
          <t>//diggs:propertyClass</t>
        </is>
      </c>
      <c r="D346" t="inlineStr">
        <is>
          <t>ancestor::diggs:measurement//diggs:procedure/diggs:LabCBRTest</t>
        </is>
      </c>
    </row>
    <row r="347">
      <c r="A347">
        <f>IF(ISNA(VLOOKUP(B347,Definitions!B$2:B$1604,1,FALSE)),"Not listed","")</f>
        <v/>
      </c>
      <c r="B347" t="inlineStr">
        <is>
          <t>apparent_resistivity_min</t>
        </is>
      </c>
      <c r="C347" t="inlineStr">
        <is>
          <t>//diggs:propertyClass</t>
        </is>
      </c>
      <c r="D347" t="inlineStr">
        <is>
          <t>ancestor::diggs:measurement//diggs:procedure/diggs:InsituResistivityTest</t>
        </is>
      </c>
    </row>
    <row r="348">
      <c r="A348">
        <f>IF(ISNA(VLOOKUP(B348,Definitions!B$2:B$1604,1,FALSE)),"Not listed","")</f>
        <v/>
      </c>
      <c r="B348" t="inlineStr">
        <is>
          <t>apparent_resistivity_max</t>
        </is>
      </c>
      <c r="C348" t="inlineStr">
        <is>
          <t>//diggs:propertyClass</t>
        </is>
      </c>
      <c r="D348" t="inlineStr">
        <is>
          <t>ancestor::diggs:measurement//diggs:procedure/diggs:InsituResistivityTest</t>
        </is>
      </c>
    </row>
    <row r="349">
      <c r="A349">
        <f>IF(ISNA(VLOOKUP(B349,Definitions!B$2:B$1604,1,FALSE)),"Not listed","")</f>
        <v/>
      </c>
      <c r="B349" t="inlineStr">
        <is>
          <t>corrosivity_classification_palmer</t>
        </is>
      </c>
      <c r="C349" t="inlineStr">
        <is>
          <t>//diggs:propertyClass</t>
        </is>
      </c>
      <c r="D349" t="inlineStr">
        <is>
          <t>ancestor::diggs:measurement//diggs:procedure/diggs:InsituResistivityTest</t>
        </is>
      </c>
    </row>
    <row r="350">
      <c r="B350" t="inlineStr">
        <is>
          <t>thermal_conductivity</t>
        </is>
      </c>
      <c r="C350" t="inlineStr">
        <is>
          <t>//diggs:propertyClass</t>
        </is>
      </c>
      <c r="D350" t="inlineStr">
        <is>
          <t>ancestor::diggs:measurement//diggs:procedure/diggs:LabThermalConductivityTest</t>
        </is>
      </c>
    </row>
    <row r="351">
      <c r="B351" t="inlineStr">
        <is>
          <t>thermal_resistivity</t>
        </is>
      </c>
      <c r="C351" t="inlineStr">
        <is>
          <t>//diggs:propertyClass</t>
        </is>
      </c>
      <c r="D351" t="inlineStr">
        <is>
          <t>ancestor::diggs:measurement//diggs:procedure/diggs:LabThermalConductivityTest</t>
        </is>
      </c>
    </row>
    <row r="352">
      <c r="B352" t="inlineStr">
        <is>
          <t>sulfate_water_soluble</t>
        </is>
      </c>
      <c r="C352" t="inlineStr">
        <is>
          <t>//diggs:propertyClass</t>
        </is>
      </c>
      <c r="D352" t="inlineStr">
        <is>
          <t>ancestor::diggs:measurement//diggs:procedure/diggs:LabChemicalTest</t>
        </is>
      </c>
    </row>
    <row r="353">
      <c r="B353" t="inlineStr">
        <is>
          <t>sulfate_acid_soluble</t>
        </is>
      </c>
      <c r="C353" t="inlineStr">
        <is>
          <t>//diggs:propertyClass</t>
        </is>
      </c>
      <c r="D353" t="inlineStr">
        <is>
          <t>ancestor::diggs:measurement//diggs:procedure/diggs:LabChemicalTest</t>
        </is>
      </c>
    </row>
    <row r="354">
      <c r="B354" t="inlineStr">
        <is>
          <t>chloride_water_soluble</t>
        </is>
      </c>
      <c r="C354" t="inlineStr">
        <is>
          <t>//diggs:propertyClass</t>
        </is>
      </c>
      <c r="D354" t="inlineStr">
        <is>
          <t>ancestor::diggs:measurement//diggs:procedure/diggs:LabChemicalTest</t>
        </is>
      </c>
    </row>
    <row r="355">
      <c r="B355" t="inlineStr">
        <is>
          <t>chloride_acid_soluble</t>
        </is>
      </c>
      <c r="C355" t="inlineStr">
        <is>
          <t>//diggs:propertyClass</t>
        </is>
      </c>
      <c r="D355" t="inlineStr">
        <is>
          <t>ancestor::diggs:measurement//diggs:procedure/diggs:LabChemicalTest</t>
        </is>
      </c>
    </row>
    <row r="356">
      <c r="B356" t="inlineStr">
        <is>
          <t>magnesium_water_soluble</t>
        </is>
      </c>
      <c r="C356" t="inlineStr">
        <is>
          <t>//diggs:propertyClass</t>
        </is>
      </c>
      <c r="D356" t="inlineStr">
        <is>
          <t>ancestor::diggs:measurement//diggs:procedure/diggs:LabChemicalTest</t>
        </is>
      </c>
    </row>
    <row r="357">
      <c r="B357" t="inlineStr">
        <is>
          <t>total_organic_carbon</t>
        </is>
      </c>
      <c r="C357" t="inlineStr">
        <is>
          <t>//diggs:propertyClass</t>
        </is>
      </c>
      <c r="D357" t="inlineStr">
        <is>
          <t>ancestor::diggs:measurement//diggs:procedure/diggs:LabChemicalTest</t>
        </is>
      </c>
    </row>
    <row r="358">
      <c r="B358" t="inlineStr">
        <is>
          <t>carbonate_content</t>
        </is>
      </c>
      <c r="C358" t="inlineStr">
        <is>
          <t>//diggs:propertyClass</t>
        </is>
      </c>
      <c r="D358" t="inlineStr">
        <is>
          <t>ancestor::diggs:measurement//diggs:procedure/diggs:LabChemicalTest</t>
        </is>
      </c>
    </row>
    <row r="359">
      <c r="B359" t="inlineStr">
        <is>
          <t>total_sulfur</t>
        </is>
      </c>
      <c r="C359" t="inlineStr">
        <is>
          <t>//diggs:propertyClass</t>
        </is>
      </c>
      <c r="D359" t="inlineStr">
        <is>
          <t>ancestor::diggs:measurement//diggs:procedure/diggs:LabChemicalTest</t>
        </is>
      </c>
    </row>
    <row r="360">
      <c r="B360" t="inlineStr">
        <is>
          <t>total_sulfide</t>
        </is>
      </c>
      <c r="C360" t="inlineStr">
        <is>
          <t>//diggs:propertyClass</t>
        </is>
      </c>
      <c r="D360" t="inlineStr">
        <is>
          <t>ancestor::diggs:measurement//diggs:procedure/diggs:LabChemicalTest</t>
        </is>
      </c>
    </row>
    <row r="361">
      <c r="B361" t="inlineStr">
        <is>
          <t>sulfide_acid_soluble</t>
        </is>
      </c>
      <c r="C361" t="inlineStr">
        <is>
          <t>//diggs:propertyClass</t>
        </is>
      </c>
      <c r="D361" t="inlineStr">
        <is>
          <t>ancestor::diggs:measurement//diggs:procedure/diggs:LabChemicalTest</t>
        </is>
      </c>
    </row>
    <row r="362">
      <c r="B362" t="inlineStr">
        <is>
          <t>total_dissolved_solids</t>
        </is>
      </c>
      <c r="C362" t="inlineStr">
        <is>
          <t>//diggs:propertyClass</t>
        </is>
      </c>
      <c r="D362" t="inlineStr">
        <is>
          <t>ancestor::diggs:measurement//diggs:procedure/diggs:LabChemicalTest</t>
        </is>
      </c>
    </row>
    <row r="363">
      <c r="B363" t="inlineStr">
        <is>
          <t>LOI</t>
        </is>
      </c>
      <c r="C363" t="inlineStr">
        <is>
          <t>//diggs:propertyClass</t>
        </is>
      </c>
      <c r="D363" t="inlineStr">
        <is>
          <t>ancestor::diggs:measurement//diggs:procedure/diggs:LabChemicalTest</t>
        </is>
      </c>
    </row>
    <row r="364">
      <c r="B364" t="inlineStr">
        <is>
          <t>resistivity</t>
        </is>
      </c>
      <c r="C364" t="inlineStr">
        <is>
          <t>//diggs:propertyClass</t>
        </is>
      </c>
      <c r="D364" t="inlineStr">
        <is>
          <t>ancestor::diggs:measurement//diggs:procedure/diggs:LabChemicalTest</t>
        </is>
      </c>
    </row>
    <row r="365">
      <c r="B365" t="inlineStr">
        <is>
          <t>redox_potential</t>
        </is>
      </c>
      <c r="C365" t="inlineStr">
        <is>
          <t>//diggs:propertyClass</t>
        </is>
      </c>
      <c r="D365" t="inlineStr">
        <is>
          <t>ancestor::diggs:measurement//diggs:procedure/diggs:LabChemicalTest</t>
        </is>
      </c>
    </row>
    <row r="366">
      <c r="B366" t="inlineStr">
        <is>
          <t>total_organic_matter</t>
        </is>
      </c>
      <c r="C366" t="inlineStr">
        <is>
          <t>//diggs:propertyClass</t>
        </is>
      </c>
      <c r="D366" t="inlineStr">
        <is>
          <t>ancestor::diggs:measurement//diggs:procedure/diggs:LabChemicalTest</t>
        </is>
      </c>
    </row>
    <row r="367">
      <c r="B367" t="inlineStr">
        <is>
          <t>bulk_density</t>
        </is>
      </c>
      <c r="C367" t="inlineStr">
        <is>
          <t>//diggs:parameterName</t>
        </is>
      </c>
      <c r="D367" t="inlineStr">
        <is>
          <t>ancestor::diggs:characteristicProperty</t>
        </is>
      </c>
    </row>
    <row r="368">
      <c r="B368" t="inlineStr">
        <is>
          <t>cohesion_peak</t>
        </is>
      </c>
      <c r="C368" t="inlineStr">
        <is>
          <t>//diggs:parameterName</t>
        </is>
      </c>
      <c r="D368" t="inlineStr">
        <is>
          <t>ancestor::diggs:characteristicProperty</t>
        </is>
      </c>
    </row>
    <row r="369">
      <c r="B369" t="inlineStr">
        <is>
          <t>friction_angle_peak</t>
        </is>
      </c>
      <c r="C369" t="inlineStr">
        <is>
          <t>//diggs:parameterName</t>
        </is>
      </c>
      <c r="D369" t="inlineStr">
        <is>
          <t>ancestor::diggs:characteristicProperty</t>
        </is>
      </c>
    </row>
    <row r="370">
      <c r="B370" t="inlineStr">
        <is>
          <t>modulus_youngs</t>
        </is>
      </c>
      <c r="C370" t="inlineStr">
        <is>
          <t>//diggs:parameterName</t>
        </is>
      </c>
      <c r="D370" t="inlineStr">
        <is>
          <t>ancestor::diggs:characteristicProperty</t>
        </is>
      </c>
    </row>
    <row r="371">
      <c r="B371" t="inlineStr">
        <is>
          <t>poisson_ratio</t>
        </is>
      </c>
      <c r="C371" t="inlineStr">
        <is>
          <t>//diggs:parameterName</t>
        </is>
      </c>
      <c r="D371" t="inlineStr">
        <is>
          <t>ancestor::diggs:characteristicProperty</t>
        </is>
      </c>
    </row>
    <row r="372">
      <c r="B372" t="inlineStr">
        <is>
          <t>bulk_unit_weight</t>
        </is>
      </c>
      <c r="C372" t="inlineStr">
        <is>
          <t>//diggs:propertyClass</t>
        </is>
      </c>
      <c r="D372" t="inlineStr">
        <is>
          <t>ancestor::diggs:measurement//diggs:procedure/diggs:InsituCBRTest</t>
        </is>
      </c>
    </row>
    <row r="373">
      <c r="B373" t="inlineStr">
        <is>
          <t>bulk_unit_weight</t>
        </is>
      </c>
      <c r="C373" t="inlineStr">
        <is>
          <t>//diggs:propertyClass</t>
        </is>
      </c>
      <c r="D373" t="inlineStr">
        <is>
          <t>ancestor::diggs:measurement//diggs:procedure/diggs:InsituDensityTest</t>
        </is>
      </c>
    </row>
    <row r="374">
      <c r="B374" t="inlineStr">
        <is>
          <t>bulk_unit_weight</t>
        </is>
      </c>
      <c r="C374" t="inlineStr">
        <is>
          <t>//diggs:propertyClass</t>
        </is>
      </c>
      <c r="D374" t="inlineStr">
        <is>
          <t>ancestor::diggs:measurement//diggs:procedure/diggs:LabCBRTest</t>
        </is>
      </c>
    </row>
    <row r="375">
      <c r="B375" t="inlineStr">
        <is>
          <t>bulk_unit_weight</t>
        </is>
      </c>
      <c r="C375" t="inlineStr">
        <is>
          <t>//diggs:propertyClass</t>
        </is>
      </c>
      <c r="D375" t="inlineStr">
        <is>
          <t>ancestor::diggs:measurement//diggs:procedure/diggs:LabDensityTest</t>
        </is>
      </c>
    </row>
    <row r="376">
      <c r="B376" t="inlineStr">
        <is>
          <t>bulk_unit_weight</t>
        </is>
      </c>
      <c r="C376" t="inlineStr">
        <is>
          <t>//diggs:parameterName</t>
        </is>
      </c>
      <c r="D376" t="inlineStr">
        <is>
          <t>ancestor::diggs:characteristicProperty</t>
        </is>
      </c>
    </row>
    <row r="377">
      <c r="B377" t="inlineStr">
        <is>
          <t>dry_unit_weight</t>
        </is>
      </c>
      <c r="C377" t="inlineStr">
        <is>
          <t>//diggs:propertyClass</t>
        </is>
      </c>
      <c r="D377" t="inlineStr">
        <is>
          <t>ancestor::diggs:measurement//diggs:procedure/diggs:LabDensityTest</t>
        </is>
      </c>
    </row>
    <row r="378">
      <c r="B378" t="inlineStr">
        <is>
          <t>unit_weight_max</t>
        </is>
      </c>
      <c r="C378" t="inlineStr">
        <is>
          <t>//diggs:propertyClass</t>
        </is>
      </c>
      <c r="D378" t="inlineStr">
        <is>
          <t>ancestor::diggs:measurement//diggs:procedure/diggs:LabCompactionTest</t>
        </is>
      </c>
    </row>
    <row r="379">
      <c r="B379" t="inlineStr">
        <is>
          <t>a_pressure</t>
        </is>
      </c>
      <c r="C379" t="inlineStr">
        <is>
          <t>//diggs:parameterName</t>
        </is>
      </c>
      <c r="D379" t="inlineStr">
        <is>
          <t>ancestor::diggs:characteristicProperty</t>
        </is>
      </c>
    </row>
    <row r="380">
      <c r="B380" t="inlineStr">
        <is>
          <t>aashto_group_index</t>
        </is>
      </c>
      <c r="C380" t="inlineStr">
        <is>
          <t>//diggs:parameterName</t>
        </is>
      </c>
      <c r="D380" t="inlineStr">
        <is>
          <t>ancestor::diggs:characteristicProperty</t>
        </is>
      </c>
    </row>
    <row r="381">
      <c r="B381" t="inlineStr">
        <is>
          <t>aashto_symbol</t>
        </is>
      </c>
      <c r="C381" t="inlineStr">
        <is>
          <t>//diggs:parameterName</t>
        </is>
      </c>
      <c r="D381" t="inlineStr">
        <is>
          <t>ancestor::diggs:characteristicProperty</t>
        </is>
      </c>
    </row>
    <row r="382">
      <c r="B382" t="inlineStr">
        <is>
          <t>aggregate_abrasion_value</t>
        </is>
      </c>
      <c r="C382" t="inlineStr">
        <is>
          <t>//diggs:parameterName</t>
        </is>
      </c>
      <c r="D382" t="inlineStr">
        <is>
          <t>ancestor::diggs:characteristicProperty</t>
        </is>
      </c>
    </row>
    <row r="383">
      <c r="B383" t="inlineStr">
        <is>
          <t>aggregate_crushing_value</t>
        </is>
      </c>
      <c r="C383" t="inlineStr">
        <is>
          <t>//diggs:parameterName</t>
        </is>
      </c>
      <c r="D383" t="inlineStr">
        <is>
          <t>ancestor::diggs:characteristicProperty</t>
        </is>
      </c>
    </row>
    <row r="384">
      <c r="B384" t="inlineStr">
        <is>
          <t>aggregate_elongation_index</t>
        </is>
      </c>
      <c r="C384" t="inlineStr">
        <is>
          <t>//diggs:parameterName</t>
        </is>
      </c>
      <c r="D384" t="inlineStr">
        <is>
          <t>ancestor::diggs:characteristicProperty</t>
        </is>
      </c>
    </row>
    <row r="385">
      <c r="B385" t="inlineStr">
        <is>
          <t>aggregate_flakiness_index</t>
        </is>
      </c>
      <c r="C385" t="inlineStr">
        <is>
          <t>//diggs:parameterName</t>
        </is>
      </c>
      <c r="D385" t="inlineStr">
        <is>
          <t>ancestor::diggs:characteristicProperty</t>
        </is>
      </c>
    </row>
    <row r="386">
      <c r="B386" t="inlineStr">
        <is>
          <t>aggregate_impact_value</t>
        </is>
      </c>
      <c r="C386" t="inlineStr">
        <is>
          <t>//diggs:parameterName</t>
        </is>
      </c>
      <c r="D386" t="inlineStr">
        <is>
          <t>ancestor::diggs:characteristicProperty</t>
        </is>
      </c>
    </row>
    <row r="387">
      <c r="B387" t="inlineStr">
        <is>
          <t>aggregate_LA_abrasion_loss</t>
        </is>
      </c>
      <c r="C387" t="inlineStr">
        <is>
          <t>//diggs:parameterName</t>
        </is>
      </c>
      <c r="D387" t="inlineStr">
        <is>
          <t>ancestor::diggs:characteristicProperty</t>
        </is>
      </c>
    </row>
    <row r="388">
      <c r="B388" t="inlineStr">
        <is>
          <t>aggregate_la_coefficient</t>
        </is>
      </c>
      <c r="C388" t="inlineStr">
        <is>
          <t>//diggs:parameterName</t>
        </is>
      </c>
      <c r="D388" t="inlineStr">
        <is>
          <t>ancestor::diggs:characteristicProperty</t>
        </is>
      </c>
    </row>
    <row r="389">
      <c r="B389" t="inlineStr">
        <is>
          <t>aggregate_la_wear_ratio</t>
        </is>
      </c>
      <c r="C389" t="inlineStr">
        <is>
          <t>//diggs:parameterName</t>
        </is>
      </c>
      <c r="D389" t="inlineStr">
        <is>
          <t>ancestor::diggs:characteristicProperty</t>
        </is>
      </c>
    </row>
    <row r="390">
      <c r="B390" t="inlineStr">
        <is>
          <t>aggregate_polished_stone_value</t>
        </is>
      </c>
      <c r="C390" t="inlineStr">
        <is>
          <t>//diggs:parameterName</t>
        </is>
      </c>
      <c r="D390" t="inlineStr">
        <is>
          <t>ancestor::diggs:characteristicProperty</t>
        </is>
      </c>
    </row>
    <row r="391">
      <c r="B391" t="inlineStr">
        <is>
          <t>aggregate_soundness_value</t>
        </is>
      </c>
      <c r="C391" t="inlineStr">
        <is>
          <t>//diggs:parameterName</t>
        </is>
      </c>
      <c r="D391" t="inlineStr">
        <is>
          <t>ancestor::diggs:characteristicProperty</t>
        </is>
      </c>
    </row>
    <row r="392">
      <c r="B392" t="inlineStr">
        <is>
          <t>aggregate_water_absorption</t>
        </is>
      </c>
      <c r="C392" t="inlineStr">
        <is>
          <t>//diggs:parameterName</t>
        </is>
      </c>
      <c r="D392" t="inlineStr">
        <is>
          <t>ancestor::diggs:characteristicProperty</t>
        </is>
      </c>
    </row>
    <row r="393">
      <c r="B393" t="inlineStr">
        <is>
          <t>b_pressure</t>
        </is>
      </c>
      <c r="C393" t="inlineStr">
        <is>
          <t>//diggs:parameterName</t>
        </is>
      </c>
      <c r="D393" t="inlineStr">
        <is>
          <t>ancestor::diggs:characteristicProperty</t>
        </is>
      </c>
    </row>
    <row r="394">
      <c r="B394" t="inlineStr">
        <is>
          <t>bleed</t>
        </is>
      </c>
      <c r="C394" t="inlineStr">
        <is>
          <t>//diggs:parameterName</t>
        </is>
      </c>
      <c r="D394" t="inlineStr">
        <is>
          <t>ancestor::diggs:characteristicProperty</t>
        </is>
      </c>
    </row>
    <row r="395">
      <c r="B395" t="inlineStr">
        <is>
          <t>blow_count</t>
        </is>
      </c>
      <c r="C395" t="inlineStr">
        <is>
          <t>//diggs:parameterName</t>
        </is>
      </c>
      <c r="D395" t="inlineStr">
        <is>
          <t>ancestor::diggs:characteristicProperty</t>
        </is>
      </c>
    </row>
    <row r="396">
      <c r="B396" t="inlineStr">
        <is>
          <t>c_pressure</t>
        </is>
      </c>
      <c r="C396" t="inlineStr">
        <is>
          <t>//diggs:parameterName</t>
        </is>
      </c>
      <c r="D396" t="inlineStr">
        <is>
          <t>ancestor::diggs:characteristicProperty</t>
        </is>
      </c>
    </row>
    <row r="397">
      <c r="B397" t="inlineStr">
        <is>
          <t>cbr_0.1</t>
        </is>
      </c>
      <c r="C397" t="inlineStr">
        <is>
          <t>//diggs:parameterName</t>
        </is>
      </c>
      <c r="D397" t="inlineStr">
        <is>
          <t>ancestor::diggs:characteristicProperty</t>
        </is>
      </c>
    </row>
    <row r="398">
      <c r="B398" t="inlineStr">
        <is>
          <t>cbr_0.2</t>
        </is>
      </c>
      <c r="C398" t="inlineStr">
        <is>
          <t>//diggs:parameterName</t>
        </is>
      </c>
      <c r="D398" t="inlineStr">
        <is>
          <t>ancestor::diggs:characteristicProperty</t>
        </is>
      </c>
    </row>
    <row r="399">
      <c r="B399" t="inlineStr">
        <is>
          <t>chalk_crushing_value</t>
        </is>
      </c>
      <c r="C399" t="inlineStr">
        <is>
          <t>//diggs:parameterName</t>
        </is>
      </c>
      <c r="D399" t="inlineStr">
        <is>
          <t>ancestor::diggs:characteristicProperty</t>
        </is>
      </c>
    </row>
    <row r="400">
      <c r="B400" t="inlineStr">
        <is>
          <t>chloride_content</t>
        </is>
      </c>
      <c r="C400" t="inlineStr">
        <is>
          <t>//diggs:parameterName</t>
        </is>
      </c>
      <c r="D400" t="inlineStr">
        <is>
          <t>ancestor::diggs:characteristicProperty</t>
        </is>
      </c>
    </row>
    <row r="401">
      <c r="B401" t="inlineStr">
        <is>
          <t>clay_percent_2_micron</t>
        </is>
      </c>
      <c r="C401" t="inlineStr">
        <is>
          <t>//diggs:parameterName</t>
        </is>
      </c>
      <c r="D401" t="inlineStr">
        <is>
          <t>ancestor::diggs:characteristicProperty</t>
        </is>
      </c>
    </row>
    <row r="402">
      <c r="B402" t="inlineStr">
        <is>
          <t>clay_percent_5_micron</t>
        </is>
      </c>
      <c r="C402" t="inlineStr">
        <is>
          <t>//diggs:parameterName</t>
        </is>
      </c>
      <c r="D402" t="inlineStr">
        <is>
          <t>ancestor::diggs:characteristicProperty</t>
        </is>
      </c>
    </row>
    <row r="403">
      <c r="B403" t="inlineStr">
        <is>
          <t>coef_consolidation_horiz</t>
        </is>
      </c>
      <c r="C403" t="inlineStr">
        <is>
          <t>//diggs:parameterName</t>
        </is>
      </c>
      <c r="D403" t="inlineStr">
        <is>
          <t>ancestor::diggs:characteristicProperty</t>
        </is>
      </c>
    </row>
    <row r="404">
      <c r="B404" t="inlineStr">
        <is>
          <t>coef_consolidation_vertical</t>
        </is>
      </c>
      <c r="C404" t="inlineStr">
        <is>
          <t>//diggs:parameterName</t>
        </is>
      </c>
      <c r="D404" t="inlineStr">
        <is>
          <t>ancestor::diggs:characteristicProperty</t>
        </is>
      </c>
    </row>
    <row r="405">
      <c r="B405" t="inlineStr">
        <is>
          <t>coef_curvature</t>
        </is>
      </c>
      <c r="C405" t="inlineStr">
        <is>
          <t>//diggs:parameterName</t>
        </is>
      </c>
      <c r="D405" t="inlineStr">
        <is>
          <t>ancestor::diggs:characteristicProperty</t>
        </is>
      </c>
    </row>
    <row r="406">
      <c r="B406" t="inlineStr">
        <is>
          <t>coef_earth_pressure</t>
        </is>
      </c>
      <c r="C406" t="inlineStr">
        <is>
          <t>//diggs:parameterName</t>
        </is>
      </c>
      <c r="D406" t="inlineStr">
        <is>
          <t>ancestor::diggs:characteristicProperty</t>
        </is>
      </c>
    </row>
    <row r="407">
      <c r="B407" t="inlineStr">
        <is>
          <t>coef_permeability</t>
        </is>
      </c>
      <c r="C407" t="inlineStr">
        <is>
          <t>//diggs:parameterName</t>
        </is>
      </c>
      <c r="D407" t="inlineStr">
        <is>
          <t>ancestor::diggs:characteristicProperty</t>
        </is>
      </c>
    </row>
    <row r="408">
      <c r="B408" t="inlineStr">
        <is>
          <t>coef_permeability_corrected</t>
        </is>
      </c>
      <c r="C408" t="inlineStr">
        <is>
          <t>//diggs:parameterName</t>
        </is>
      </c>
      <c r="D408" t="inlineStr">
        <is>
          <t>ancestor::diggs:characteristicProperty</t>
        </is>
      </c>
    </row>
    <row r="409">
      <c r="B409" t="inlineStr">
        <is>
          <t>coef_permeability_horiz</t>
        </is>
      </c>
      <c r="C409" t="inlineStr">
        <is>
          <t>//diggs:parameterName</t>
        </is>
      </c>
      <c r="D409" t="inlineStr">
        <is>
          <t>ancestor::diggs:characteristicProperty</t>
        </is>
      </c>
    </row>
    <row r="410">
      <c r="B410" t="inlineStr">
        <is>
          <t>coef_permeability_vert</t>
        </is>
      </c>
      <c r="C410" t="inlineStr">
        <is>
          <t>//diggs:parameterName</t>
        </is>
      </c>
      <c r="D410" t="inlineStr">
        <is>
          <t>ancestor::diggs:characteristicProperty</t>
        </is>
      </c>
    </row>
    <row r="411">
      <c r="B411" t="inlineStr">
        <is>
          <t>coef_uniformity</t>
        </is>
      </c>
      <c r="C411" t="inlineStr">
        <is>
          <t>//diggs:parameterName</t>
        </is>
      </c>
      <c r="D411" t="inlineStr">
        <is>
          <t>ancestor::diggs:characteristicProperty</t>
        </is>
      </c>
    </row>
    <row r="412">
      <c r="B412" t="inlineStr">
        <is>
          <t>cohesion_residual</t>
        </is>
      </c>
      <c r="C412" t="inlineStr">
        <is>
          <t>//diggs:parameterName</t>
        </is>
      </c>
      <c r="D412" t="inlineStr">
        <is>
          <t>ancestor::diggs:characteristicProperty</t>
        </is>
      </c>
    </row>
    <row r="413">
      <c r="B413" t="inlineStr">
        <is>
          <t>colloid_percent</t>
        </is>
      </c>
      <c r="C413" t="inlineStr">
        <is>
          <t>//diggs:parameterName</t>
        </is>
      </c>
      <c r="D413" t="inlineStr">
        <is>
          <t>ancestor::diggs:characteristicProperty</t>
        </is>
      </c>
    </row>
    <row r="414">
      <c r="B414" t="inlineStr">
        <is>
          <t>compression_index</t>
        </is>
      </c>
      <c r="C414" t="inlineStr">
        <is>
          <t>//diggs:parameterName</t>
        </is>
      </c>
      <c r="D414" t="inlineStr">
        <is>
          <t>ancestor::diggs:characteristicProperty</t>
        </is>
      </c>
    </row>
    <row r="415">
      <c r="B415" t="inlineStr">
        <is>
          <t>compressive_strength_unconfined</t>
        </is>
      </c>
      <c r="C415" t="inlineStr">
        <is>
          <t>//diggs:parameterName</t>
        </is>
      </c>
      <c r="D415" t="inlineStr">
        <is>
          <t>ancestor::diggs:characteristicProperty</t>
        </is>
      </c>
    </row>
    <row r="416">
      <c r="B416" t="inlineStr">
        <is>
          <t>conductivity</t>
        </is>
      </c>
      <c r="C416" t="inlineStr">
        <is>
          <t>//diggs:parameterName</t>
        </is>
      </c>
      <c r="D416" t="inlineStr">
        <is>
          <t>ancestor::diggs:characteristicProperty</t>
        </is>
      </c>
    </row>
    <row r="417">
      <c r="B417" t="inlineStr">
        <is>
          <t>consistency_index</t>
        </is>
      </c>
      <c r="C417" t="inlineStr">
        <is>
          <t>//diggs:parameterName</t>
        </is>
      </c>
      <c r="D417" t="inlineStr">
        <is>
          <t>ancestor::diggs:characteristicProperty</t>
        </is>
      </c>
    </row>
    <row r="418">
      <c r="B418" t="inlineStr">
        <is>
          <t>constrained_vert_modulus</t>
        </is>
      </c>
      <c r="C418" t="inlineStr">
        <is>
          <t>//diggs:parameterName</t>
        </is>
      </c>
      <c r="D418" t="inlineStr">
        <is>
          <t>ancestor::diggs:characteristicProperty</t>
        </is>
      </c>
    </row>
    <row r="419">
      <c r="B419" t="inlineStr">
        <is>
          <t>d10</t>
        </is>
      </c>
      <c r="C419" t="inlineStr">
        <is>
          <t>//diggs:parameterName</t>
        </is>
      </c>
      <c r="D419" t="inlineStr">
        <is>
          <t>ancestor::diggs:characteristicProperty</t>
        </is>
      </c>
    </row>
    <row r="420">
      <c r="B420" t="inlineStr">
        <is>
          <t>d15</t>
        </is>
      </c>
      <c r="C420" t="inlineStr">
        <is>
          <t>//diggs:parameterName</t>
        </is>
      </c>
      <c r="D420" t="inlineStr">
        <is>
          <t>ancestor::diggs:characteristicProperty</t>
        </is>
      </c>
    </row>
    <row r="421">
      <c r="B421" t="inlineStr">
        <is>
          <t>d30</t>
        </is>
      </c>
      <c r="C421" t="inlineStr">
        <is>
          <t>//diggs:parameterName</t>
        </is>
      </c>
      <c r="D421" t="inlineStr">
        <is>
          <t>ancestor::diggs:characteristicProperty</t>
        </is>
      </c>
    </row>
    <row r="422">
      <c r="B422" t="inlineStr">
        <is>
          <t>d50</t>
        </is>
      </c>
      <c r="C422" t="inlineStr">
        <is>
          <t>//diggs:parameterName</t>
        </is>
      </c>
      <c r="D422" t="inlineStr">
        <is>
          <t>ancestor::diggs:characteristicProperty</t>
        </is>
      </c>
    </row>
    <row r="423">
      <c r="B423" t="inlineStr">
        <is>
          <t>d60</t>
        </is>
      </c>
      <c r="C423" t="inlineStr">
        <is>
          <t>//diggs:parameterName</t>
        </is>
      </c>
      <c r="D423" t="inlineStr">
        <is>
          <t>ancestor::diggs:characteristicProperty</t>
        </is>
      </c>
    </row>
    <row r="424">
      <c r="B424" t="inlineStr">
        <is>
          <t>d85</t>
        </is>
      </c>
      <c r="C424" t="inlineStr">
        <is>
          <t>//diggs:parameterName</t>
        </is>
      </c>
      <c r="D424" t="inlineStr">
        <is>
          <t>ancestor::diggs:characteristicProperty</t>
        </is>
      </c>
    </row>
    <row r="425">
      <c r="B425" t="inlineStr">
        <is>
          <t>degree_of_saturation</t>
        </is>
      </c>
      <c r="C425" t="inlineStr">
        <is>
          <t>//diggs:parameterName</t>
        </is>
      </c>
      <c r="D425" t="inlineStr">
        <is>
          <t>ancestor::diggs:characteristicProperty</t>
        </is>
      </c>
    </row>
    <row r="426">
      <c r="B426" t="inlineStr">
        <is>
          <t>delay</t>
        </is>
      </c>
      <c r="C426" t="inlineStr">
        <is>
          <t>//diggs:parameterName</t>
        </is>
      </c>
      <c r="D426" t="inlineStr">
        <is>
          <t>ancestor::diggs:characteristicProperty</t>
        </is>
      </c>
    </row>
    <row r="427">
      <c r="B427" t="inlineStr">
        <is>
          <t>depth</t>
        </is>
      </c>
      <c r="C427" t="inlineStr">
        <is>
          <t>//diggs:parameterName</t>
        </is>
      </c>
      <c r="D427" t="inlineStr">
        <is>
          <t>ancestor::diggs:characteristicProperty</t>
        </is>
      </c>
    </row>
    <row r="428">
      <c r="B428" t="inlineStr">
        <is>
          <t>dilation_angle</t>
        </is>
      </c>
      <c r="C428" t="inlineStr">
        <is>
          <t>//diggs:parameterName</t>
        </is>
      </c>
      <c r="D428" t="inlineStr">
        <is>
          <t>ancestor::diggs:characteristicProperty</t>
        </is>
      </c>
    </row>
    <row r="429">
      <c r="B429" t="inlineStr">
        <is>
          <t>dilatometer_modulus</t>
        </is>
      </c>
      <c r="C429" t="inlineStr">
        <is>
          <t>//diggs:parameterName</t>
        </is>
      </c>
      <c r="D429" t="inlineStr">
        <is>
          <t>ancestor::diggs:characteristicProperty</t>
        </is>
      </c>
    </row>
    <row r="430">
      <c r="B430" t="inlineStr">
        <is>
          <t>dmt_tip_bearing</t>
        </is>
      </c>
      <c r="C430" t="inlineStr">
        <is>
          <t>//diggs:parameterName</t>
        </is>
      </c>
      <c r="D430" t="inlineStr">
        <is>
          <t>ancestor::diggs:characteristicProperty</t>
        </is>
      </c>
    </row>
    <row r="431">
      <c r="B431" t="inlineStr">
        <is>
          <t>dry_density</t>
        </is>
      </c>
      <c r="C431" t="inlineStr">
        <is>
          <t>//diggs:parameterName</t>
        </is>
      </c>
      <c r="D431" t="inlineStr">
        <is>
          <t>ancestor::diggs:characteristicProperty</t>
        </is>
      </c>
    </row>
    <row r="432">
      <c r="B432" t="inlineStr">
        <is>
          <t>dry_density_max</t>
        </is>
      </c>
      <c r="C432" t="inlineStr">
        <is>
          <t>//diggs:parameterName</t>
        </is>
      </c>
      <c r="D432" t="inlineStr">
        <is>
          <t>ancestor::diggs:characteristicProperty</t>
        </is>
      </c>
    </row>
    <row r="433">
      <c r="B433" t="inlineStr">
        <is>
          <t>effective_stress_vertical</t>
        </is>
      </c>
      <c r="C433" t="inlineStr">
        <is>
          <t>//diggs:parameterName</t>
        </is>
      </c>
      <c r="D433" t="inlineStr">
        <is>
          <t>ancestor::diggs:characteristicProperty</t>
        </is>
      </c>
    </row>
    <row r="434">
      <c r="B434" t="inlineStr">
        <is>
          <t>elapsed_time</t>
        </is>
      </c>
      <c r="C434" t="inlineStr">
        <is>
          <t>//diggs:parameterName</t>
        </is>
      </c>
      <c r="D434" t="inlineStr">
        <is>
          <t>ancestor::diggs:characteristicProperty</t>
        </is>
      </c>
    </row>
    <row r="435">
      <c r="B435" t="inlineStr">
        <is>
          <t>filtrate_volume</t>
        </is>
      </c>
      <c r="C435" t="inlineStr">
        <is>
          <t>//diggs:parameterName</t>
        </is>
      </c>
      <c r="D435" t="inlineStr">
        <is>
          <t>ancestor::diggs:characteristicProperty</t>
        </is>
      </c>
    </row>
    <row r="436">
      <c r="B436" t="inlineStr">
        <is>
          <t>flame_ionization_measurement</t>
        </is>
      </c>
      <c r="C436" t="inlineStr">
        <is>
          <t>//diggs:parameterName</t>
        </is>
      </c>
      <c r="D436" t="inlineStr">
        <is>
          <t>ancestor::diggs:characteristicProperty</t>
        </is>
      </c>
    </row>
    <row r="437">
      <c r="B437" t="inlineStr">
        <is>
          <t>flow_cone_time</t>
        </is>
      </c>
      <c r="C437" t="inlineStr">
        <is>
          <t>//diggs:parameterName</t>
        </is>
      </c>
      <c r="D437" t="inlineStr">
        <is>
          <t>ancestor::diggs:characteristicProperty</t>
        </is>
      </c>
    </row>
    <row r="438">
      <c r="B438" t="inlineStr">
        <is>
          <t>flow_mass_rate</t>
        </is>
      </c>
      <c r="C438" t="inlineStr">
        <is>
          <t>//diggs:parameterName</t>
        </is>
      </c>
      <c r="D438" t="inlineStr">
        <is>
          <t>ancestor::diggs:characteristicProperty</t>
        </is>
      </c>
    </row>
    <row r="439">
      <c r="B439" t="inlineStr">
        <is>
          <t>flow_volume_rate</t>
        </is>
      </c>
      <c r="C439" t="inlineStr">
        <is>
          <t>//diggs:parameterName</t>
        </is>
      </c>
      <c r="D439" t="inlineStr">
        <is>
          <t>ancestor::diggs:characteristicProperty</t>
        </is>
      </c>
    </row>
    <row r="440">
      <c r="B440" t="inlineStr">
        <is>
          <t>friction_angle_cv</t>
        </is>
      </c>
      <c r="C440" t="inlineStr">
        <is>
          <t>//diggs:parameterName</t>
        </is>
      </c>
      <c r="D440" t="inlineStr">
        <is>
          <t>ancestor::diggs:characteristicProperty</t>
        </is>
      </c>
    </row>
    <row r="441">
      <c r="B441" t="inlineStr">
        <is>
          <t>friction_angle_residual</t>
        </is>
      </c>
      <c r="C441" t="inlineStr">
        <is>
          <t>//diggs:parameterName</t>
        </is>
      </c>
      <c r="D441" t="inlineStr">
        <is>
          <t>ancestor::diggs:characteristicProperty</t>
        </is>
      </c>
    </row>
    <row r="442">
      <c r="B442" t="inlineStr">
        <is>
          <t>friction_ratio</t>
        </is>
      </c>
      <c r="C442" t="inlineStr">
        <is>
          <t>//diggs:parameterName</t>
        </is>
      </c>
      <c r="D442" t="inlineStr">
        <is>
          <t>ancestor::diggs:characteristicProperty</t>
        </is>
      </c>
    </row>
    <row r="443">
      <c r="B443" t="inlineStr">
        <is>
          <t>frost_heave</t>
        </is>
      </c>
      <c r="C443" t="inlineStr">
        <is>
          <t>//diggs:parameterName</t>
        </is>
      </c>
      <c r="D443" t="inlineStr">
        <is>
          <t>ancestor::diggs:characteristicProperty</t>
        </is>
      </c>
    </row>
    <row r="444">
      <c r="B444" t="inlineStr">
        <is>
          <t>gauge_pressure</t>
        </is>
      </c>
      <c r="C444" t="inlineStr">
        <is>
          <t>//diggs:parameterName</t>
        </is>
      </c>
      <c r="D444" t="inlineStr">
        <is>
          <t>ancestor::diggs:characteristicProperty</t>
        </is>
      </c>
    </row>
    <row r="445">
      <c r="B445" t="inlineStr">
        <is>
          <t>gel_time</t>
        </is>
      </c>
      <c r="C445" t="inlineStr">
        <is>
          <t>//diggs:parameterName</t>
        </is>
      </c>
      <c r="D445" t="inlineStr">
        <is>
          <t>ancestor::diggs:characteristicProperty</t>
        </is>
      </c>
    </row>
    <row r="446">
      <c r="B446" t="inlineStr">
        <is>
          <t>HFFD</t>
        </is>
      </c>
      <c r="C446" t="inlineStr">
        <is>
          <t>//diggs:parameterName</t>
        </is>
      </c>
      <c r="D446" t="inlineStr">
        <is>
          <t>ancestor::diggs:characteristicProperty</t>
        </is>
      </c>
    </row>
    <row r="447">
      <c r="B447" t="inlineStr">
        <is>
          <t>horiz_stress_index</t>
        </is>
      </c>
      <c r="C447" t="inlineStr">
        <is>
          <t>//diggs:parameterName</t>
        </is>
      </c>
      <c r="D447" t="inlineStr">
        <is>
          <t>ancestor::diggs:characteristicProperty</t>
        </is>
      </c>
    </row>
    <row r="448">
      <c r="B448" t="inlineStr">
        <is>
          <t>inclination</t>
        </is>
      </c>
      <c r="C448" t="inlineStr">
        <is>
          <t>//diggs:parameterName</t>
        </is>
      </c>
      <c r="D448" t="inlineStr">
        <is>
          <t>ancestor::diggs:characteristicProperty</t>
        </is>
      </c>
    </row>
    <row r="449">
      <c r="B449" t="inlineStr">
        <is>
          <t>inclination_x</t>
        </is>
      </c>
      <c r="C449" t="inlineStr">
        <is>
          <t>//diggs:parameterName</t>
        </is>
      </c>
      <c r="D449" t="inlineStr">
        <is>
          <t>ancestor::diggs:characteristicProperty</t>
        </is>
      </c>
    </row>
    <row r="450">
      <c r="B450" t="inlineStr">
        <is>
          <t>inclination_y</t>
        </is>
      </c>
      <c r="C450" t="inlineStr">
        <is>
          <t>//diggs:parameterName</t>
        </is>
      </c>
      <c r="D450" t="inlineStr">
        <is>
          <t>ancestor::diggs:characteristicProperty</t>
        </is>
      </c>
    </row>
    <row r="451">
      <c r="B451" t="inlineStr">
        <is>
          <t>insitu_horizontal_stress</t>
        </is>
      </c>
      <c r="C451" t="inlineStr">
        <is>
          <t>//diggs:parameterName</t>
        </is>
      </c>
      <c r="D451" t="inlineStr">
        <is>
          <t>ancestor::diggs:characteristicProperty</t>
        </is>
      </c>
    </row>
    <row r="452">
      <c r="B452" t="inlineStr">
        <is>
          <t>Is</t>
        </is>
      </c>
      <c r="C452" t="inlineStr">
        <is>
          <t>//diggs:parameterName</t>
        </is>
      </c>
      <c r="D452" t="inlineStr">
        <is>
          <t>ancestor::diggs:characteristicProperty</t>
        </is>
      </c>
    </row>
    <row r="453">
      <c r="B453" t="inlineStr">
        <is>
          <t>Is50</t>
        </is>
      </c>
      <c r="C453" t="inlineStr">
        <is>
          <t>//diggs:parameterName</t>
        </is>
      </c>
      <c r="D453" t="inlineStr">
        <is>
          <t>ancestor::diggs:characteristicProperty</t>
        </is>
      </c>
    </row>
    <row r="454">
      <c r="B454" t="inlineStr">
        <is>
          <t>LFFD</t>
        </is>
      </c>
      <c r="C454" t="inlineStr">
        <is>
          <t>//diggs:parameterName</t>
        </is>
      </c>
      <c r="D454" t="inlineStr">
        <is>
          <t>ancestor::diggs:characteristicProperty</t>
        </is>
      </c>
    </row>
    <row r="455">
      <c r="B455" t="inlineStr">
        <is>
          <t>limit_pressure</t>
        </is>
      </c>
      <c r="C455" t="inlineStr">
        <is>
          <t>//diggs:parameterName</t>
        </is>
      </c>
      <c r="D455" t="inlineStr">
        <is>
          <t>ancestor::diggs:characteristicProperty</t>
        </is>
      </c>
    </row>
    <row r="456">
      <c r="B456" t="inlineStr">
        <is>
          <t>line_loss_coeff_A</t>
        </is>
      </c>
      <c r="C456" t="inlineStr">
        <is>
          <t>//diggs:parameterName</t>
        </is>
      </c>
      <c r="D456" t="inlineStr">
        <is>
          <t>ancestor::diggs:characteristicProperty</t>
        </is>
      </c>
    </row>
    <row r="457">
      <c r="B457" t="inlineStr">
        <is>
          <t>line_loss_coeff_B</t>
        </is>
      </c>
      <c r="C457" t="inlineStr">
        <is>
          <t>//diggs:parameterName</t>
        </is>
      </c>
      <c r="D457" t="inlineStr">
        <is>
          <t>ancestor::diggs:characteristicProperty</t>
        </is>
      </c>
    </row>
    <row r="458">
      <c r="B458" t="inlineStr">
        <is>
          <t>line_loss_coeff_C</t>
        </is>
      </c>
      <c r="C458" t="inlineStr">
        <is>
          <t>//diggs:parameterName</t>
        </is>
      </c>
      <c r="D458" t="inlineStr">
        <is>
          <t>ancestor::diggs:characteristicProperty</t>
        </is>
      </c>
    </row>
    <row r="459">
      <c r="B459" t="inlineStr">
        <is>
          <t>line_loss_r2</t>
        </is>
      </c>
      <c r="C459" t="inlineStr">
        <is>
          <t>//diggs:parameterName</t>
        </is>
      </c>
      <c r="D459" t="inlineStr">
        <is>
          <t>ancestor::diggs:characteristicProperty</t>
        </is>
      </c>
    </row>
    <row r="460">
      <c r="B460" t="inlineStr">
        <is>
          <t>liquid_limit</t>
        </is>
      </c>
      <c r="C460" t="inlineStr">
        <is>
          <t>//diggs:parameterName</t>
        </is>
      </c>
      <c r="D460" t="inlineStr">
        <is>
          <t>ancestor::diggs:characteristicProperty</t>
        </is>
      </c>
    </row>
    <row r="461">
      <c r="B461" t="inlineStr">
        <is>
          <t>liquid_limit_oven_dried</t>
        </is>
      </c>
      <c r="C461" t="inlineStr">
        <is>
          <t>//diggs:parameterName</t>
        </is>
      </c>
      <c r="D461" t="inlineStr">
        <is>
          <t>ancestor::diggs:characteristicProperty</t>
        </is>
      </c>
    </row>
    <row r="462">
      <c r="B462" t="inlineStr">
        <is>
          <t>liquidity_index</t>
        </is>
      </c>
      <c r="C462" t="inlineStr">
        <is>
          <t>//diggs:parameterName</t>
        </is>
      </c>
      <c r="D462" t="inlineStr">
        <is>
          <t>ancestor::diggs:characteristicProperty</t>
        </is>
      </c>
    </row>
    <row r="463">
      <c r="B463" t="inlineStr">
        <is>
          <t>LOI</t>
        </is>
      </c>
      <c r="C463" t="inlineStr">
        <is>
          <t>//diggs:parameterName</t>
        </is>
      </c>
      <c r="D463" t="inlineStr">
        <is>
          <t>ancestor::diggs:characteristicProperty</t>
        </is>
      </c>
    </row>
    <row r="464">
      <c r="B464" t="inlineStr">
        <is>
          <t>lugeon_value</t>
        </is>
      </c>
      <c r="C464" t="inlineStr">
        <is>
          <t>//diggs:parameterName</t>
        </is>
      </c>
      <c r="D464" t="inlineStr">
        <is>
          <t>ancestor::diggs:characteristicProperty</t>
        </is>
      </c>
    </row>
    <row r="465">
      <c r="B465" t="inlineStr">
        <is>
          <t>marsh_funnel_time</t>
        </is>
      </c>
      <c r="C465" t="inlineStr">
        <is>
          <t>//diggs:parameterName</t>
        </is>
      </c>
      <c r="D465" t="inlineStr">
        <is>
          <t>ancestor::diggs:characteristicProperty</t>
        </is>
      </c>
    </row>
    <row r="466">
      <c r="B466" t="inlineStr">
        <is>
          <t>mass</t>
        </is>
      </c>
      <c r="C466" t="inlineStr">
        <is>
          <t>//diggs:parameterName</t>
        </is>
      </c>
      <c r="D466" t="inlineStr">
        <is>
          <t>ancestor::diggs:characteristicProperty</t>
        </is>
      </c>
    </row>
    <row r="467">
      <c r="B467" t="inlineStr">
        <is>
          <t>mass_loss</t>
        </is>
      </c>
      <c r="C467" t="inlineStr">
        <is>
          <t>//diggs:parameterName</t>
        </is>
      </c>
      <c r="D467" t="inlineStr">
        <is>
          <t>ancestor::diggs:characteristicProperty</t>
        </is>
      </c>
    </row>
    <row r="468">
      <c r="B468" t="inlineStr">
        <is>
          <t>material_index</t>
        </is>
      </c>
      <c r="C468" t="inlineStr">
        <is>
          <t>//diggs:parameterName</t>
        </is>
      </c>
      <c r="D468" t="inlineStr">
        <is>
          <t>ancestor::diggs:characteristicProperty</t>
        </is>
      </c>
    </row>
    <row r="469">
      <c r="B469" t="inlineStr">
        <is>
          <t>mcv</t>
        </is>
      </c>
      <c r="C469" t="inlineStr">
        <is>
          <t>//diggs:parameterName</t>
        </is>
      </c>
      <c r="D469" t="inlineStr">
        <is>
          <t>ancestor::diggs:characteristicProperty</t>
        </is>
      </c>
    </row>
    <row r="470">
      <c r="B470" t="inlineStr">
        <is>
          <t>mean_micro_deval_dry</t>
        </is>
      </c>
      <c r="C470" t="inlineStr">
        <is>
          <t>//diggs:parameterName</t>
        </is>
      </c>
      <c r="D470" t="inlineStr">
        <is>
          <t>ancestor::diggs:characteristicProperty</t>
        </is>
      </c>
    </row>
    <row r="471">
      <c r="B471" t="inlineStr">
        <is>
          <t>mean_micro_deval_wet</t>
        </is>
      </c>
      <c r="C471" t="inlineStr">
        <is>
          <t>//diggs:parameterName</t>
        </is>
      </c>
      <c r="D471" t="inlineStr">
        <is>
          <t>ancestor::diggs:characteristicProperty</t>
        </is>
      </c>
    </row>
    <row r="472">
      <c r="B472" t="inlineStr">
        <is>
          <t>menard_modulus</t>
        </is>
      </c>
      <c r="C472" t="inlineStr">
        <is>
          <t>//diggs:parameterName</t>
        </is>
      </c>
      <c r="D472" t="inlineStr">
        <is>
          <t>ancestor::diggs:characteristicProperty</t>
        </is>
      </c>
    </row>
    <row r="473">
      <c r="B473" t="inlineStr">
        <is>
          <t>modulus_shear</t>
        </is>
      </c>
      <c r="C473" t="inlineStr">
        <is>
          <t>//diggs:parameterName</t>
        </is>
      </c>
      <c r="D473" t="inlineStr">
        <is>
          <t>ancestor::diggs:characteristicProperty</t>
        </is>
      </c>
    </row>
    <row r="474">
      <c r="B474" t="inlineStr">
        <is>
          <t>mud_balance_density</t>
        </is>
      </c>
      <c r="C474" t="inlineStr">
        <is>
          <t>//diggs:parameterName</t>
        </is>
      </c>
      <c r="D474" t="inlineStr">
        <is>
          <t>ancestor::diggs:characteristicProperty</t>
        </is>
      </c>
    </row>
    <row r="475">
      <c r="B475" t="inlineStr">
        <is>
          <t>n_value</t>
        </is>
      </c>
      <c r="C475" t="inlineStr">
        <is>
          <t>//diggs:parameterName</t>
        </is>
      </c>
      <c r="D475" t="inlineStr">
        <is>
          <t>ancestor::diggs:characteristicProperty</t>
        </is>
      </c>
    </row>
    <row r="476">
      <c r="B476" t="inlineStr">
        <is>
          <t>n1_60</t>
        </is>
      </c>
      <c r="C476" t="inlineStr">
        <is>
          <t>//diggs:parameterName</t>
        </is>
      </c>
      <c r="D476" t="inlineStr">
        <is>
          <t>ancestor::diggs:characteristicProperty</t>
        </is>
      </c>
    </row>
    <row r="477">
      <c r="B477" t="inlineStr">
        <is>
          <t>n60</t>
        </is>
      </c>
      <c r="C477" t="inlineStr">
        <is>
          <t>//diggs:parameterName</t>
        </is>
      </c>
      <c r="D477" t="inlineStr">
        <is>
          <t>ancestor::diggs:characteristicProperty</t>
        </is>
      </c>
    </row>
    <row r="478">
      <c r="B478" t="inlineStr">
        <is>
          <t>non_plastic</t>
        </is>
      </c>
      <c r="C478" t="inlineStr">
        <is>
          <t>//diggs:parameterName</t>
        </is>
      </c>
      <c r="D478" t="inlineStr">
        <is>
          <t>ancestor::diggs:characteristicProperty</t>
        </is>
      </c>
    </row>
    <row r="479">
      <c r="B479" t="inlineStr">
        <is>
          <t>ocr</t>
        </is>
      </c>
      <c r="C479" t="inlineStr">
        <is>
          <t>//diggs:parameterName</t>
        </is>
      </c>
      <c r="D479" t="inlineStr">
        <is>
          <t>ancestor::diggs:characteristicProperty</t>
        </is>
      </c>
    </row>
    <row r="480">
      <c r="B480" t="inlineStr">
        <is>
          <t>p_wave_velocity</t>
        </is>
      </c>
      <c r="C480" t="inlineStr">
        <is>
          <t>//diggs:parameterName</t>
        </is>
      </c>
      <c r="D480" t="inlineStr">
        <is>
          <t>ancestor::diggs:characteristicProperty</t>
        </is>
      </c>
    </row>
    <row r="481">
      <c r="B481" t="inlineStr">
        <is>
          <t>p0_reading</t>
        </is>
      </c>
      <c r="C481" t="inlineStr">
        <is>
          <t>//diggs:parameterName</t>
        </is>
      </c>
      <c r="D481" t="inlineStr">
        <is>
          <t>ancestor::diggs:characteristicProperty</t>
        </is>
      </c>
    </row>
    <row r="482">
      <c r="B482" t="inlineStr">
        <is>
          <t>p1_reading</t>
        </is>
      </c>
      <c r="C482" t="inlineStr">
        <is>
          <t>//diggs:parameterName</t>
        </is>
      </c>
      <c r="D482" t="inlineStr">
        <is>
          <t>ancestor::diggs:characteristicProperty</t>
        </is>
      </c>
    </row>
    <row r="483">
      <c r="B483" t="inlineStr">
        <is>
          <t>p2_reading</t>
        </is>
      </c>
      <c r="C483" t="inlineStr">
        <is>
          <t>//diggs:parameterName</t>
        </is>
      </c>
      <c r="D483" t="inlineStr">
        <is>
          <t>ancestor::diggs:characteristicProperty</t>
        </is>
      </c>
    </row>
    <row r="484">
      <c r="B484" t="inlineStr">
        <is>
          <t>pen_increment</t>
        </is>
      </c>
      <c r="C484" t="inlineStr">
        <is>
          <t>//diggs:parameterName</t>
        </is>
      </c>
      <c r="D484" t="inlineStr">
        <is>
          <t>ancestor::diggs:characteristicProperty</t>
        </is>
      </c>
    </row>
    <row r="485">
      <c r="B485" t="inlineStr">
        <is>
          <t>percent_cobbles</t>
        </is>
      </c>
      <c r="C485" t="inlineStr">
        <is>
          <t>//diggs:parameterName</t>
        </is>
      </c>
      <c r="D485" t="inlineStr">
        <is>
          <t>ancestor::diggs:characteristicProperty</t>
        </is>
      </c>
    </row>
    <row r="486">
      <c r="B486" t="inlineStr">
        <is>
          <t>percent_fines</t>
        </is>
      </c>
      <c r="C486" t="inlineStr">
        <is>
          <t>//diggs:parameterName</t>
        </is>
      </c>
      <c r="D486" t="inlineStr">
        <is>
          <t>ancestor::diggs:characteristicProperty</t>
        </is>
      </c>
    </row>
    <row r="487">
      <c r="B487" t="inlineStr">
        <is>
          <t>percent_gravel</t>
        </is>
      </c>
      <c r="C487" t="inlineStr">
        <is>
          <t>//diggs:parameterName</t>
        </is>
      </c>
      <c r="D487" t="inlineStr">
        <is>
          <t>ancestor::diggs:characteristicProperty</t>
        </is>
      </c>
    </row>
    <row r="488">
      <c r="B488" t="inlineStr">
        <is>
          <t>percent_sand</t>
        </is>
      </c>
      <c r="C488" t="inlineStr">
        <is>
          <t>//diggs:parameterName</t>
        </is>
      </c>
      <c r="D488" t="inlineStr">
        <is>
          <t>ancestor::diggs:characteristicProperty</t>
        </is>
      </c>
    </row>
    <row r="489">
      <c r="B489" t="inlineStr">
        <is>
          <t>percent_silt</t>
        </is>
      </c>
      <c r="C489" t="inlineStr">
        <is>
          <t>//diggs:parameterName</t>
        </is>
      </c>
      <c r="D489" t="inlineStr">
        <is>
          <t>ancestor::diggs:characteristicProperty</t>
        </is>
      </c>
    </row>
    <row r="490">
      <c r="B490" t="inlineStr">
        <is>
          <t>pH</t>
        </is>
      </c>
      <c r="C490" t="inlineStr">
        <is>
          <t>//diggs:parameterName</t>
        </is>
      </c>
      <c r="D490" t="inlineStr">
        <is>
          <t>ancestor::diggs:characteristicProperty</t>
        </is>
      </c>
    </row>
    <row r="491">
      <c r="B491" t="inlineStr">
        <is>
          <t>pid_result</t>
        </is>
      </c>
      <c r="C491" t="inlineStr">
        <is>
          <t>//diggs:parameterName</t>
        </is>
      </c>
      <c r="D491" t="inlineStr">
        <is>
          <t>ancestor::diggs:characteristicProperty</t>
        </is>
      </c>
    </row>
    <row r="492">
      <c r="B492" t="inlineStr">
        <is>
          <t>plastic_limit</t>
        </is>
      </c>
      <c r="C492" t="inlineStr">
        <is>
          <t>//diggs:parameterName</t>
        </is>
      </c>
      <c r="D492" t="inlineStr">
        <is>
          <t>ancestor::diggs:characteristicProperty</t>
        </is>
      </c>
    </row>
    <row r="493">
      <c r="B493" t="inlineStr">
        <is>
          <t>plasticity_index</t>
        </is>
      </c>
      <c r="C493" t="inlineStr">
        <is>
          <t>//diggs:parameterName</t>
        </is>
      </c>
      <c r="D493" t="inlineStr">
        <is>
          <t>ancestor::diggs:characteristicProperty</t>
        </is>
      </c>
    </row>
    <row r="494">
      <c r="B494" t="inlineStr">
        <is>
          <t>point_load_test_index</t>
        </is>
      </c>
      <c r="C494" t="inlineStr">
        <is>
          <t>//diggs:parameterName</t>
        </is>
      </c>
      <c r="D494" t="inlineStr">
        <is>
          <t>ancestor::diggs:characteristicProperty</t>
        </is>
      </c>
    </row>
    <row r="495">
      <c r="B495" t="inlineStr">
        <is>
          <t>pore_pressure_equil</t>
        </is>
      </c>
      <c r="C495" t="inlineStr">
        <is>
          <t>//diggs:parameterName</t>
        </is>
      </c>
      <c r="D495" t="inlineStr">
        <is>
          <t>ancestor::diggs:characteristicProperty</t>
        </is>
      </c>
    </row>
    <row r="496">
      <c r="B496" t="inlineStr">
        <is>
          <t>pore_pressure_est</t>
        </is>
      </c>
      <c r="C496" t="inlineStr">
        <is>
          <t>//diggs:parameterName</t>
        </is>
      </c>
      <c r="D496" t="inlineStr">
        <is>
          <t>ancestor::diggs:characteristicProperty</t>
        </is>
      </c>
    </row>
    <row r="497">
      <c r="B497" t="inlineStr">
        <is>
          <t>pore_pressure_u1</t>
        </is>
      </c>
      <c r="C497" t="inlineStr">
        <is>
          <t>//diggs:parameterName</t>
        </is>
      </c>
      <c r="D497" t="inlineStr">
        <is>
          <t>ancestor::diggs:characteristicProperty</t>
        </is>
      </c>
    </row>
    <row r="498">
      <c r="B498" t="inlineStr">
        <is>
          <t>pore_pressure_u2</t>
        </is>
      </c>
      <c r="C498" t="inlineStr">
        <is>
          <t>//diggs:parameterName</t>
        </is>
      </c>
      <c r="D498" t="inlineStr">
        <is>
          <t>ancestor::diggs:characteristicProperty</t>
        </is>
      </c>
    </row>
    <row r="499">
      <c r="B499" t="inlineStr">
        <is>
          <t>pore_pressure_u3</t>
        </is>
      </c>
      <c r="C499" t="inlineStr">
        <is>
          <t>//diggs:parameterName</t>
        </is>
      </c>
      <c r="D499" t="inlineStr">
        <is>
          <t>ancestor::diggs:characteristicProperty</t>
        </is>
      </c>
    </row>
    <row r="500">
      <c r="B500" t="inlineStr">
        <is>
          <t>preconsolidation_pressure</t>
        </is>
      </c>
      <c r="C500" t="inlineStr">
        <is>
          <t>//diggs:parameterName</t>
        </is>
      </c>
      <c r="D500" t="inlineStr">
        <is>
          <t>ancestor::diggs:characteristicProperty</t>
        </is>
      </c>
    </row>
    <row r="501">
      <c r="B501" t="inlineStr">
        <is>
          <t>pressure_filtration_coeff</t>
        </is>
      </c>
      <c r="C501" t="inlineStr">
        <is>
          <t>//diggs:parameterName</t>
        </is>
      </c>
      <c r="D501" t="inlineStr">
        <is>
          <t>ancestor::diggs:characteristicProperty</t>
        </is>
      </c>
    </row>
    <row r="502">
      <c r="B502" t="inlineStr">
        <is>
          <t>pumping_rate</t>
        </is>
      </c>
      <c r="C502" t="inlineStr">
        <is>
          <t>//diggs:parameterName</t>
        </is>
      </c>
      <c r="D502" t="inlineStr">
        <is>
          <t>ancestor::diggs:characteristicProperty</t>
        </is>
      </c>
    </row>
    <row r="503">
      <c r="B503" t="inlineStr">
        <is>
          <t>recompression_index</t>
        </is>
      </c>
      <c r="C503" t="inlineStr">
        <is>
          <t>//diggs:parameterName</t>
        </is>
      </c>
      <c r="D503" t="inlineStr">
        <is>
          <t>ancestor::diggs:characteristicProperty</t>
        </is>
      </c>
    </row>
    <row r="504">
      <c r="B504" t="inlineStr">
        <is>
          <t>redox_potential</t>
        </is>
      </c>
      <c r="C504" t="inlineStr">
        <is>
          <t>//diggs:parameterName</t>
        </is>
      </c>
      <c r="D504" t="inlineStr">
        <is>
          <t>ancestor::diggs:characteristicProperty</t>
        </is>
      </c>
    </row>
    <row r="505">
      <c r="B505" t="inlineStr">
        <is>
          <t>relative_density</t>
        </is>
      </c>
      <c r="C505" t="inlineStr">
        <is>
          <t>//diggs:parameterName</t>
        </is>
      </c>
      <c r="D505" t="inlineStr">
        <is>
          <t>ancestor::diggs:characteristicProperty</t>
        </is>
      </c>
    </row>
    <row r="506">
      <c r="B506" t="inlineStr">
        <is>
          <t>resistivity</t>
        </is>
      </c>
      <c r="C506" t="inlineStr">
        <is>
          <t>//diggs:parameterName</t>
        </is>
      </c>
      <c r="D506" t="inlineStr">
        <is>
          <t>ancestor::diggs:characteristicProperty</t>
        </is>
      </c>
    </row>
    <row r="507">
      <c r="B507" t="inlineStr">
        <is>
          <t>rock_porosity</t>
        </is>
      </c>
      <c r="C507" t="inlineStr">
        <is>
          <t>//diggs:parameterName</t>
        </is>
      </c>
      <c r="D507" t="inlineStr">
        <is>
          <t>ancestor::diggs:characteristicProperty</t>
        </is>
      </c>
    </row>
    <row r="508">
      <c r="B508" t="inlineStr">
        <is>
          <t>schmidt_hardness_value</t>
        </is>
      </c>
      <c r="C508" t="inlineStr">
        <is>
          <t>//diggs:parameterName</t>
        </is>
      </c>
      <c r="D508" t="inlineStr">
        <is>
          <t>ancestor::diggs:characteristicProperty</t>
        </is>
      </c>
    </row>
    <row r="509">
      <c r="B509" t="inlineStr">
        <is>
          <t>sensitivity</t>
        </is>
      </c>
      <c r="C509" t="inlineStr">
        <is>
          <t>//diggs:parameterName</t>
        </is>
      </c>
      <c r="D509" t="inlineStr">
        <is>
          <t>ancestor::diggs:characteristicProperty</t>
        </is>
      </c>
    </row>
    <row r="510">
      <c r="B510" t="inlineStr">
        <is>
          <t>set_time</t>
        </is>
      </c>
      <c r="C510" t="inlineStr">
        <is>
          <t>//diggs:parameterName</t>
        </is>
      </c>
      <c r="D510" t="inlineStr">
        <is>
          <t>ancestor::diggs:characteristicProperty</t>
        </is>
      </c>
    </row>
    <row r="511">
      <c r="B511" t="inlineStr">
        <is>
          <t>shear_strength_drained</t>
        </is>
      </c>
      <c r="C511" t="inlineStr">
        <is>
          <t>//diggs:parameterName</t>
        </is>
      </c>
      <c r="D511" t="inlineStr">
        <is>
          <t>ancestor::diggs:characteristicProperty</t>
        </is>
      </c>
    </row>
    <row r="512">
      <c r="B512" t="inlineStr">
        <is>
          <t>shear_strength_undrained</t>
        </is>
      </c>
      <c r="C512" t="inlineStr">
        <is>
          <t>//diggs:parameterName</t>
        </is>
      </c>
      <c r="D512" t="inlineStr">
        <is>
          <t>ancestor::diggs:characteristicProperty</t>
        </is>
      </c>
    </row>
    <row r="513">
      <c r="B513" t="inlineStr">
        <is>
          <t>shear_strength_undrained_residual</t>
        </is>
      </c>
      <c r="C513" t="inlineStr">
        <is>
          <t>//diggs:parameterName</t>
        </is>
      </c>
      <c r="D513" t="inlineStr">
        <is>
          <t>ancestor::diggs:characteristicProperty</t>
        </is>
      </c>
    </row>
    <row r="514">
      <c r="B514" t="inlineStr">
        <is>
          <t>shear_velocity</t>
        </is>
      </c>
      <c r="C514" t="inlineStr">
        <is>
          <t>//diggs:parameterName</t>
        </is>
      </c>
      <c r="D514" t="inlineStr">
        <is>
          <t>ancestor::diggs:characteristicProperty</t>
        </is>
      </c>
    </row>
    <row r="515">
      <c r="B515" t="inlineStr">
        <is>
          <t>shore_hardness_value</t>
        </is>
      </c>
      <c r="C515" t="inlineStr">
        <is>
          <t>//diggs:parameterName</t>
        </is>
      </c>
      <c r="D515" t="inlineStr">
        <is>
          <t>ancestor::diggs:characteristicProperty</t>
        </is>
      </c>
    </row>
    <row r="516">
      <c r="B516" t="inlineStr">
        <is>
          <t>shrinkage</t>
        </is>
      </c>
      <c r="C516" t="inlineStr">
        <is>
          <t>//diggs:parameterName</t>
        </is>
      </c>
      <c r="D516" t="inlineStr">
        <is>
          <t>ancestor::diggs:characteristicProperty</t>
        </is>
      </c>
    </row>
    <row r="517">
      <c r="B517" t="inlineStr">
        <is>
          <t>shrinkage_limit</t>
        </is>
      </c>
      <c r="C517" t="inlineStr">
        <is>
          <t>//diggs:parameterName</t>
        </is>
      </c>
      <c r="D517" t="inlineStr">
        <is>
          <t>ancestor::diggs:characteristicProperty</t>
        </is>
      </c>
    </row>
    <row r="518">
      <c r="B518" t="inlineStr">
        <is>
          <t>shrinkage_ratio</t>
        </is>
      </c>
      <c r="C518" t="inlineStr">
        <is>
          <t>//diggs:parameterName</t>
        </is>
      </c>
      <c r="D518" t="inlineStr">
        <is>
          <t>ancestor::diggs:characteristicProperty</t>
        </is>
      </c>
    </row>
    <row r="519">
      <c r="B519" t="inlineStr">
        <is>
          <t>slake_durability_index</t>
        </is>
      </c>
      <c r="C519" t="inlineStr">
        <is>
          <t>//diggs:parameterName</t>
        </is>
      </c>
      <c r="D519" t="inlineStr">
        <is>
          <t>ancestor::diggs:characteristicProperty</t>
        </is>
      </c>
    </row>
    <row r="520">
      <c r="B520" t="inlineStr">
        <is>
          <t>sleeve_friction</t>
        </is>
      </c>
      <c r="C520" t="inlineStr">
        <is>
          <t>//diggs:parameterName</t>
        </is>
      </c>
      <c r="D520" t="inlineStr">
        <is>
          <t>ancestor::diggs:characteristicProperty</t>
        </is>
      </c>
    </row>
    <row r="521">
      <c r="B521" t="inlineStr">
        <is>
          <t>slump</t>
        </is>
      </c>
      <c r="C521" t="inlineStr">
        <is>
          <t>//diggs:parameterName</t>
        </is>
      </c>
      <c r="D521" t="inlineStr">
        <is>
          <t>ancestor::diggs:characteristicProperty</t>
        </is>
      </c>
    </row>
    <row r="522">
      <c r="B522" t="inlineStr">
        <is>
          <t>soil_moisture_content</t>
        </is>
      </c>
      <c r="C522" t="inlineStr">
        <is>
          <t>//diggs:parameterName</t>
        </is>
      </c>
      <c r="D522" t="inlineStr">
        <is>
          <t>ancestor::diggs:characteristicProperty</t>
        </is>
      </c>
    </row>
    <row r="523">
      <c r="B523" t="inlineStr">
        <is>
          <t>soil_suction</t>
        </is>
      </c>
      <c r="C523" t="inlineStr">
        <is>
          <t>//diggs:parameterName</t>
        </is>
      </c>
      <c r="D523" t="inlineStr">
        <is>
          <t>ancestor::diggs:characteristicProperty</t>
        </is>
      </c>
    </row>
    <row r="524">
      <c r="B524" t="inlineStr">
        <is>
          <t>soil_type</t>
        </is>
      </c>
      <c r="C524" t="inlineStr">
        <is>
          <t>//diggs:parameterName</t>
        </is>
      </c>
      <c r="D524" t="inlineStr">
        <is>
          <t>ancestor::diggs:characteristicProperty</t>
        </is>
      </c>
    </row>
    <row r="525">
      <c r="B525" t="inlineStr">
        <is>
          <t>specific_gravity_apparent</t>
        </is>
      </c>
      <c r="C525" t="inlineStr">
        <is>
          <t>//diggs:parameterName</t>
        </is>
      </c>
      <c r="D525" t="inlineStr">
        <is>
          <t>ancestor::diggs:characteristicProperty</t>
        </is>
      </c>
    </row>
    <row r="526">
      <c r="B526" t="inlineStr">
        <is>
          <t>specific_gravity_bulk</t>
        </is>
      </c>
      <c r="C526" t="inlineStr">
        <is>
          <t>//diggs:parameterName</t>
        </is>
      </c>
      <c r="D526" t="inlineStr">
        <is>
          <t>ancestor::diggs:characteristicProperty</t>
        </is>
      </c>
    </row>
    <row r="527">
      <c r="B527" t="inlineStr">
        <is>
          <t>specific_gravity_solids</t>
        </is>
      </c>
      <c r="C527" t="inlineStr">
        <is>
          <t>//diggs:parameterName</t>
        </is>
      </c>
      <c r="D527" t="inlineStr">
        <is>
          <t>ancestor::diggs:characteristicProperty</t>
        </is>
      </c>
    </row>
    <row r="528">
      <c r="B528" t="inlineStr">
        <is>
          <t>sulfate_content</t>
        </is>
      </c>
      <c r="C528" t="inlineStr">
        <is>
          <t>//diggs:parameterName</t>
        </is>
      </c>
      <c r="D528" t="inlineStr">
        <is>
          <t>ancestor::diggs:characteristicProperty</t>
        </is>
      </c>
    </row>
    <row r="529">
      <c r="B529" t="inlineStr">
        <is>
          <t>syneresis</t>
        </is>
      </c>
      <c r="C529" t="inlineStr">
        <is>
          <t>//diggs:parameterName</t>
        </is>
      </c>
      <c r="D529" t="inlineStr">
        <is>
          <t>ancestor::diggs:characteristicProperty</t>
        </is>
      </c>
    </row>
    <row r="530">
      <c r="B530" t="inlineStr">
        <is>
          <t>syneresis_surface_area_normalized</t>
        </is>
      </c>
      <c r="C530" t="inlineStr">
        <is>
          <t>//diggs:parameterName</t>
        </is>
      </c>
      <c r="D530" t="inlineStr">
        <is>
          <t>ancestor::diggs:characteristicProperty</t>
        </is>
      </c>
    </row>
    <row r="531">
      <c r="B531" t="inlineStr">
        <is>
          <t>t50</t>
        </is>
      </c>
      <c r="C531" t="inlineStr">
        <is>
          <t>//diggs:parameterName</t>
        </is>
      </c>
      <c r="D531" t="inlineStr">
        <is>
          <t>ancestor::diggs:characteristicProperty</t>
        </is>
      </c>
    </row>
    <row r="532">
      <c r="B532" t="inlineStr">
        <is>
          <t>temperature</t>
        </is>
      </c>
      <c r="C532" t="inlineStr">
        <is>
          <t>//diggs:parameterName</t>
        </is>
      </c>
      <c r="D532" t="inlineStr">
        <is>
          <t>ancestor::diggs:characteristicProperty</t>
        </is>
      </c>
    </row>
    <row r="533">
      <c r="B533" t="inlineStr">
        <is>
          <t>ten_percent_fines_value</t>
        </is>
      </c>
      <c r="C533" t="inlineStr">
        <is>
          <t>//diggs:parameterName</t>
        </is>
      </c>
      <c r="D533" t="inlineStr">
        <is>
          <t>ancestor::diggs:characteristicProperty</t>
        </is>
      </c>
    </row>
    <row r="534">
      <c r="B534" t="inlineStr">
        <is>
          <t>tensile_strength</t>
        </is>
      </c>
      <c r="C534" t="inlineStr">
        <is>
          <t>//diggs:parameterName</t>
        </is>
      </c>
      <c r="D534" t="inlineStr">
        <is>
          <t>ancestor::diggs:characteristicProperty</t>
        </is>
      </c>
    </row>
    <row r="535">
      <c r="B535" t="inlineStr">
        <is>
          <t>thrust</t>
        </is>
      </c>
      <c r="C535" t="inlineStr">
        <is>
          <t>//diggs:parameterName</t>
        </is>
      </c>
      <c r="D535" t="inlineStr">
        <is>
          <t>ancestor::diggs:characteristicProperty</t>
        </is>
      </c>
    </row>
    <row r="536">
      <c r="B536" t="inlineStr">
        <is>
          <t>time</t>
        </is>
      </c>
      <c r="C536" t="inlineStr">
        <is>
          <t>//diggs:parameterName</t>
        </is>
      </c>
      <c r="D536" t="inlineStr">
        <is>
          <t>ancestor::diggs:characteristicProperty</t>
        </is>
      </c>
    </row>
    <row r="537">
      <c r="B537" t="inlineStr">
        <is>
          <t>tip_resistance</t>
        </is>
      </c>
      <c r="C537" t="inlineStr">
        <is>
          <t>//diggs:parameterName</t>
        </is>
      </c>
      <c r="D537" t="inlineStr">
        <is>
          <t>ancestor::diggs:characteristicProperty</t>
        </is>
      </c>
    </row>
    <row r="538">
      <c r="B538" t="inlineStr">
        <is>
          <t>tip_resistance_corrected</t>
        </is>
      </c>
      <c r="C538" t="inlineStr">
        <is>
          <t>//diggs:parameterName</t>
        </is>
      </c>
      <c r="D538" t="inlineStr">
        <is>
          <t>ancestor::diggs:characteristicProperty</t>
        </is>
      </c>
    </row>
    <row r="539">
      <c r="B539" t="inlineStr">
        <is>
          <t>torque</t>
        </is>
      </c>
      <c r="C539" t="inlineStr">
        <is>
          <t>//diggs:parameterName</t>
        </is>
      </c>
      <c r="D539" t="inlineStr">
        <is>
          <t>ancestor::diggs:characteristicProperty</t>
        </is>
      </c>
    </row>
    <row r="540">
      <c r="B540" t="inlineStr">
        <is>
          <t>transducer_pressure</t>
        </is>
      </c>
      <c r="C540" t="inlineStr">
        <is>
          <t>//diggs:parameterName</t>
        </is>
      </c>
      <c r="D540" t="inlineStr">
        <is>
          <t>ancestor::diggs:characteristicProperty</t>
        </is>
      </c>
    </row>
    <row r="541">
      <c r="B541" t="inlineStr">
        <is>
          <t>u50</t>
        </is>
      </c>
      <c r="C541" t="inlineStr">
        <is>
          <t>//diggs:parameterName</t>
        </is>
      </c>
      <c r="D541" t="inlineStr">
        <is>
          <t>ancestor::diggs:characteristicProperty</t>
        </is>
      </c>
    </row>
    <row r="542">
      <c r="B542" t="inlineStr">
        <is>
          <t>uscs_group_name</t>
        </is>
      </c>
      <c r="C542" t="inlineStr">
        <is>
          <t>//diggs:parameterName</t>
        </is>
      </c>
      <c r="D542" t="inlineStr">
        <is>
          <t>ancestor::diggs:characteristicProperty</t>
        </is>
      </c>
    </row>
    <row r="543">
      <c r="B543" t="inlineStr">
        <is>
          <t>uscs_symbol</t>
        </is>
      </c>
      <c r="C543" t="inlineStr">
        <is>
          <t>//diggs:parameterName</t>
        </is>
      </c>
      <c r="D543" t="inlineStr">
        <is>
          <t>ancestor::diggs:characteristicProperty</t>
        </is>
      </c>
    </row>
    <row r="544">
      <c r="B544" t="inlineStr">
        <is>
          <t>uscs_symbol_425</t>
        </is>
      </c>
      <c r="C544" t="inlineStr">
        <is>
          <t>//diggs:parameterName</t>
        </is>
      </c>
      <c r="D544" t="inlineStr">
        <is>
          <t>ancestor::diggs:characteristicProperty</t>
        </is>
      </c>
    </row>
    <row r="545">
      <c r="B545" t="inlineStr">
        <is>
          <t>vertical_stress_total</t>
        </is>
      </c>
      <c r="C545" t="inlineStr">
        <is>
          <t>//diggs:parameterName</t>
        </is>
      </c>
      <c r="D545" t="inlineStr">
        <is>
          <t>ancestor::diggs:characteristicProperty</t>
        </is>
      </c>
    </row>
    <row r="546">
      <c r="B546" t="inlineStr">
        <is>
          <t>volume</t>
        </is>
      </c>
      <c r="C546" t="inlineStr">
        <is>
          <t>//diggs:parameterName</t>
        </is>
      </c>
      <c r="D546" t="inlineStr">
        <is>
          <t>ancestor::diggs:characteristicProperty</t>
        </is>
      </c>
    </row>
    <row r="547">
      <c r="B547" t="inlineStr">
        <is>
          <t>volume_loss</t>
        </is>
      </c>
      <c r="C547" t="inlineStr">
        <is>
          <t>//diggs:parameterName</t>
        </is>
      </c>
      <c r="D547" t="inlineStr">
        <is>
          <t>ancestor::diggs:characteristicProperty</t>
        </is>
      </c>
    </row>
    <row r="548">
      <c r="B548" t="inlineStr">
        <is>
          <t>volumetric_shrinkage</t>
        </is>
      </c>
      <c r="C548" t="inlineStr">
        <is>
          <t>//diggs:parameterName</t>
        </is>
      </c>
      <c r="D548" t="inlineStr">
        <is>
          <t>ancestor::diggs:characteristicProperty</t>
        </is>
      </c>
    </row>
    <row r="549">
      <c r="B549" t="inlineStr">
        <is>
          <t>washout_result</t>
        </is>
      </c>
      <c r="C549" t="inlineStr">
        <is>
          <t>//diggs:parameterName</t>
        </is>
      </c>
      <c r="D549" t="inlineStr">
        <is>
          <t>ancestor::diggs:characteristicProperty</t>
        </is>
      </c>
    </row>
    <row r="550">
      <c r="B550" t="inlineStr">
        <is>
          <t>water_content_natural</t>
        </is>
      </c>
      <c r="C550" t="inlineStr">
        <is>
          <t>//diggs:parameterName</t>
        </is>
      </c>
      <c r="D550" t="inlineStr">
        <is>
          <t>ancestor::diggs:characteristicProperty</t>
        </is>
      </c>
    </row>
    <row r="551">
      <c r="B551" t="inlineStr">
        <is>
          <t>water_content_optimum</t>
        </is>
      </c>
      <c r="C551" t="inlineStr">
        <is>
          <t>//diggs:parameterName</t>
        </is>
      </c>
      <c r="D551" t="inlineStr">
        <is>
          <t>ancestor::diggs:characteristicProperty</t>
        </is>
      </c>
    </row>
    <row r="552">
      <c r="B552" t="inlineStr">
        <is>
          <t>water_depth</t>
        </is>
      </c>
      <c r="C552" t="inlineStr">
        <is>
          <t>//diggs:parameterName</t>
        </is>
      </c>
      <c r="D552" t="inlineStr">
        <is>
          <t>ancestor::diggs:characteristicProperty</t>
        </is>
      </c>
    </row>
    <row r="553">
      <c r="B553" t="inlineStr">
        <is>
          <t>water_elev</t>
        </is>
      </c>
      <c r="C553" t="inlineStr">
        <is>
          <t>//diggs:parameterName</t>
        </is>
      </c>
      <c r="D553" t="inlineStr">
        <is>
          <t>ancestor::diggs:characteristicProperty</t>
        </is>
      </c>
    </row>
    <row r="554">
      <c r="B554" t="inlineStr">
        <is>
          <t>easily_oxidized_carbon</t>
        </is>
      </c>
      <c r="C554" t="inlineStr">
        <is>
          <t>//diggs:parameterName</t>
        </is>
      </c>
      <c r="D554" t="inlineStr">
        <is>
          <t>ancestor::diggs:characteristicProperty</t>
        </is>
      </c>
    </row>
    <row r="555">
      <c r="B555" t="inlineStr">
        <is>
          <t>total_carbon</t>
        </is>
      </c>
      <c r="C555" t="inlineStr">
        <is>
          <t>//diggs:parameterName</t>
        </is>
      </c>
      <c r="D555" t="inlineStr">
        <is>
          <t>ancestor::diggs:characteristicProperty</t>
        </is>
      </c>
    </row>
    <row r="556">
      <c r="B556" t="inlineStr">
        <is>
          <t>easily_oxidized_matter</t>
        </is>
      </c>
      <c r="C556" t="inlineStr">
        <is>
          <t>//diggs:parameterName</t>
        </is>
      </c>
      <c r="D556" t="inlineStr">
        <is>
          <t>ancestor::diggs:characteristicProperty</t>
        </is>
      </c>
    </row>
    <row r="557">
      <c r="B557" t="inlineStr">
        <is>
          <t>total_organic_matter</t>
        </is>
      </c>
      <c r="C557" t="inlineStr">
        <is>
          <t>//diggs:parameterName</t>
        </is>
      </c>
      <c r="D557" t="inlineStr">
        <is>
          <t>ancestor::diggs:characteristicProperty</t>
        </is>
      </c>
    </row>
    <row r="558">
      <c r="B558" t="inlineStr">
        <is>
          <t>free_swell_value</t>
        </is>
      </c>
      <c r="C558" t="inlineStr">
        <is>
          <t>//diggs:parameterName</t>
        </is>
      </c>
      <c r="D558" t="inlineStr">
        <is>
          <t>ancestor::diggs:characteristicProperty</t>
        </is>
      </c>
    </row>
    <row r="559">
      <c r="B559" t="inlineStr">
        <is>
          <t>swell_pressure</t>
        </is>
      </c>
      <c r="C559" t="inlineStr">
        <is>
          <t>//diggs:parameterName</t>
        </is>
      </c>
      <c r="D559" t="inlineStr">
        <is>
          <t>ancestor::diggs:characteristicProperty</t>
        </is>
      </c>
    </row>
    <row r="560">
      <c r="B560" t="inlineStr">
        <is>
          <t>d_value</t>
        </is>
      </c>
      <c r="C560" t="inlineStr">
        <is>
          <t>//diggs:parameterName</t>
        </is>
      </c>
      <c r="D560" t="inlineStr">
        <is>
          <t>ancestor::diggs:characteristicProperty</t>
        </is>
      </c>
    </row>
    <row r="561">
      <c r="B561" t="inlineStr">
        <is>
          <t>c_value</t>
        </is>
      </c>
      <c r="C561" t="inlineStr">
        <is>
          <t>//diggs:parameterName</t>
        </is>
      </c>
      <c r="D561" t="inlineStr">
        <is>
          <t>ancestor::diggs:characteristicProperty</t>
        </is>
      </c>
    </row>
    <row r="562">
      <c r="B562" t="inlineStr">
        <is>
          <t>water_content_difference</t>
        </is>
      </c>
      <c r="C562" t="inlineStr">
        <is>
          <t>//diggs:parameterName</t>
        </is>
      </c>
      <c r="D562" t="inlineStr">
        <is>
          <t>ancestor::diggs:characteristicProperty</t>
        </is>
      </c>
    </row>
    <row r="563">
      <c r="B563" t="inlineStr">
        <is>
          <t>d84</t>
        </is>
      </c>
      <c r="C563" t="inlineStr">
        <is>
          <t>//diggs:parameterName</t>
        </is>
      </c>
      <c r="D563" t="inlineStr">
        <is>
          <t>ancestor::diggs:characteristicProperty</t>
        </is>
      </c>
    </row>
    <row r="564">
      <c r="B564" t="inlineStr">
        <is>
          <t>d90</t>
        </is>
      </c>
      <c r="C564" t="inlineStr">
        <is>
          <t>//diggs:parameterName</t>
        </is>
      </c>
      <c r="D564" t="inlineStr">
        <is>
          <t>ancestor::diggs:characteristicProperty</t>
        </is>
      </c>
    </row>
    <row r="565">
      <c r="B565" t="inlineStr">
        <is>
          <t>percent_coarse_gravel</t>
        </is>
      </c>
      <c r="C565" t="inlineStr">
        <is>
          <t>//diggs:parameterName</t>
        </is>
      </c>
      <c r="D565" t="inlineStr">
        <is>
          <t>ancestor::diggs:characteristicProperty</t>
        </is>
      </c>
    </row>
    <row r="566">
      <c r="B566" t="inlineStr">
        <is>
          <t>percent_fine_gravel</t>
        </is>
      </c>
      <c r="C566" t="inlineStr">
        <is>
          <t>//diggs:parameterName</t>
        </is>
      </c>
      <c r="D566" t="inlineStr">
        <is>
          <t>ancestor::diggs:characteristicProperty</t>
        </is>
      </c>
    </row>
    <row r="567">
      <c r="B567" t="inlineStr">
        <is>
          <t>percent_coarse_sand</t>
        </is>
      </c>
      <c r="C567" t="inlineStr">
        <is>
          <t>//diggs:parameterName</t>
        </is>
      </c>
      <c r="D567" t="inlineStr">
        <is>
          <t>ancestor::diggs:characteristicProperty</t>
        </is>
      </c>
    </row>
    <row r="568">
      <c r="B568" t="inlineStr">
        <is>
          <t>percent_medium_sand</t>
        </is>
      </c>
      <c r="C568" t="inlineStr">
        <is>
          <t>//diggs:parameterName</t>
        </is>
      </c>
      <c r="D568" t="inlineStr">
        <is>
          <t>ancestor::diggs:characteristicProperty</t>
        </is>
      </c>
    </row>
    <row r="569">
      <c r="B569" t="inlineStr">
        <is>
          <t>percent_fine_sand</t>
        </is>
      </c>
      <c r="C569" t="inlineStr">
        <is>
          <t>//diggs:parameterName</t>
        </is>
      </c>
      <c r="D569" t="inlineStr">
        <is>
          <t>ancestor::diggs:characteristicProperty</t>
        </is>
      </c>
    </row>
    <row r="570">
      <c r="B570" t="inlineStr">
        <is>
          <t>aashto_percent_gravel</t>
        </is>
      </c>
      <c r="C570" t="inlineStr">
        <is>
          <t>//diggs:parameterName</t>
        </is>
      </c>
      <c r="D570" t="inlineStr">
        <is>
          <t>ancestor::diggs:characteristicProperty</t>
        </is>
      </c>
    </row>
    <row r="571">
      <c r="B571" t="inlineStr">
        <is>
          <t>aashto_percent_coarse_sand</t>
        </is>
      </c>
      <c r="C571" t="inlineStr">
        <is>
          <t>//diggs:parameterName</t>
        </is>
      </c>
      <c r="D571" t="inlineStr">
        <is>
          <t>ancestor::diggs:characteristicProperty</t>
        </is>
      </c>
    </row>
    <row r="572">
      <c r="B572" t="inlineStr">
        <is>
          <t>aashto_percent_fine_sand</t>
        </is>
      </c>
      <c r="C572" t="inlineStr">
        <is>
          <t>//diggs:parameterName</t>
        </is>
      </c>
      <c r="D572" t="inlineStr">
        <is>
          <t>ancestor::diggs:characteristicProperty</t>
        </is>
      </c>
    </row>
    <row r="573">
      <c r="B573" t="inlineStr">
        <is>
          <t>settlement</t>
        </is>
      </c>
      <c r="C573" t="inlineStr">
        <is>
          <t>//diggs:parameterName</t>
        </is>
      </c>
      <c r="D573" t="inlineStr">
        <is>
          <t>ancestor::diggs:characteristicProperty</t>
        </is>
      </c>
    </row>
    <row r="574">
      <c r="B574" t="inlineStr">
        <is>
          <t>differential_settlement</t>
        </is>
      </c>
      <c r="C574" t="inlineStr">
        <is>
          <t>//diggs:parameterName</t>
        </is>
      </c>
      <c r="D574" t="inlineStr">
        <is>
          <t>ancestor::diggs:characteristicProperty</t>
        </is>
      </c>
    </row>
    <row r="575">
      <c r="B575" t="inlineStr">
        <is>
          <t>settlement_reduction_ratio</t>
        </is>
      </c>
      <c r="C575" t="inlineStr">
        <is>
          <t>//diggs:parameterName</t>
        </is>
      </c>
      <c r="D575" t="inlineStr">
        <is>
          <t>ancestor::diggs:characteristicProperty</t>
        </is>
      </c>
    </row>
    <row r="576">
      <c r="B576" t="inlineStr">
        <is>
          <t>pore_pressure</t>
        </is>
      </c>
      <c r="C576" t="inlineStr">
        <is>
          <t>//diggs:parameterName</t>
        </is>
      </c>
      <c r="D576" t="inlineStr">
        <is>
          <t>ancestor::diggs:characteristicProperty</t>
        </is>
      </c>
    </row>
    <row r="577">
      <c r="B577" t="inlineStr">
        <is>
          <t>reinforcement_load_fraction</t>
        </is>
      </c>
      <c r="C577" t="inlineStr">
        <is>
          <t>//diggs:parameterName</t>
        </is>
      </c>
      <c r="D577" t="inlineStr">
        <is>
          <t>ancestor::diggs:characteristicProperty</t>
        </is>
      </c>
    </row>
    <row r="578">
      <c r="B578" t="inlineStr">
        <is>
          <t>critical_creep_load</t>
        </is>
      </c>
      <c r="C578" t="inlineStr">
        <is>
          <t>//diggs:parameterName</t>
        </is>
      </c>
      <c r="D578" t="inlineStr">
        <is>
          <t>ancestor::diggs:characteristicProperty</t>
        </is>
      </c>
    </row>
    <row r="579">
      <c r="B579" t="inlineStr">
        <is>
          <t>modulus_of_subgrade_reaction</t>
        </is>
      </c>
      <c r="C579" t="inlineStr">
        <is>
          <t>//diggs:parameterName</t>
        </is>
      </c>
      <c r="D579" t="inlineStr">
        <is>
          <t>ancestor::diggs:characteristicProperty</t>
        </is>
      </c>
    </row>
    <row r="580">
      <c r="B580" t="inlineStr">
        <is>
          <t>deformation_modulus_first_load</t>
        </is>
      </c>
      <c r="C580" t="inlineStr">
        <is>
          <t>//diggs:parameterName</t>
        </is>
      </c>
      <c r="D580" t="inlineStr">
        <is>
          <t>ancestor::diggs:characteristicProperty</t>
        </is>
      </c>
    </row>
    <row r="581">
      <c r="B581" t="inlineStr">
        <is>
          <t>deformation_modulus_second_load</t>
        </is>
      </c>
      <c r="C581" t="inlineStr">
        <is>
          <t>//diggs:parameterName</t>
        </is>
      </c>
      <c r="D581" t="inlineStr">
        <is>
          <t>ancestor::diggs:characteristicProperty</t>
        </is>
      </c>
    </row>
    <row r="582">
      <c r="B582" t="inlineStr">
        <is>
          <t>defect_depth</t>
        </is>
      </c>
      <c r="C582" t="inlineStr">
        <is>
          <t>//diggs:parameterName</t>
        </is>
      </c>
      <c r="D582" t="inlineStr">
        <is>
          <t>ancestor::diggs:characteristicProperty</t>
        </is>
      </c>
    </row>
    <row r="583">
      <c r="B583" t="inlineStr">
        <is>
          <t>effective_radius</t>
        </is>
      </c>
      <c r="C583" t="inlineStr">
        <is>
          <t>//diggs:parameterName</t>
        </is>
      </c>
      <c r="D583" t="inlineStr">
        <is>
          <t>ancestor::diggs:characteristicProperty</t>
        </is>
      </c>
    </row>
    <row r="584">
      <c r="B584" t="inlineStr">
        <is>
          <t>lateral_deflection</t>
        </is>
      </c>
      <c r="C584" t="inlineStr">
        <is>
          <t>//diggs:parameterName</t>
        </is>
      </c>
      <c r="D584" t="inlineStr">
        <is>
          <t>ancestor::diggs:characteristicProperty</t>
        </is>
      </c>
    </row>
    <row r="585">
      <c r="B585" t="inlineStr">
        <is>
          <t>magnesium_content</t>
        </is>
      </c>
      <c r="C585" t="inlineStr">
        <is>
          <t>//diggs:parameterName</t>
        </is>
      </c>
      <c r="D585" t="inlineStr">
        <is>
          <t>ancestor::diggs:characteristicProperty</t>
        </is>
      </c>
    </row>
    <row r="586">
      <c r="B586" t="inlineStr">
        <is>
          <t>cbr</t>
        </is>
      </c>
      <c r="C586" t="inlineStr">
        <is>
          <t>//diggs:parameterName</t>
        </is>
      </c>
      <c r="D586" t="inlineStr">
        <is>
          <t>ancestor::diggs:characteristicProperty</t>
        </is>
      </c>
    </row>
    <row r="587">
      <c r="B587" t="inlineStr">
        <is>
          <t>cbr_at_95_pct_mdd</t>
        </is>
      </c>
      <c r="C587" t="inlineStr">
        <is>
          <t>//diggs:parameterName</t>
        </is>
      </c>
      <c r="D587" t="inlineStr">
        <is>
          <t>ancestor::diggs:characteristicProperty</t>
        </is>
      </c>
    </row>
    <row r="588">
      <c r="B588" t="inlineStr">
        <is>
          <t>cbr_at_90_pct_mdd</t>
        </is>
      </c>
      <c r="C588" t="inlineStr">
        <is>
          <t>//diggs:parameterName</t>
        </is>
      </c>
      <c r="D588" t="inlineStr">
        <is>
          <t>ancestor::diggs:characteristicProperty</t>
        </is>
      </c>
    </row>
    <row r="589">
      <c r="B589" t="inlineStr">
        <is>
          <t>cbr_at_98_100_pct_mdd</t>
        </is>
      </c>
      <c r="C589" t="inlineStr">
        <is>
          <t>//diggs:parameterName</t>
        </is>
      </c>
      <c r="D589" t="inlineStr">
        <is>
          <t>ancestor::diggs:characteristicProperty</t>
        </is>
      </c>
    </row>
    <row r="590">
      <c r="B590" t="inlineStr">
        <is>
          <t>cbr_as_compacted</t>
        </is>
      </c>
      <c r="C590" t="inlineStr">
        <is>
          <t>//diggs:parameterName</t>
        </is>
      </c>
      <c r="D590" t="inlineStr">
        <is>
          <t>ancestor::diggs:characteristicProperty</t>
        </is>
      </c>
    </row>
    <row r="591">
      <c r="B591" t="inlineStr">
        <is>
          <t>apparent_resistivity_min</t>
        </is>
      </c>
      <c r="C591" t="inlineStr">
        <is>
          <t>//diggs:parameterName</t>
        </is>
      </c>
      <c r="D591" t="inlineStr">
        <is>
          <t>ancestor::diggs:characteristicProperty</t>
        </is>
      </c>
    </row>
    <row r="592">
      <c r="B592" t="inlineStr">
        <is>
          <t>apparent_resistivity_max</t>
        </is>
      </c>
      <c r="C592" t="inlineStr">
        <is>
          <t>//diggs:parameterName</t>
        </is>
      </c>
      <c r="D592" t="inlineStr">
        <is>
          <t>ancestor::diggs:characteristicProperty</t>
        </is>
      </c>
    </row>
    <row r="593">
      <c r="B593" t="inlineStr">
        <is>
          <t>corrosivity_classification_palmer</t>
        </is>
      </c>
      <c r="C593" t="inlineStr">
        <is>
          <t>//diggs:parameterName</t>
        </is>
      </c>
      <c r="D593" t="inlineStr">
        <is>
          <t>ancestor::diggs:characteristicProperty</t>
        </is>
      </c>
    </row>
    <row r="594">
      <c r="B594" t="inlineStr">
        <is>
          <t>thermal_conductivity</t>
        </is>
      </c>
      <c r="C594" t="inlineStr">
        <is>
          <t>//diggs:parameterName</t>
        </is>
      </c>
      <c r="D594" t="inlineStr">
        <is>
          <t>ancestor::diggs:characteristicProperty</t>
        </is>
      </c>
    </row>
    <row r="595">
      <c r="B595" t="inlineStr">
        <is>
          <t>thermal_resistivity</t>
        </is>
      </c>
      <c r="C595" t="inlineStr">
        <is>
          <t>//diggs:parameterName</t>
        </is>
      </c>
      <c r="D595" t="inlineStr">
        <is>
          <t>ancestor::diggs:characteristicProperty</t>
        </is>
      </c>
    </row>
    <row r="596">
      <c r="B596" t="inlineStr">
        <is>
          <t>sulfate_water_soluble</t>
        </is>
      </c>
      <c r="C596" t="inlineStr">
        <is>
          <t>//diggs:parameterName</t>
        </is>
      </c>
      <c r="D596" t="inlineStr">
        <is>
          <t>ancestor::diggs:characteristicProperty</t>
        </is>
      </c>
    </row>
    <row r="597">
      <c r="B597" t="inlineStr">
        <is>
          <t>sulfate_acid_soluble</t>
        </is>
      </c>
      <c r="C597" t="inlineStr">
        <is>
          <t>//diggs:parameterName</t>
        </is>
      </c>
      <c r="D597" t="inlineStr">
        <is>
          <t>ancestor::diggs:characteristicProperty</t>
        </is>
      </c>
    </row>
    <row r="598">
      <c r="B598" t="inlineStr">
        <is>
          <t>chloride_water_soluble</t>
        </is>
      </c>
      <c r="C598" t="inlineStr">
        <is>
          <t>//diggs:parameterName</t>
        </is>
      </c>
      <c r="D598" t="inlineStr">
        <is>
          <t>ancestor::diggs:characteristicProperty</t>
        </is>
      </c>
    </row>
    <row r="599">
      <c r="B599" t="inlineStr">
        <is>
          <t>chloride_acid_soluble</t>
        </is>
      </c>
      <c r="C599" t="inlineStr">
        <is>
          <t>//diggs:parameterName</t>
        </is>
      </c>
      <c r="D599" t="inlineStr">
        <is>
          <t>ancestor::diggs:characteristicProperty</t>
        </is>
      </c>
    </row>
    <row r="600">
      <c r="B600" t="inlineStr">
        <is>
          <t>magnesium_water_soluble</t>
        </is>
      </c>
      <c r="C600" t="inlineStr">
        <is>
          <t>//diggs:parameterName</t>
        </is>
      </c>
      <c r="D600" t="inlineStr">
        <is>
          <t>ancestor::diggs:characteristicProperty</t>
        </is>
      </c>
    </row>
    <row r="601">
      <c r="B601" t="inlineStr">
        <is>
          <t>total_organic_carbon</t>
        </is>
      </c>
      <c r="C601" t="inlineStr">
        <is>
          <t>//diggs:parameterName</t>
        </is>
      </c>
      <c r="D601" t="inlineStr">
        <is>
          <t>ancestor::diggs:characteristicProperty</t>
        </is>
      </c>
    </row>
    <row r="602">
      <c r="B602" t="inlineStr">
        <is>
          <t>carbonate_content</t>
        </is>
      </c>
      <c r="C602" t="inlineStr">
        <is>
          <t>//diggs:parameterName</t>
        </is>
      </c>
      <c r="D602" t="inlineStr">
        <is>
          <t>ancestor::diggs:characteristicProperty</t>
        </is>
      </c>
    </row>
    <row r="603">
      <c r="B603" t="inlineStr">
        <is>
          <t>total_sulfur</t>
        </is>
      </c>
      <c r="C603" t="inlineStr">
        <is>
          <t>//diggs:parameterName</t>
        </is>
      </c>
      <c r="D603" t="inlineStr">
        <is>
          <t>ancestor::diggs:characteristicProperty</t>
        </is>
      </c>
    </row>
    <row r="604">
      <c r="B604" t="inlineStr">
        <is>
          <t>total_sulfide</t>
        </is>
      </c>
      <c r="C604" t="inlineStr">
        <is>
          <t>//diggs:parameterName</t>
        </is>
      </c>
      <c r="D604" t="inlineStr">
        <is>
          <t>ancestor::diggs:characteristicProperty</t>
        </is>
      </c>
    </row>
    <row r="605">
      <c r="B605" t="inlineStr">
        <is>
          <t>sulfide_acid_soluble</t>
        </is>
      </c>
      <c r="C605" t="inlineStr">
        <is>
          <t>//diggs:parameterName</t>
        </is>
      </c>
      <c r="D605" t="inlineStr">
        <is>
          <t>ancestor::diggs:characteristicProperty</t>
        </is>
      </c>
    </row>
    <row r="606">
      <c r="B606" t="inlineStr">
        <is>
          <t>total_dissolved_solids</t>
        </is>
      </c>
      <c r="C606" t="inlineStr">
        <is>
          <t>//diggs:parameterName</t>
        </is>
      </c>
      <c r="D606" t="inlineStr">
        <is>
          <t>ancestor::diggs:characteristicProperty</t>
        </is>
      </c>
    </row>
    <row r="607">
      <c r="B607" t="inlineStr">
        <is>
          <t>dry_unit_weight</t>
        </is>
      </c>
      <c r="C607" t="inlineStr">
        <is>
          <t>//diggs:parameterName</t>
        </is>
      </c>
      <c r="D607" t="inlineStr">
        <is>
          <t>ancestor::diggs:characteristicProperty</t>
        </is>
      </c>
    </row>
    <row r="608">
      <c r="B608" t="inlineStr">
        <is>
          <t>unit_weight_max</t>
        </is>
      </c>
      <c r="C608" t="inlineStr">
        <is>
          <t>//diggs:parameterName</t>
        </is>
      </c>
      <c r="D608" t="inlineStr">
        <is>
          <t>ancestor::diggs:characteristicProperty</t>
        </is>
      </c>
    </row>
    <row r="609">
      <c r="B609" t="inlineStr">
        <is>
          <t>maximum_axial_load</t>
        </is>
      </c>
      <c r="C609" t="inlineStr">
        <is>
          <t>//diggs:propertyClass</t>
        </is>
      </c>
      <c r="D609" t="inlineStr">
        <is>
          <t>ancestor::diggs:measurement//diggs:procedure/diggs:UnconfinedCompressiveStrengthTest</t>
        </is>
      </c>
    </row>
    <row r="610">
      <c r="B610" t="inlineStr">
        <is>
          <t>deformation_modulus_e50</t>
        </is>
      </c>
      <c r="C610" t="inlineStr">
        <is>
          <t>//diggs:propertyClass</t>
        </is>
      </c>
      <c r="D610" t="inlineStr">
        <is>
          <t>ancestor::diggs:measurement//diggs:procedure/diggs:UnconfinedCompressiveStrengthTest</t>
        </is>
      </c>
    </row>
    <row r="611">
      <c r="B611" t="inlineStr">
        <is>
          <t>length_diameter_correction_factor</t>
        </is>
      </c>
      <c r="C611" t="inlineStr">
        <is>
          <t>//diggs:propertyClass</t>
        </is>
      </c>
      <c r="D611" t="inlineStr">
        <is>
          <t>ancestor::diggs:measurement//diggs:procedure/diggs:UnconfinedCompressiveStrengthTest</t>
        </is>
      </c>
    </row>
    <row r="612">
      <c r="B612" t="inlineStr">
        <is>
          <t>modulus_youngs</t>
        </is>
      </c>
      <c r="C612" t="inlineStr">
        <is>
          <t>//diggs:parameterName</t>
        </is>
      </c>
      <c r="D612" t="inlineStr">
        <is>
          <t>ancestor::diggs:PerformanceCriterion</t>
        </is>
      </c>
    </row>
    <row r="613">
      <c r="B613" t="inlineStr">
        <is>
          <t>relative_density</t>
        </is>
      </c>
      <c r="C613" t="inlineStr">
        <is>
          <t>//diggs:parameterName</t>
        </is>
      </c>
      <c r="D613" t="inlineStr">
        <is>
          <t>ancestor::diggs:DesignConformanceCriterion</t>
        </is>
      </c>
    </row>
    <row r="614">
      <c r="B614" t="inlineStr">
        <is>
          <t>compressive_strength_unconfined</t>
        </is>
      </c>
      <c r="C614" t="inlineStr">
        <is>
          <t>//diggs:parameterName</t>
        </is>
      </c>
      <c r="D614" t="inlineStr">
        <is>
          <t>ancestor::diggs:PerformanceCriterion</t>
        </is>
      </c>
    </row>
    <row r="615">
      <c r="B615" t="inlineStr">
        <is>
          <t>slump</t>
        </is>
      </c>
      <c r="C615" t="inlineStr">
        <is>
          <t>//diggs:parameterName</t>
        </is>
      </c>
      <c r="D615" t="inlineStr">
        <is>
          <t>ancestor::diggs:PerformanceCriterion</t>
        </is>
      </c>
    </row>
    <row r="616">
      <c r="B616" t="inlineStr">
        <is>
          <t>gage_reading</t>
        </is>
      </c>
      <c r="C616" t="inlineStr">
        <is>
          <t>//diggs:propertyClass</t>
        </is>
      </c>
      <c r="D616" t="inlineStr">
        <is>
          <t>ancestor::diggs:incrementTimeSeries</t>
        </is>
      </c>
    </row>
    <row r="617">
      <c r="B617" t="inlineStr">
        <is>
          <t>gage_reading</t>
        </is>
      </c>
      <c r="C617" t="inlineStr">
        <is>
          <t>//diggs:parameterName</t>
        </is>
      </c>
      <c r="D617" t="inlineStr">
        <is>
          <t>ancestor::diggs:characteristicProperty</t>
        </is>
      </c>
    </row>
    <row r="618">
      <c r="B618" t="inlineStr">
        <is>
          <t>applied_stress</t>
        </is>
      </c>
      <c r="C618" t="inlineStr">
        <is>
          <t>//diggs:propertyClass</t>
        </is>
      </c>
      <c r="D618" t="inlineStr">
        <is>
          <t>ancestor::diggs:incrementTimeSeries</t>
        </is>
      </c>
    </row>
    <row r="619">
      <c r="B619" t="inlineStr">
        <is>
          <t>applied_stress</t>
        </is>
      </c>
      <c r="C619" t="inlineStr">
        <is>
          <t>//diggs:propertyClass</t>
        </is>
      </c>
      <c r="D619" t="inlineStr">
        <is>
          <t>ancestor::diggs:measurement//diggs:procedure/diggs:PlateLoadTest</t>
        </is>
      </c>
    </row>
    <row r="620">
      <c r="B620" t="inlineStr">
        <is>
          <t>applied_stress</t>
        </is>
      </c>
      <c r="C620" t="inlineStr">
        <is>
          <t>//diggs:propertyClass</t>
        </is>
      </c>
      <c r="D620" t="inlineStr">
        <is>
          <t>ancestor::diggs:measurement//diggs:procedure/diggs:ZoneLoadTest</t>
        </is>
      </c>
    </row>
    <row r="621">
      <c r="B621" t="inlineStr">
        <is>
          <t>applied_stress</t>
        </is>
      </c>
      <c r="C621" t="inlineStr">
        <is>
          <t>//diggs:parameterName</t>
        </is>
      </c>
      <c r="D621" t="inlineStr">
        <is>
          <t>ancestor::diggs:characteristicProperty</t>
        </is>
      </c>
    </row>
    <row r="622">
      <c r="B622" t="inlineStr">
        <is>
          <t>jack_pressure</t>
        </is>
      </c>
      <c r="C622" t="inlineStr">
        <is>
          <t>//diggs:propertyClass</t>
        </is>
      </c>
      <c r="D622" t="inlineStr">
        <is>
          <t>ancestor::diggs:incrementTimeSeries</t>
        </is>
      </c>
    </row>
    <row r="623">
      <c r="B623" t="inlineStr">
        <is>
          <t>jack_pressure</t>
        </is>
      </c>
      <c r="C623" t="inlineStr">
        <is>
          <t>//diggs:parameterName</t>
        </is>
      </c>
      <c r="D623" t="inlineStr">
        <is>
          <t>ancestor::diggs:characteristicProperty</t>
        </is>
      </c>
    </row>
    <row r="624">
      <c r="B624" t="inlineStr">
        <is>
          <t>loading_phase</t>
        </is>
      </c>
      <c r="C624" t="inlineStr">
        <is>
          <t>//diggs:propertyClass</t>
        </is>
      </c>
      <c r="D624" t="inlineStr">
        <is>
          <t>ancestor::diggs:measurement//diggs:procedure/diggs:PlateLoadTest</t>
        </is>
      </c>
    </row>
    <row r="625">
      <c r="B625" t="inlineStr">
        <is>
          <t>loading_phase</t>
        </is>
      </c>
      <c r="C625" t="inlineStr">
        <is>
          <t>//diggs:propertyClass</t>
        </is>
      </c>
      <c r="D625" t="inlineStr">
        <is>
          <t>ancestor::diggs:measurement//diggs:procedure/diggs:ZoneLoadTest</t>
        </is>
      </c>
    </row>
    <row r="626">
      <c r="B626" t="inlineStr">
        <is>
          <t>loading_phase</t>
        </is>
      </c>
      <c r="C626" t="inlineStr">
        <is>
          <t>//diggs:parameterName</t>
        </is>
      </c>
      <c r="D626" t="inlineStr">
        <is>
          <t>ancestor::diggs:characteristicProperty</t>
        </is>
      </c>
    </row>
    <row r="627">
      <c r="B627" t="inlineStr">
        <is>
          <t>temperature</t>
        </is>
      </c>
      <c r="C627" t="inlineStr">
        <is>
          <t>//diggs:propertyClass</t>
        </is>
      </c>
      <c r="D627" t="inlineStr">
        <is>
          <t>ancestor::diggs:incrementTimeSeries</t>
        </is>
      </c>
    </row>
    <row r="628">
      <c r="B628" t="inlineStr">
        <is>
          <t>equipment_mass</t>
        </is>
      </c>
      <c r="C628" t="inlineStr">
        <is>
          <t>//diggs:parameterName</t>
        </is>
      </c>
      <c r="D628" t="inlineStr">
        <is>
          <t>ancestor::diggs:otherEquipmentProperty</t>
        </is>
      </c>
    </row>
    <row r="629">
      <c r="B629" t="inlineStr">
        <is>
          <t>equipment_mass</t>
        </is>
      </c>
      <c r="C629" t="inlineStr">
        <is>
          <t>//diggs:parameterName</t>
        </is>
      </c>
      <c r="D629" t="inlineStr">
        <is>
          <t>ancestor::diggs:characteristicProperty</t>
        </is>
      </c>
    </row>
    <row r="630">
      <c r="B630" t="inlineStr">
        <is>
          <t>calibration_reference_value</t>
        </is>
      </c>
      <c r="C630" t="inlineStr">
        <is>
          <t>//diggs:propertyClass</t>
        </is>
      </c>
      <c r="D630" t="inlineStr">
        <is>
          <t>ancestor::diggs:calibrationResults</t>
        </is>
      </c>
    </row>
    <row r="631">
      <c r="B631" t="inlineStr">
        <is>
          <t>calibration_reference_value</t>
        </is>
      </c>
      <c r="C631" t="inlineStr">
        <is>
          <t>//diggs:parameterName</t>
        </is>
      </c>
      <c r="D631" t="inlineStr">
        <is>
          <t>ancestor::diggs:characteristicProperty</t>
        </is>
      </c>
    </row>
    <row r="632">
      <c r="B632" t="inlineStr">
        <is>
          <t>calibration_indicated_value</t>
        </is>
      </c>
      <c r="C632" t="inlineStr">
        <is>
          <t>//diggs:propertyClass</t>
        </is>
      </c>
      <c r="D632" t="inlineStr">
        <is>
          <t>ancestor::diggs:calibrationResults</t>
        </is>
      </c>
    </row>
    <row r="633">
      <c r="B633" t="inlineStr">
        <is>
          <t>calibration_indicated_value</t>
        </is>
      </c>
      <c r="C633" t="inlineStr">
        <is>
          <t>//diggs:parameterName</t>
        </is>
      </c>
      <c r="D633" t="inlineStr">
        <is>
          <t>ancestor::diggs:characteristicProperty</t>
        </is>
      </c>
    </row>
    <row r="634">
      <c r="B634" t="inlineStr">
        <is>
          <t>calibration_deviation</t>
        </is>
      </c>
      <c r="C634" t="inlineStr">
        <is>
          <t>//diggs:propertyClass</t>
        </is>
      </c>
      <c r="D634" t="inlineStr">
        <is>
          <t>ancestor::diggs:calibrationResults</t>
        </is>
      </c>
    </row>
    <row r="635">
      <c r="B635" t="inlineStr">
        <is>
          <t>calibration_deviation</t>
        </is>
      </c>
      <c r="C635" t="inlineStr">
        <is>
          <t>//diggs:parameterName</t>
        </is>
      </c>
      <c r="D635" t="inlineStr">
        <is>
          <t>ancestor::diggs:characteristicProperty</t>
        </is>
      </c>
    </row>
    <row r="636">
      <c r="B636" t="inlineStr">
        <is>
          <t>calibration_expanded_uncertainty</t>
        </is>
      </c>
      <c r="C636" t="inlineStr">
        <is>
          <t>//diggs:propertyClass</t>
        </is>
      </c>
      <c r="D636" t="inlineStr">
        <is>
          <t>ancestor::diggs:calibrationResults</t>
        </is>
      </c>
    </row>
    <row r="637">
      <c r="B637" t="inlineStr">
        <is>
          <t>calibration_expanded_uncertainty</t>
        </is>
      </c>
      <c r="C637" t="inlineStr">
        <is>
          <t>//diggs:parameterName</t>
        </is>
      </c>
      <c r="D637" t="inlineStr">
        <is>
          <t>ancestor::diggs:characteristicProperty</t>
        </is>
      </c>
    </row>
    <row r="638">
      <c r="B638" t="inlineStr">
        <is>
          <t>instrument_resolution</t>
        </is>
      </c>
      <c r="C638" t="inlineStr">
        <is>
          <t>//diggs:parameterName</t>
        </is>
      </c>
      <c r="D638" t="inlineStr">
        <is>
          <t>ancestor::diggs:calibrationValues</t>
        </is>
      </c>
    </row>
    <row r="639">
      <c r="B639" t="inlineStr">
        <is>
          <t>instrument_resolution</t>
        </is>
      </c>
      <c r="C639" t="inlineStr">
        <is>
          <t>//diggs:parameterName</t>
        </is>
      </c>
      <c r="D639" t="inlineStr">
        <is>
          <t>ancestor::diggs:characteristicProperty</t>
        </is>
      </c>
    </row>
    <row r="640">
      <c r="B640" t="inlineStr">
        <is>
          <t>maximum_expanded_uncertainty</t>
        </is>
      </c>
      <c r="C640" t="inlineStr">
        <is>
          <t>//diggs:parameterName</t>
        </is>
      </c>
      <c r="D640" t="inlineStr">
        <is>
          <t>ancestor::diggs:calibrationValues</t>
        </is>
      </c>
    </row>
    <row r="641">
      <c r="B641" t="inlineStr">
        <is>
          <t>maximum_expanded_uncertainty</t>
        </is>
      </c>
      <c r="C641" t="inlineStr">
        <is>
          <t>//diggs:parameterName</t>
        </is>
      </c>
      <c r="D641" t="inlineStr">
        <is>
          <t>ancestor::diggs:characteristicProperty</t>
        </is>
      </c>
    </row>
    <row r="642">
      <c r="B642" t="inlineStr">
        <is>
          <t>coverage_factor</t>
        </is>
      </c>
      <c r="C642" t="inlineStr">
        <is>
          <t>//diggs:parameterName</t>
        </is>
      </c>
      <c r="D642" t="inlineStr">
        <is>
          <t>ancestor::diggs:calibrationValues</t>
        </is>
      </c>
    </row>
    <row r="643">
      <c r="B643" t="inlineStr">
        <is>
          <t>coverage_factor</t>
        </is>
      </c>
      <c r="C643" t="inlineStr">
        <is>
          <t>//diggs:parameterName</t>
        </is>
      </c>
      <c r="D643" t="inlineStr">
        <is>
          <t>ancestor::diggs:characteristicProperty</t>
        </is>
      </c>
    </row>
    <row r="644">
      <c r="B644" t="inlineStr">
        <is>
          <t>calibrated_range_minimum</t>
        </is>
      </c>
      <c r="C644" t="inlineStr">
        <is>
          <t>//diggs:parameterName</t>
        </is>
      </c>
      <c r="D644" t="inlineStr">
        <is>
          <t>ancestor::diggs:calibrationValues</t>
        </is>
      </c>
    </row>
    <row r="645">
      <c r="B645" t="inlineStr">
        <is>
          <t>calibrated_range_minimum</t>
        </is>
      </c>
      <c r="C645" t="inlineStr">
        <is>
          <t>//diggs:parameterName</t>
        </is>
      </c>
      <c r="D645" t="inlineStr">
        <is>
          <t>ancestor::diggs:characteristicProperty</t>
        </is>
      </c>
    </row>
    <row r="646">
      <c r="B646" t="inlineStr">
        <is>
          <t>calibrated_range_maximum</t>
        </is>
      </c>
      <c r="C646" t="inlineStr">
        <is>
          <t>//diggs:parameterName</t>
        </is>
      </c>
      <c r="D646" t="inlineStr">
        <is>
          <t>ancestor::diggs:calibrationValues</t>
        </is>
      </c>
    </row>
    <row r="647">
      <c r="B647" t="inlineStr">
        <is>
          <t>calibrated_range_maximum</t>
        </is>
      </c>
      <c r="C647" t="inlineStr">
        <is>
          <t>//diggs:parameterName</t>
        </is>
      </c>
      <c r="D647" t="inlineStr">
        <is>
          <t>ancestor::diggs:characteristicProperty</t>
        </is>
      </c>
    </row>
    <row r="648">
      <c r="B648" t="inlineStr">
        <is>
          <t>acceptance_tolerance</t>
        </is>
      </c>
      <c r="C648" t="inlineStr">
        <is>
          <t>//diggs:parameterName</t>
        </is>
      </c>
      <c r="D648" t="inlineStr">
        <is>
          <t>ancestor::diggs:calibrationValues</t>
        </is>
      </c>
    </row>
    <row r="649">
      <c r="B649" t="inlineStr">
        <is>
          <t>acceptance_tolerance</t>
        </is>
      </c>
      <c r="C649" t="inlineStr">
        <is>
          <t>//diggs:parameterName</t>
        </is>
      </c>
      <c r="D649" t="inlineStr">
        <is>
          <t>ancestor::diggs:characteristicProperty</t>
        </is>
      </c>
    </row>
    <row r="650">
      <c r="B650" t="inlineStr">
        <is>
          <t>jack_ram_area</t>
        </is>
      </c>
      <c r="C650" t="inlineStr">
        <is>
          <t>//diggs:parameterName</t>
        </is>
      </c>
      <c r="D650" t="inlineStr">
        <is>
          <t>ancestor::diggs:calibrationValues</t>
        </is>
      </c>
    </row>
    <row r="651">
      <c r="B651" t="inlineStr">
        <is>
          <t>jack_ram_area</t>
        </is>
      </c>
      <c r="C651" t="inlineStr">
        <is>
          <t>//diggs:parameterName</t>
        </is>
      </c>
      <c r="D651" t="inlineStr">
        <is>
          <t>ancestor::diggs:characteristicProperty</t>
        </is>
      </c>
    </row>
    <row r="652">
      <c r="B652" t="inlineStr">
        <is>
          <t>ambient_temperature</t>
        </is>
      </c>
      <c r="C652" t="inlineStr">
        <is>
          <t>//diggs:parameterName</t>
        </is>
      </c>
      <c r="D652" t="inlineStr">
        <is>
          <t>ancestor::diggs:calibrationConditions</t>
        </is>
      </c>
    </row>
    <row r="653">
      <c r="B653" t="inlineStr">
        <is>
          <t>ambient_temperature</t>
        </is>
      </c>
      <c r="C653" t="inlineStr">
        <is>
          <t>//diggs:parameterName</t>
        </is>
      </c>
      <c r="D653" t="inlineStr">
        <is>
          <t>ancestor::diggs:characteristicProperty</t>
        </is>
      </c>
    </row>
    <row r="654">
      <c r="B654" t="inlineStr">
        <is>
          <t>relative_humidity</t>
        </is>
      </c>
      <c r="C654" t="inlineStr">
        <is>
          <t>//diggs:parameterName</t>
        </is>
      </c>
      <c r="D654" t="inlineStr">
        <is>
          <t>ancestor::diggs:calibrationConditions</t>
        </is>
      </c>
    </row>
    <row r="655">
      <c r="B655" t="inlineStr">
        <is>
          <t>relative_humidity</t>
        </is>
      </c>
      <c r="C655" t="inlineStr">
        <is>
          <t>//diggs:parameterName</t>
        </is>
      </c>
      <c r="D655" t="inlineStr">
        <is>
          <t>ancestor::diggs:characteristicProperty</t>
        </is>
      </c>
    </row>
    <row r="656">
      <c r="B656" t="inlineStr">
        <is>
          <t>toe_depth</t>
        </is>
      </c>
      <c r="C656" t="inlineStr">
        <is>
          <t>//diggs:propertyClass</t>
        </is>
      </c>
      <c r="D656" t="inlineStr">
        <is>
          <t>ancestor::diggs:measurement//diggs:procedure/diggs:LowStrainIntegrityTest</t>
        </is>
      </c>
    </row>
    <row r="657">
      <c r="B657" t="inlineStr">
        <is>
          <t>toe_depth_deviation</t>
        </is>
      </c>
      <c r="C657" t="inlineStr">
        <is>
          <t>//diggs:propertyClass</t>
        </is>
      </c>
      <c r="D657" t="inlineStr">
        <is>
          <t>ancestor::diggs:measurement//diggs:procedure/diggs:LowStrainIntegrityTest</t>
        </is>
      </c>
    </row>
    <row r="658">
      <c r="B658" t="inlineStr">
        <is>
          <t>relative_reflection_amplitude</t>
        </is>
      </c>
      <c r="C658" t="inlineStr">
        <is>
          <t>//diggs:propertyClass</t>
        </is>
      </c>
      <c r="D658" t="inlineStr">
        <is>
          <t>ancestor::diggs:measurement//diggs:procedure/diggs:LowStrainIntegrityTest</t>
        </is>
      </c>
    </row>
    <row r="659">
      <c r="B659" t="inlineStr">
        <is>
          <t>toe_depth_deviation</t>
        </is>
      </c>
      <c r="C659" t="inlineStr">
        <is>
          <t>//diggs:parameterName</t>
        </is>
      </c>
      <c r="D659" t="inlineStr">
        <is>
          <t>ancestor::diggs:PerformanceCriterion</t>
        </is>
      </c>
    </row>
    <row r="660">
      <c r="B660" t="inlineStr">
        <is>
          <t>relative_reflection_amplitude</t>
        </is>
      </c>
      <c r="C660" t="inlineStr">
        <is>
          <t>//diggs:parameterName</t>
        </is>
      </c>
      <c r="D660" t="inlineStr">
        <is>
          <t>ancestor::diggs:PerformanceCriterion</t>
        </is>
      </c>
    </row>
    <row r="661">
      <c r="B661" t="inlineStr">
        <is>
          <t>toe_depth</t>
        </is>
      </c>
      <c r="C661" t="inlineStr">
        <is>
          <t>//diggs:parameterName</t>
        </is>
      </c>
      <c r="D661" t="inlineStr">
        <is>
          <t>ancestor::diggs:characteristicProperty</t>
        </is>
      </c>
    </row>
    <row r="662">
      <c r="B662" t="inlineStr">
        <is>
          <t>toe_depth_deviation</t>
        </is>
      </c>
      <c r="C662" t="inlineStr">
        <is>
          <t>//diggs:parameterName</t>
        </is>
      </c>
      <c r="D662" t="inlineStr">
        <is>
          <t>ancestor::diggs:characteristicProperty</t>
        </is>
      </c>
    </row>
    <row r="663">
      <c r="B663" t="inlineStr">
        <is>
          <t>relative_reflection_amplitude</t>
        </is>
      </c>
      <c r="C663" t="inlineStr">
        <is>
          <t>//diggs:parameterName</t>
        </is>
      </c>
      <c r="D663" t="inlineStr">
        <is>
          <t>ancestor::diggs:characteristicProperty</t>
        </is>
      </c>
    </row>
    <row r="664">
      <c r="B664" t="inlineStr">
        <is>
          <t>normalized_velocity</t>
        </is>
      </c>
      <c r="C664" t="inlineStr">
        <is>
          <t>//diggs:propertyClass</t>
        </is>
      </c>
      <c r="D664" t="inlineStr">
        <is>
          <t>ancestor::diggs:measurement//diggs:procedure/diggs:LowStrainIntegrityTest</t>
        </is>
      </c>
    </row>
    <row r="665">
      <c r="B665" t="inlineStr">
        <is>
          <t>normalized_force</t>
        </is>
      </c>
      <c r="C665" t="inlineStr">
        <is>
          <t>//diggs:propertyClass</t>
        </is>
      </c>
      <c r="D665" t="inlineStr">
        <is>
          <t>ancestor::diggs:measurement//diggs:procedure/diggs:LowStrainIntegrityTest</t>
        </is>
      </c>
    </row>
    <row r="666">
      <c r="B666" t="inlineStr">
        <is>
          <t>impact_force</t>
        </is>
      </c>
      <c r="C666" t="inlineStr">
        <is>
          <t>//diggs:propertyClass</t>
        </is>
      </c>
      <c r="D666" t="inlineStr">
        <is>
          <t>ancestor::diggs:measurement//diggs:procedure/diggs:LowStrainIntegrityTest</t>
        </is>
      </c>
    </row>
    <row r="667">
      <c r="B667" t="inlineStr">
        <is>
          <t>relative_impedance</t>
        </is>
      </c>
      <c r="C667" t="inlineStr">
        <is>
          <t>//diggs:propertyClass</t>
        </is>
      </c>
      <c r="D667" t="inlineStr">
        <is>
          <t>ancestor::diggs:measurement//diggs:procedure/diggs:LowStrainIntegrityTest</t>
        </is>
      </c>
    </row>
    <row r="668">
      <c r="B668" t="inlineStr">
        <is>
          <t>frequency</t>
        </is>
      </c>
      <c r="C668" t="inlineStr">
        <is>
          <t>//diggs:propertyClass</t>
        </is>
      </c>
      <c r="D668" t="inlineStr">
        <is>
          <t>ancestor::diggs:measurement//diggs:procedure/diggs:LowStrainIntegrityTest</t>
        </is>
      </c>
    </row>
    <row r="669">
      <c r="B669" t="inlineStr">
        <is>
          <t>mobility</t>
        </is>
      </c>
      <c r="C669" t="inlineStr">
        <is>
          <t>//diggs:propertyClass</t>
        </is>
      </c>
      <c r="D669" t="inlineStr">
        <is>
          <t>ancestor::diggs:measurement//diggs:procedure/diggs:LowStrainIntegrityTest</t>
        </is>
      </c>
    </row>
    <row r="670">
      <c r="B670" t="inlineStr">
        <is>
          <t>characteristic_mobility</t>
        </is>
      </c>
      <c r="C670" t="inlineStr">
        <is>
          <t>//diggs:propertyClass</t>
        </is>
      </c>
      <c r="D670" t="inlineStr">
        <is>
          <t>ancestor::diggs:measurement//diggs:procedure/diggs:LowStrainIntegrityTest</t>
        </is>
      </c>
    </row>
    <row r="671">
      <c r="B671" t="inlineStr">
        <is>
          <t>dynamic_stiffness</t>
        </is>
      </c>
      <c r="C671" t="inlineStr">
        <is>
          <t>//diggs:propertyClass</t>
        </is>
      </c>
      <c r="D671" t="inlineStr">
        <is>
          <t>ancestor::diggs:measurement//diggs:procedure/diggs:LowStrainIntegrityTest</t>
        </is>
      </c>
    </row>
    <row r="672">
      <c r="B672" t="inlineStr">
        <is>
          <t>mobility_ratio</t>
        </is>
      </c>
      <c r="C672" t="inlineStr">
        <is>
          <t>//diggs:propertyClass</t>
        </is>
      </c>
      <c r="D672" t="inlineStr">
        <is>
          <t>ancestor::diggs:measurement//diggs:procedure/diggs:LowStrainIntegrityTest</t>
        </is>
      </c>
    </row>
    <row r="673">
      <c r="B673" t="inlineStr">
        <is>
          <t>characteristic_mobility</t>
        </is>
      </c>
      <c r="C673" t="inlineStr">
        <is>
          <t>//diggs:parameterName</t>
        </is>
      </c>
      <c r="D673" t="inlineStr">
        <is>
          <t>ancestor::diggs:measurement//diggs:procedure/diggs:LowStrainIntegrityTest</t>
        </is>
      </c>
    </row>
    <row r="674">
      <c r="B674" t="inlineStr">
        <is>
          <t>characteristic_mobility</t>
        </is>
      </c>
      <c r="C674" t="inlineStr">
        <is>
          <t>//diggs:parameterName</t>
        </is>
      </c>
      <c r="D674" t="inlineStr">
        <is>
          <t>ancestor::diggs:characteristicProperty</t>
        </is>
      </c>
    </row>
    <row r="675">
      <c r="B675" t="inlineStr">
        <is>
          <t>dynamic_stiffness</t>
        </is>
      </c>
      <c r="C675" t="inlineStr">
        <is>
          <t>//diggs:parameterName</t>
        </is>
      </c>
      <c r="D675" t="inlineStr">
        <is>
          <t>ancestor::diggs:measurement//diggs:procedure/diggs:LowStrainIntegrityTest</t>
        </is>
      </c>
    </row>
    <row r="676">
      <c r="B676" t="inlineStr">
        <is>
          <t>dynamic_stiffness</t>
        </is>
      </c>
      <c r="C676" t="inlineStr">
        <is>
          <t>//diggs:parameterName</t>
        </is>
      </c>
      <c r="D676" t="inlineStr">
        <is>
          <t>ancestor::diggs:characteristicProperty</t>
        </is>
      </c>
    </row>
    <row r="677">
      <c r="B677" t="inlineStr">
        <is>
          <t>mobility_ratio</t>
        </is>
      </c>
      <c r="C677" t="inlineStr">
        <is>
          <t>//diggs:parameterName</t>
        </is>
      </c>
      <c r="D677" t="inlineStr">
        <is>
          <t>ancestor::diggs:measurement//diggs:procedure/diggs:LowStrainIntegrityTest</t>
        </is>
      </c>
    </row>
    <row r="678">
      <c r="B678" t="inlineStr">
        <is>
          <t>mobility_ratio</t>
        </is>
      </c>
      <c r="C678" t="inlineStr">
        <is>
          <t>//diggs:parameterName</t>
        </is>
      </c>
      <c r="D678" t="inlineStr">
        <is>
          <t>ancestor::diggs:characteristicProperty</t>
        </is>
      </c>
    </row>
    <row r="679">
      <c r="B679" t="inlineStr">
        <is>
          <t>elapsed_time</t>
        </is>
      </c>
      <c r="C679" t="inlineStr">
        <is>
          <t>//diggs:propertyClass</t>
        </is>
      </c>
      <c r="D679" t="inlineStr">
        <is>
          <t>ancestor::diggs:measurement//diggs:procedure/diggs:LowStrainIntegrityTest</t>
        </is>
      </c>
    </row>
    <row r="680">
      <c r="B680" t="inlineStr">
        <is>
          <t>toe_depth</t>
        </is>
      </c>
      <c r="C680" t="inlineStr">
        <is>
          <t>//diggs:parameterName</t>
        </is>
      </c>
      <c r="D680" t="inlineStr">
        <is>
          <t>ancestor::diggs:measurement//diggs:procedure/diggs:LowStrainIntegrityTest</t>
        </is>
      </c>
    </row>
    <row r="681">
      <c r="B681" t="inlineStr">
        <is>
          <t>defect_depth</t>
        </is>
      </c>
      <c r="C681" t="inlineStr">
        <is>
          <t>//diggs:parameterName</t>
        </is>
      </c>
      <c r="D681" t="inlineStr">
        <is>
          <t>ancestor::diggs:measurement//diggs:procedure/diggs:LowStrainIntegrityTest</t>
        </is>
      </c>
    </row>
    <row r="682">
      <c r="B682" t="inlineStr">
        <is>
          <t>relative_reflection_amplitude</t>
        </is>
      </c>
      <c r="C682" t="inlineStr">
        <is>
          <t>//diggs:parameterName</t>
        </is>
      </c>
      <c r="D682" t="inlineStr">
        <is>
          <t>ancestor::diggs:measurement//diggs:procedure/diggs:LowStrainIntegrityTest</t>
        </is>
      </c>
    </row>
    <row r="683">
      <c r="B683" t="inlineStr">
        <is>
          <t>relative_toe_amplitude</t>
        </is>
      </c>
      <c r="C683" t="inlineStr">
        <is>
          <t>//diggs:propertyClass</t>
        </is>
      </c>
      <c r="D683" t="inlineStr">
        <is>
          <t>ancestor::diggs:measurement//diggs:procedure/diggs:LowStrainIntegrityTest</t>
        </is>
      </c>
    </row>
    <row r="684">
      <c r="B684" t="inlineStr">
        <is>
          <t>relative_toe_amplitude</t>
        </is>
      </c>
      <c r="C684" t="inlineStr">
        <is>
          <t>//diggs:parameterName</t>
        </is>
      </c>
      <c r="D684" t="inlineStr">
        <is>
          <t>ancestor::diggs:measurement//diggs:procedure/diggs:LowStrainIntegrityTest</t>
        </is>
      </c>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Start</t>
        </is>
      </c>
      <c r="B1" t="inlineStr">
        <is>
          <t>ID</t>
        </is>
      </c>
      <c r="C1" t="inlineStr">
        <is>
          <t>SubjectElement</t>
        </is>
      </c>
      <c r="D1" t="inlineStr">
        <is>
          <t>Method</t>
        </is>
      </c>
      <c r="E1" t="inlineStr">
        <is>
          <t>RealizedValueXpath</t>
        </is>
      </c>
      <c r="F1" t="inlineStr">
        <is>
          <t>ReferenceValueXpath</t>
        </is>
      </c>
      <c r="G1" t="inlineStr">
        <is>
          <t>ReferenceSource</t>
        </is>
      </c>
      <c r="H1" t="inlineStr">
        <is>
          <t>ReferenceEvaluation</t>
        </is>
      </c>
      <c r="I1" t="inlineStr">
        <is>
          <t>NormalizeByXpath</t>
        </is>
      </c>
    </row>
    <row r="2">
      <c r="B2" t="inlineStr">
        <is>
          <t>compressive_strength_unconfined</t>
        </is>
      </c>
      <c r="D2" t="inlineStr">
        <is>
          <t>direct</t>
        </is>
      </c>
      <c r="E2" t="inlineStr">
        <is>
          <t>for $r in $evidence/descendant-or-self::*[diggs:results//diggs:propertyClass/@codeSpace[ends-with(., '#compressive_strength_unconfined')]] return diggs:series($r, 'compressive_strength_unconfined') ! ?2</t>
        </is>
      </c>
    </row>
    <row r="3">
      <c r="B3" t="inlineStr">
        <is>
          <t>slump</t>
        </is>
      </c>
      <c r="D3" t="inlineStr">
        <is>
          <t>direct</t>
        </is>
      </c>
      <c r="E3" t="inlineStr">
        <is>
          <t>for $r in $evidence/descendant-or-self::*[diggs:results//diggs:propertyClass/@codeSpace[ends-with(., '#slump')]] return diggs:series($r, 'slump') ! ?2</t>
        </is>
      </c>
    </row>
    <row r="4">
      <c r="B4" t="inlineStr">
        <is>
          <t>modulus_youngs</t>
        </is>
      </c>
      <c r="D4" t="inlineStr">
        <is>
          <t>direct</t>
        </is>
      </c>
      <c r="E4" t="inlineStr">
        <is>
          <t>for $r in $evidence/descendant-or-self::*[diggs:results//diggs:propertyClass/@codeSpace[ends-with(., '#modulus_youngs')]] return diggs:series($r, 'modulus_youngs') ! ?2</t>
        </is>
      </c>
    </row>
    <row r="5">
      <c r="B5" t="inlineStr">
        <is>
          <t>settlement</t>
        </is>
      </c>
      <c r="C5" t="inlineStr">
        <is>
          <t>diggs:LoadTransferPlatform</t>
        </is>
      </c>
      <c r="D5" t="inlineStr">
        <is>
          <t>value at</t>
        </is>
      </c>
      <c r="E5" t="inlineStr">
        <is>
          <t>let $r := $evidence/diggs:outcome/*[1], $x := diggs:series($r, 'applied_stress'), $y := diggs:series($r, 'settlement'), $p := diggs:series($r, 'loading_phase') return for $i in 1 to count($y) return if ($p[$i]?2 = 'loading') then [$x[$i]?2, $y[$i]?2] else ()</t>
        </is>
      </c>
    </row>
    <row r="6">
      <c r="B6" t="inlineStr">
        <is>
          <t>settlement</t>
        </is>
      </c>
      <c r="D6" t="inlineStr">
        <is>
          <t>direct</t>
        </is>
      </c>
      <c r="E6" t="inlineStr">
        <is>
          <t>for $r in $evidence/descendant-or-self::*[diggs:results//diggs:propertyClass/@codeSpace[ends-with(., '#settlement')]] return diggs:series($r, 'settlement') ! ?2</t>
        </is>
      </c>
    </row>
    <row r="7">
      <c r="B7" t="inlineStr">
        <is>
          <t>toe_depth_deviation</t>
        </is>
      </c>
      <c r="C7" t="inlineStr">
        <is>
          <t>diggs:Test</t>
        </is>
      </c>
      <c r="D7" t="inlineStr">
        <is>
          <t>direct</t>
        </is>
      </c>
      <c r="E7" t="inlineStr">
        <is>
          <t>let $t := diggs:otherMeasurementProperty/diggs:AuthorizedParameter[diggs:parameterName/@codeSpace[ends-with(., '#toe_depth')]]/diggs:parameterValue, $l := diggs:procedure/*/diggs:referenceLength return if (exists($t) and exists($l)) then abs(number($t) - number($l)) * 100 div number($l) else ()</t>
        </is>
      </c>
    </row>
    <row r="8">
      <c r="B8" t="inlineStr">
        <is>
          <t>relative_reflection_amplitude</t>
        </is>
      </c>
      <c r="C8" t="inlineStr">
        <is>
          <t>diggs:Test</t>
        </is>
      </c>
      <c r="D8" t="inlineStr">
        <is>
          <t>direct</t>
        </is>
      </c>
      <c r="E8" t="inlineStr">
        <is>
          <t>diggs:otherMeasurementProperty/diggs:AuthorizedParameter[diggs:parameterName/@codeSpace[ends-with(., '#relative_reflection_amplitude')]]/diggs:parameterValue</t>
        </is>
      </c>
    </row>
    <row r="9">
      <c r="B9" t="inlineStr">
        <is>
          <t>relative_toe_amplitude</t>
        </is>
      </c>
      <c r="C9" t="inlineStr">
        <is>
          <t>diggs:Test</t>
        </is>
      </c>
      <c r="D9" t="inlineStr">
        <is>
          <t>direct</t>
        </is>
      </c>
      <c r="E9" t="inlineStr">
        <is>
          <t>diggs:otherMeasurementProperty/diggs:AuthorizedParameter[diggs:parameterName/@codeSpace[ends-with(., '#relative_toe_amplitude')]]/diggs:parameterValue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8"/>
  <sheetViews>
    <sheetView topLeftCell="A123" zoomScale="130" zoomScaleNormal="130" workbookViewId="0">
      <selection activeCell="E150" sqref="E150"/>
    </sheetView>
  </sheetViews>
  <sheetFormatPr baseColWidth="10" defaultColWidth="11" defaultRowHeight="16"/>
  <cols>
    <col width="21.1640625" customWidth="1" min="2" max="2"/>
    <col width="54.1640625" customWidth="1" min="3" max="3"/>
    <col width="35.6640625" bestFit="1" customWidth="1" min="4" max="4"/>
    <col width="10.6640625" customWidth="1" min="5" max="5"/>
    <col hidden="1" width="11" customWidth="1" min="6" max="6"/>
  </cols>
  <sheetData>
    <row r="1">
      <c r="A1" t="inlineStr">
        <is>
          <t>DataType</t>
        </is>
      </c>
      <c r="B1" t="inlineStr">
        <is>
          <t>DataType2</t>
        </is>
      </c>
      <c r="C1" t="inlineStr">
        <is>
          <t>QuantityClass</t>
        </is>
      </c>
      <c r="D1" t="inlineStr">
        <is>
          <t>Column2</t>
        </is>
      </c>
    </row>
    <row r="2">
      <c r="B2" t="inlineStr">
        <is>
          <t>anyURI</t>
        </is>
      </c>
      <c r="C2" t="inlineStr">
        <is>
          <t>absorbed dose</t>
        </is>
      </c>
      <c r="E2">
        <f>VLOOKUP(C2,J$2:J$300,1,FALSE)</f>
        <v/>
      </c>
      <c r="F2">
        <f>SUBSTITUTE(PROPER(LOWER(C2))," ","")</f>
        <v/>
      </c>
      <c r="J2" t="inlineStr">
        <is>
          <t>(amount of substance per time) per area</t>
        </is>
      </c>
    </row>
    <row r="3">
      <c r="B3" t="inlineStr">
        <is>
          <t>base64binary</t>
        </is>
      </c>
      <c r="C3" t="inlineStr">
        <is>
          <t>activity [of radioactivity]</t>
        </is>
      </c>
      <c r="E3">
        <f>VLOOKUP(C3,J$2:J$300,1,FALSE)</f>
        <v/>
      </c>
      <c r="F3">
        <f>SUBSTITUTE(PROPER(LOWER(C3))," ","")</f>
        <v/>
      </c>
      <c r="J3" t="inlineStr">
        <is>
          <t>(energy per mass) per time</t>
        </is>
      </c>
    </row>
    <row r="4">
      <c r="B4" s="9" t="inlineStr">
        <is>
          <t>boolean</t>
        </is>
      </c>
      <c r="C4" t="inlineStr">
        <is>
          <t>amount of substance</t>
        </is>
      </c>
      <c r="E4">
        <f>VLOOKUP(C4,J$2:J$300,1,FALSE)</f>
        <v/>
      </c>
      <c r="F4">
        <f>SUBSTITUTE(PROPER(LOWER(C4))," ","")</f>
        <v/>
      </c>
      <c r="J4" t="inlineStr">
        <is>
          <t>(mass per time) per area</t>
        </is>
      </c>
    </row>
    <row r="5">
      <c r="B5" s="9" t="inlineStr">
        <is>
          <t>byte</t>
        </is>
      </c>
      <c r="C5" t="inlineStr">
        <is>
          <t>amount of substance per amount of substance</t>
        </is>
      </c>
      <c r="E5">
        <f>VLOOKUP(C5,J$2:J$300,1,FALSE)</f>
        <v/>
      </c>
      <c r="F5">
        <f>SUBSTITUTE(PROPER(LOWER(C5))," ","")</f>
        <v/>
      </c>
      <c r="J5" t="inlineStr">
        <is>
          <t>(mass per time) per length</t>
        </is>
      </c>
    </row>
    <row r="6">
      <c r="B6" t="inlineStr">
        <is>
          <t>date</t>
        </is>
      </c>
      <c r="C6" t="inlineStr">
        <is>
          <t>amount of substance per area</t>
        </is>
      </c>
      <c r="E6">
        <f>VLOOKUP(C6,J$2:J$300,1,FALSE)</f>
        <v/>
      </c>
      <c r="F6">
        <f>SUBSTITUTE(PROPER(LOWER(C6))," ","")</f>
        <v/>
      </c>
      <c r="J6" t="inlineStr">
        <is>
          <t>(mass per volume) per length</t>
        </is>
      </c>
    </row>
    <row r="7">
      <c r="B7" t="inlineStr">
        <is>
          <t>dateTime</t>
        </is>
      </c>
      <c r="C7" t="inlineStr">
        <is>
          <t>amount of substance per mass</t>
        </is>
      </c>
      <c r="D7" t="inlineStr">
        <is>
          <t>use for cation exchange capacity</t>
        </is>
      </c>
      <c r="E7">
        <f>VLOOKUP(C7,J$2:J$300,1,FALSE)</f>
        <v/>
      </c>
      <c r="F7">
        <f>SUBSTITUTE(PROPER(LOWER(C7))," ","")</f>
        <v/>
      </c>
      <c r="J7" t="inlineStr">
        <is>
          <t>(volume per time) length</t>
        </is>
      </c>
    </row>
    <row r="8">
      <c r="B8" t="inlineStr">
        <is>
          <t>decimal</t>
        </is>
      </c>
      <c r="C8" t="inlineStr">
        <is>
          <t>amount of substance per time</t>
        </is>
      </c>
      <c r="E8">
        <f>VLOOKUP(C8,J$2:J$300,1,FALSE)</f>
        <v/>
      </c>
      <c r="F8">
        <f>SUBSTITUTE(PROPER(LOWER(C8))," ","")</f>
        <v/>
      </c>
      <c r="J8" t="inlineStr">
        <is>
          <t>(volume per time) per (pressure length)</t>
        </is>
      </c>
    </row>
    <row r="9">
      <c r="B9" s="9" t="inlineStr">
        <is>
          <t>double</t>
        </is>
      </c>
      <c r="C9" t="inlineStr">
        <is>
          <t>(amount of substance per time) per area</t>
        </is>
      </c>
      <c r="E9">
        <f>VLOOKUP(C9,J$2:J$300,1,FALSE)</f>
        <v/>
      </c>
      <c r="F9">
        <f>SUBSTITUTE(PROPER(LOWER(C9))," ","")</f>
        <v/>
      </c>
      <c r="J9" t="inlineStr">
        <is>
          <t>(volume per time) per area</t>
        </is>
      </c>
    </row>
    <row r="10">
      <c r="B10" t="inlineStr">
        <is>
          <t>duration</t>
        </is>
      </c>
      <c r="C10" t="inlineStr">
        <is>
          <t>amount of substance per volume</t>
        </is>
      </c>
      <c r="E10">
        <f>VLOOKUP(C10,J$2:J$300,1,FALSE)</f>
        <v/>
      </c>
      <c r="F10">
        <f>SUBSTITUTE(PROPER(LOWER(C10))," ","")</f>
        <v/>
      </c>
      <c r="J10" t="inlineStr">
        <is>
          <t>(volume per time) per length</t>
        </is>
      </c>
    </row>
    <row r="11">
      <c r="B11" s="9" t="inlineStr">
        <is>
          <t>float</t>
        </is>
      </c>
      <c r="C11" t="inlineStr">
        <is>
          <t>angle per length</t>
        </is>
      </c>
      <c r="E11">
        <f>VLOOKUP(C11,J$2:J$300,1,FALSE)</f>
        <v/>
      </c>
      <c r="F11">
        <f>SUBSTITUTE(PROPER(LOWER(C11))," ","")</f>
        <v/>
      </c>
      <c r="J11" t="inlineStr">
        <is>
          <t>(volume per time) per pressure</t>
        </is>
      </c>
    </row>
    <row r="12">
      <c r="B12" t="inlineStr">
        <is>
          <t>gDay</t>
        </is>
      </c>
      <c r="C12" t="inlineStr">
        <is>
          <t>angle per volume</t>
        </is>
      </c>
      <c r="E12">
        <f>VLOOKUP(C12,J$2:J$300,1,FALSE)</f>
        <v/>
      </c>
      <c r="F12">
        <f>SUBSTITUTE(PROPER(LOWER(C12))," ","")</f>
        <v/>
      </c>
      <c r="J12" t="inlineStr">
        <is>
          <t>(volume per time) per time</t>
        </is>
      </c>
    </row>
    <row r="13">
      <c r="B13" t="inlineStr">
        <is>
          <t>gMonth</t>
        </is>
      </c>
      <c r="C13" t="inlineStr">
        <is>
          <t>angular acceleration</t>
        </is>
      </c>
      <c r="E13">
        <f>VLOOKUP(C13,J$2:J$300,1,FALSE)</f>
        <v/>
      </c>
      <c r="F13">
        <f>SUBSTITUTE(PROPER(LOWER(C13))," ","")</f>
        <v/>
      </c>
      <c r="J13" t="inlineStr">
        <is>
          <t>(volume per time) per volume</t>
        </is>
      </c>
    </row>
    <row r="14">
      <c r="B14" t="inlineStr">
        <is>
          <t>gMonthDay</t>
        </is>
      </c>
      <c r="C14" t="inlineStr">
        <is>
          <t>angular velocity</t>
        </is>
      </c>
      <c r="E14">
        <f>VLOOKUP(C14,J$2:J$300,1,FALSE)</f>
        <v/>
      </c>
      <c r="F14">
        <f>SUBSTITUTE(PROPER(LOWER(C14))," ","")</f>
        <v/>
      </c>
      <c r="J14" t="inlineStr">
        <is>
          <t>API gamma ray</t>
        </is>
      </c>
    </row>
    <row r="15">
      <c r="B15" t="inlineStr">
        <is>
          <t>gYear</t>
        </is>
      </c>
      <c r="C15" t="inlineStr">
        <is>
          <t>api gamma ray</t>
        </is>
      </c>
      <c r="E15">
        <f>VLOOKUP(C15,J$2:J$300,1,FALSE)</f>
        <v/>
      </c>
      <c r="F15">
        <f>SUBSTITUTE(PROPER(LOWER(C15))," ","")</f>
        <v/>
      </c>
      <c r="J15" t="inlineStr">
        <is>
          <t>API gravity</t>
        </is>
      </c>
    </row>
    <row r="16">
      <c r="B16" t="inlineStr">
        <is>
          <t>gYearMonth</t>
        </is>
      </c>
      <c r="C16" t="inlineStr">
        <is>
          <t>api gravity</t>
        </is>
      </c>
      <c r="E16">
        <f>VLOOKUP(C16,J$2:J$300,1,FALSE)</f>
        <v/>
      </c>
      <c r="F16">
        <f>SUBSTITUTE(PROPER(LOWER(C16))," ","")</f>
        <v/>
      </c>
      <c r="J16" t="inlineStr">
        <is>
          <t>API neutron</t>
        </is>
      </c>
    </row>
    <row r="17">
      <c r="B17" t="inlineStr">
        <is>
          <t>hexBinary</t>
        </is>
      </c>
      <c r="C17" t="inlineStr">
        <is>
          <t>api neutron</t>
        </is>
      </c>
      <c r="E17">
        <f>VLOOKUP(C17,J$2:J$300,1,FALSE)</f>
        <v/>
      </c>
      <c r="F17">
        <f>SUBSTITUTE(PROPER(LOWER(C17))," ","")</f>
        <v/>
      </c>
      <c r="J17" t="inlineStr">
        <is>
          <t>absorbed dose</t>
        </is>
      </c>
    </row>
    <row r="18">
      <c r="B18" t="inlineStr">
        <is>
          <t>integer</t>
        </is>
      </c>
      <c r="C18" t="inlineStr">
        <is>
          <t>area</t>
        </is>
      </c>
      <c r="E18">
        <f>VLOOKUP(C18,J$2:J$300,1,FALSE)</f>
        <v/>
      </c>
      <c r="F18">
        <f>SUBSTITUTE(PROPER(LOWER(C18))," ","")</f>
        <v/>
      </c>
      <c r="J18" t="inlineStr">
        <is>
          <t>activity [of radioactivity]</t>
        </is>
      </c>
    </row>
    <row r="19">
      <c r="B19" t="inlineStr">
        <is>
          <t>language</t>
        </is>
      </c>
      <c r="C19" t="inlineStr">
        <is>
          <t>area per amount of substance</t>
        </is>
      </c>
      <c r="E19">
        <f>VLOOKUP(C19,J$2:J$300,1,FALSE)</f>
        <v/>
      </c>
      <c r="F19">
        <f>SUBSTITUTE(PROPER(LOWER(C19))," ","")</f>
        <v/>
      </c>
      <c r="J19" t="inlineStr">
        <is>
          <t>amount of substance</t>
        </is>
      </c>
    </row>
    <row r="20">
      <c r="B20" s="9" t="inlineStr">
        <is>
          <t>long</t>
        </is>
      </c>
      <c r="C20" t="inlineStr">
        <is>
          <t>area per area</t>
        </is>
      </c>
      <c r="E20">
        <f>VLOOKUP(C20,J$2:J$300,1,FALSE)</f>
        <v/>
      </c>
      <c r="F20">
        <f>SUBSTITUTE(PROPER(LOWER(C20))," ","")</f>
        <v/>
      </c>
      <c r="J20" t="inlineStr">
        <is>
          <t>amount of substance per amount of substance</t>
        </is>
      </c>
    </row>
    <row r="21">
      <c r="B21" t="inlineStr">
        <is>
          <t>negativeInteger</t>
        </is>
      </c>
      <c r="C21" t="inlineStr">
        <is>
          <t>area per count</t>
        </is>
      </c>
      <c r="D21" t="inlineStr">
        <is>
          <t>In EML schema but not in EML dictionary</t>
        </is>
      </c>
      <c r="E21">
        <f>VLOOKUP(C21,J$2:J$300,1,FALSE)</f>
        <v/>
      </c>
      <c r="F21">
        <f>SUBSTITUTE(PROPER(LOWER(C21))," ","")</f>
        <v/>
      </c>
      <c r="J21" t="inlineStr">
        <is>
          <t>amount of substance per area</t>
        </is>
      </c>
    </row>
    <row r="22">
      <c r="B22" t="inlineStr">
        <is>
          <t>nonNegativeInteger</t>
        </is>
      </c>
      <c r="C22" t="inlineStr">
        <is>
          <t>area per mass</t>
        </is>
      </c>
      <c r="E22">
        <f>VLOOKUP(C22,J$2:J$300,1,FALSE)</f>
        <v/>
      </c>
      <c r="F22">
        <f>SUBSTITUTE(PROPER(LOWER(C22))," ","")</f>
        <v/>
      </c>
      <c r="J22" t="inlineStr">
        <is>
          <t>amount of substance per time</t>
        </is>
      </c>
    </row>
    <row r="23">
      <c r="B23" t="inlineStr">
        <is>
          <t>nonPositiveInteger</t>
        </is>
      </c>
      <c r="C23" t="inlineStr">
        <is>
          <t>area per time</t>
        </is>
      </c>
      <c r="E23">
        <f>VLOOKUP(C23,J$2:J$300,1,FALSE)</f>
        <v/>
      </c>
      <c r="F23">
        <f>SUBSTITUTE(PROPER(LOWER(C23))," ","")</f>
        <v/>
      </c>
      <c r="J23" t="inlineStr">
        <is>
          <t>amount of substance per volume</t>
        </is>
      </c>
    </row>
    <row r="24">
      <c r="B24" t="inlineStr">
        <is>
          <t>normalizedString</t>
        </is>
      </c>
      <c r="C24" t="inlineStr">
        <is>
          <t>area per volume</t>
        </is>
      </c>
      <c r="E24">
        <f>VLOOKUP(C24,J$2:J$300,1,FALSE)</f>
        <v/>
      </c>
      <c r="F24">
        <f>SUBSTITUTE(PROPER(LOWER(C24))," ","")</f>
        <v/>
      </c>
      <c r="J24" t="inlineStr">
        <is>
          <t>angle per length</t>
        </is>
      </c>
    </row>
    <row r="25">
      <c r="B25" t="inlineStr">
        <is>
          <t>positiveInteger</t>
        </is>
      </c>
      <c r="C25" t="inlineStr">
        <is>
          <t>attenuation per frequency interval</t>
        </is>
      </c>
      <c r="E25">
        <f>VLOOKUP(C25,J$2:J$300,1,FALSE)</f>
        <v/>
      </c>
      <c r="F25">
        <f>SUBSTITUTE(PROPER(LOWER(C25))," ","")</f>
        <v/>
      </c>
      <c r="J25" t="inlineStr">
        <is>
          <t>angle per volume</t>
        </is>
      </c>
    </row>
    <row r="26">
      <c r="B26" t="inlineStr">
        <is>
          <t>short</t>
        </is>
      </c>
      <c r="C26" t="inlineStr">
        <is>
          <t>capacitance</t>
        </is>
      </c>
      <c r="E26">
        <f>VLOOKUP(C26,J$2:J$300,1,FALSE)</f>
        <v/>
      </c>
      <c r="F26">
        <f>SUBSTITUTE(PROPER(LOWER(C26))," ","")</f>
        <v/>
      </c>
      <c r="J26" t="inlineStr">
        <is>
          <t>angular acceleration</t>
        </is>
      </c>
    </row>
    <row r="27">
      <c r="B27" s="9" t="inlineStr">
        <is>
          <t>string</t>
        </is>
      </c>
      <c r="C27" t="inlineStr">
        <is>
          <t>data transfer speed</t>
        </is>
      </c>
      <c r="E27">
        <f>VLOOKUP(C27,J$2:J$300,1,FALSE)</f>
        <v/>
      </c>
      <c r="F27">
        <f>SUBSTITUTE(PROPER(LOWER(C27))," ","")</f>
        <v/>
      </c>
      <c r="J27" t="inlineStr">
        <is>
          <t>angular velocity</t>
        </is>
      </c>
    </row>
    <row r="28">
      <c r="B28" s="9" t="inlineStr">
        <is>
          <t>string</t>
        </is>
      </c>
      <c r="C28" t="inlineStr">
        <is>
          <t>diffusion coefficient</t>
        </is>
      </c>
      <c r="E28">
        <f>VLOOKUP(C28,J$2:J$300,1,FALSE)</f>
        <v/>
      </c>
      <c r="F28">
        <f>SUBSTITUTE(PROPER(LOWER(C28))," ","")</f>
        <v/>
      </c>
      <c r="J28" t="inlineStr">
        <is>
          <t>area</t>
        </is>
      </c>
    </row>
    <row r="29">
      <c r="B29" t="inlineStr">
        <is>
          <t>time</t>
        </is>
      </c>
      <c r="C29" t="inlineStr">
        <is>
          <t>diffusive time of flight</t>
        </is>
      </c>
      <c r="D29" t="inlineStr">
        <is>
          <t>In EML schema but not in EML dictionary</t>
        </is>
      </c>
      <c r="E29">
        <f>VLOOKUP(C29,J$2:J$300,1,FALSE)</f>
        <v/>
      </c>
      <c r="F29">
        <f>SUBSTITUTE(PROPER(LOWER(C29))," ","")</f>
        <v/>
      </c>
      <c r="J29" t="inlineStr">
        <is>
          <t>area per amount of substance</t>
        </is>
      </c>
    </row>
    <row r="30">
      <c r="B30" t="inlineStr">
        <is>
          <t>token</t>
        </is>
      </c>
      <c r="C30" t="inlineStr">
        <is>
          <t>digital storage</t>
        </is>
      </c>
      <c r="E30">
        <f>VLOOKUP(C30,J$2:J$300,1,FALSE)</f>
        <v/>
      </c>
      <c r="F30">
        <f>SUBSTITUTE(PROPER(LOWER(C30))," ","")</f>
        <v/>
      </c>
      <c r="J30" t="inlineStr">
        <is>
          <t>area per area</t>
        </is>
      </c>
    </row>
    <row r="31">
      <c r="B31" t="inlineStr">
        <is>
          <t>unsignedByte</t>
        </is>
      </c>
      <c r="C31" t="inlineStr">
        <is>
          <t>dimensionless</t>
        </is>
      </c>
      <c r="E31">
        <f>VLOOKUP(C31,J$2:J$300,1,FALSE)</f>
        <v/>
      </c>
      <c r="F31">
        <f>SUBSTITUTE(PROPER(LOWER(C31))," ","")</f>
        <v/>
      </c>
      <c r="J31" t="inlineStr">
        <is>
          <t>area per mass</t>
        </is>
      </c>
    </row>
    <row r="32">
      <c r="B32" t="inlineStr">
        <is>
          <t>unsignedInt</t>
        </is>
      </c>
      <c r="C32" t="inlineStr">
        <is>
          <t>dipole moment</t>
        </is>
      </c>
      <c r="E32">
        <f>VLOOKUP(C32,J$2:J$300,1,FALSE)</f>
        <v/>
      </c>
      <c r="F32">
        <f>SUBSTITUTE(PROPER(LOWER(C32))," ","")</f>
        <v/>
      </c>
      <c r="J32" t="inlineStr">
        <is>
          <t>area per time</t>
        </is>
      </c>
    </row>
    <row r="33">
      <c r="B33" t="inlineStr">
        <is>
          <t>unsignedLong</t>
        </is>
      </c>
      <c r="C33" t="inlineStr">
        <is>
          <t>dose equivalent</t>
        </is>
      </c>
      <c r="E33">
        <f>VLOOKUP(C33,J$2:J$300,1,FALSE)</f>
        <v/>
      </c>
      <c r="F33">
        <f>SUBSTITUTE(PROPER(LOWER(C33))," ","")</f>
        <v/>
      </c>
      <c r="J33" t="inlineStr">
        <is>
          <t>area per volume</t>
        </is>
      </c>
    </row>
    <row r="34">
      <c r="B34" t="inlineStr">
        <is>
          <t>unsignedShort</t>
        </is>
      </c>
      <c r="C34" t="inlineStr">
        <is>
          <t>dynamic viscosity</t>
        </is>
      </c>
      <c r="E34">
        <f>VLOOKUP(C34,J$2:J$300,1,FALSE)</f>
        <v/>
      </c>
      <c r="F34">
        <f>SUBSTITUTE(PROPER(LOWER(C34))," ","")</f>
        <v/>
      </c>
      <c r="J34" t="inlineStr">
        <is>
          <t>attenuation per frequency interval</t>
        </is>
      </c>
    </row>
    <row r="35">
      <c r="B35" s="9" t="inlineStr">
        <is>
          <t>vector</t>
        </is>
      </c>
      <c r="C35" t="inlineStr">
        <is>
          <t>electric charge</t>
        </is>
      </c>
      <c r="E35">
        <f>VLOOKUP(C35,J$2:J$300,1,FALSE)</f>
        <v/>
      </c>
      <c r="F35">
        <f>SUBSTITUTE(PROPER(LOWER(C35))," ","")</f>
        <v/>
      </c>
      <c r="J35" t="inlineStr">
        <is>
          <t>capacitance</t>
        </is>
      </c>
    </row>
    <row r="36">
      <c r="C36" t="inlineStr">
        <is>
          <t>electric charge per area</t>
        </is>
      </c>
      <c r="E36">
        <f>VLOOKUP(C36,J$2:J$300,1,FALSE)</f>
        <v/>
      </c>
      <c r="F36">
        <f>SUBSTITUTE(PROPER(LOWER(C36))," ","")</f>
        <v/>
      </c>
      <c r="J36" t="inlineStr">
        <is>
          <t>data transfer speed</t>
        </is>
      </c>
    </row>
    <row r="37">
      <c r="C37" t="inlineStr">
        <is>
          <t>electric charge per mass</t>
        </is>
      </c>
      <c r="E37">
        <f>VLOOKUP(C37,J$2:J$300,1,FALSE)</f>
        <v/>
      </c>
      <c r="F37">
        <f>SUBSTITUTE(PROPER(LOWER(C37))," ","")</f>
        <v/>
      </c>
      <c r="J37" t="inlineStr">
        <is>
          <t>diffusion coefficient</t>
        </is>
      </c>
    </row>
    <row r="38">
      <c r="C38" t="inlineStr">
        <is>
          <t>electric charge per volume</t>
        </is>
      </c>
      <c r="E38">
        <f>VLOOKUP(C38,J$2:J$300,1,FALSE)</f>
        <v/>
      </c>
      <c r="F38">
        <f>SUBSTITUTE(PROPER(LOWER(C38))," ","")</f>
        <v/>
      </c>
      <c r="J38" t="inlineStr">
        <is>
          <t>digital storage</t>
        </is>
      </c>
    </row>
    <row r="39">
      <c r="C39" t="inlineStr">
        <is>
          <t>electric conductance</t>
        </is>
      </c>
      <c r="E39">
        <f>VLOOKUP(C39,J$2:J$300,1,FALSE)</f>
        <v/>
      </c>
      <c r="F39">
        <f>SUBSTITUTE(PROPER(LOWER(C39))," ","")</f>
        <v/>
      </c>
      <c r="J39" t="inlineStr">
        <is>
          <t>dimensionless</t>
        </is>
      </c>
    </row>
    <row r="40">
      <c r="C40" t="inlineStr">
        <is>
          <t>electric conductivity</t>
        </is>
      </c>
      <c r="E40">
        <f>VLOOKUP(C40,J$2:J$300,1,FALSE)</f>
        <v/>
      </c>
      <c r="F40">
        <f>SUBSTITUTE(PROPER(LOWER(C40))," ","")</f>
        <v/>
      </c>
      <c r="J40" t="inlineStr">
        <is>
          <t>dipole moment</t>
        </is>
      </c>
    </row>
    <row r="41">
      <c r="C41" t="inlineStr">
        <is>
          <t>electric current</t>
        </is>
      </c>
      <c r="E41">
        <f>VLOOKUP(C41,J$2:J$300,1,FALSE)</f>
        <v/>
      </c>
      <c r="F41">
        <f>SUBSTITUTE(PROPER(LOWER(C41))," ","")</f>
        <v/>
      </c>
      <c r="J41" t="inlineStr">
        <is>
          <t>dose equivalent</t>
        </is>
      </c>
    </row>
    <row r="42">
      <c r="C42" t="inlineStr">
        <is>
          <t>electric current density</t>
        </is>
      </c>
      <c r="E42">
        <f>VLOOKUP(C42,J$2:J$300,1,FALSE)</f>
        <v/>
      </c>
      <c r="F42">
        <f>SUBSTITUTE(PROPER(LOWER(C42))," ","")</f>
        <v/>
      </c>
      <c r="J42" t="inlineStr">
        <is>
          <t>dynamic viscosity</t>
        </is>
      </c>
    </row>
    <row r="43">
      <c r="C43" t="inlineStr">
        <is>
          <t>electric field strength</t>
        </is>
      </c>
      <c r="E43">
        <f>VLOOKUP(C43,J$2:J$300,1,FALSE)</f>
        <v/>
      </c>
      <c r="F43">
        <f>SUBSTITUTE(PROPER(LOWER(C43))," ","")</f>
        <v/>
      </c>
      <c r="J43" t="inlineStr">
        <is>
          <t>electric charge</t>
        </is>
      </c>
    </row>
    <row r="44">
      <c r="C44" t="inlineStr">
        <is>
          <t>electric potential difference</t>
        </is>
      </c>
      <c r="E44">
        <f>VLOOKUP(C44,J$2:J$300,1,FALSE)</f>
        <v/>
      </c>
      <c r="F44">
        <f>SUBSTITUTE(PROPER(LOWER(C44))," ","")</f>
        <v/>
      </c>
      <c r="J44" t="inlineStr">
        <is>
          <t>electric charge per area</t>
        </is>
      </c>
    </row>
    <row r="45">
      <c r="C45" t="inlineStr">
        <is>
          <t>electric resistance</t>
        </is>
      </c>
      <c r="E45">
        <f>VLOOKUP(C45,J$2:J$300,1,FALSE)</f>
        <v/>
      </c>
      <c r="F45">
        <f>SUBSTITUTE(PROPER(LOWER(C45))," ","")</f>
        <v/>
      </c>
      <c r="J45" t="inlineStr">
        <is>
          <t>electric charge per mass</t>
        </is>
      </c>
    </row>
    <row r="46">
      <c r="C46" t="inlineStr">
        <is>
          <t>electric resistance per length</t>
        </is>
      </c>
      <c r="E46">
        <f>VLOOKUP(C46,J$2:J$300,1,FALSE)</f>
        <v/>
      </c>
      <c r="F46">
        <f>SUBSTITUTE(PROPER(LOWER(C46))," ","")</f>
        <v/>
      </c>
      <c r="J46" t="inlineStr">
        <is>
          <t>electric charge per volume</t>
        </is>
      </c>
    </row>
    <row r="47">
      <c r="C47" t="inlineStr">
        <is>
          <t>electrical resistivity</t>
        </is>
      </c>
      <c r="E47">
        <f>VLOOKUP(C47,J$2:J$300,1,FALSE)</f>
        <v/>
      </c>
      <c r="F47">
        <f>SUBSTITUTE(PROPER(LOWER(C47))," ","")</f>
        <v/>
      </c>
      <c r="J47" t="inlineStr">
        <is>
          <t>electric conductance</t>
        </is>
      </c>
    </row>
    <row r="48">
      <c r="C48" t="inlineStr">
        <is>
          <t>electromagnetic moment</t>
        </is>
      </c>
      <c r="E48">
        <f>VLOOKUP(C48,J$2:J$300,1,FALSE)</f>
        <v/>
      </c>
      <c r="F48">
        <f>SUBSTITUTE(PROPER(LOWER(C48))," ","")</f>
        <v/>
      </c>
      <c r="J48" t="inlineStr">
        <is>
          <t>electric conductivity</t>
        </is>
      </c>
    </row>
    <row r="49">
      <c r="C49" t="inlineStr">
        <is>
          <t>energy</t>
        </is>
      </c>
      <c r="E49">
        <f>VLOOKUP(C49,J$2:J$300,1,FALSE)</f>
        <v/>
      </c>
      <c r="F49">
        <f>SUBSTITUTE(PROPER(LOWER(C49))," ","")</f>
        <v/>
      </c>
      <c r="J49" t="inlineStr">
        <is>
          <t>electric current</t>
        </is>
      </c>
    </row>
    <row r="50">
      <c r="C50" t="inlineStr">
        <is>
          <t>energy length per area</t>
        </is>
      </c>
      <c r="E50">
        <f>VLOOKUP(C50,J$2:J$300,1,FALSE)</f>
        <v/>
      </c>
      <c r="F50">
        <f>SUBSTITUTE(PROPER(LOWER(C50))," ","")</f>
        <v/>
      </c>
      <c r="J50" t="inlineStr">
        <is>
          <t>electric current density</t>
        </is>
      </c>
    </row>
    <row r="51">
      <c r="C51" t="inlineStr">
        <is>
          <t>energy length per time area temperature</t>
        </is>
      </c>
      <c r="E51">
        <f>VLOOKUP(C51,J$2:J$300,1,FALSE)</f>
        <v/>
      </c>
      <c r="F51">
        <f>SUBSTITUTE(PROPER(LOWER(C51))," ","")</f>
        <v/>
      </c>
      <c r="J51" t="inlineStr">
        <is>
          <t>electric field strength</t>
        </is>
      </c>
    </row>
    <row r="52">
      <c r="C52" t="inlineStr">
        <is>
          <t>energy per area</t>
        </is>
      </c>
      <c r="E52">
        <f>VLOOKUP(C52,J$2:J$300,1,FALSE)</f>
        <v/>
      </c>
      <c r="F52">
        <f>SUBSTITUTE(PROPER(LOWER(C52))," ","")</f>
        <v/>
      </c>
      <c r="J52" t="inlineStr">
        <is>
          <t>electric potential difference</t>
        </is>
      </c>
    </row>
    <row r="53">
      <c r="C53" t="inlineStr">
        <is>
          <t>energy per length</t>
        </is>
      </c>
      <c r="E53">
        <f>VLOOKUP(C53,J$2:J$300,1,FALSE)</f>
        <v/>
      </c>
      <c r="F53">
        <f>SUBSTITUTE(PROPER(LOWER(C53))," ","")</f>
        <v/>
      </c>
      <c r="J53" t="inlineStr">
        <is>
          <t>electric resistance</t>
        </is>
      </c>
    </row>
    <row r="54">
      <c r="C54" t="inlineStr">
        <is>
          <t>energy per mass</t>
        </is>
      </c>
      <c r="E54">
        <f>VLOOKUP(C54,J$2:J$300,1,FALSE)</f>
        <v/>
      </c>
      <c r="F54">
        <f>SUBSTITUTE(PROPER(LOWER(C54))," ","")</f>
        <v/>
      </c>
      <c r="J54" t="inlineStr">
        <is>
          <t>electric resistance per length</t>
        </is>
      </c>
    </row>
    <row r="55">
      <c r="C55" t="inlineStr">
        <is>
          <t>(energy per mass) per time</t>
        </is>
      </c>
      <c r="E55">
        <f>VLOOKUP(C55,J$2:J$300,1,FALSE)</f>
        <v/>
      </c>
      <c r="F55">
        <f>SUBSTITUTE(PROPER(LOWER(C55))," ","")</f>
        <v/>
      </c>
      <c r="J55" t="inlineStr">
        <is>
          <t>electrical resistivity</t>
        </is>
      </c>
    </row>
    <row r="56">
      <c r="C56" t="inlineStr">
        <is>
          <t>energy per volume</t>
        </is>
      </c>
      <c r="E56">
        <f>VLOOKUP(C56,J$2:J$300,1,FALSE)</f>
        <v/>
      </c>
      <c r="F56">
        <f>SUBSTITUTE(PROPER(LOWER(C56))," ","")</f>
        <v/>
      </c>
      <c r="J56" t="inlineStr">
        <is>
          <t>electromagnetic moment</t>
        </is>
      </c>
    </row>
    <row r="57">
      <c r="C57" t="inlineStr">
        <is>
          <t>force</t>
        </is>
      </c>
      <c r="E57">
        <f>VLOOKUP(C57,J$2:J$300,1,FALSE)</f>
        <v/>
      </c>
      <c r="F57">
        <f>SUBSTITUTE(PROPER(LOWER(C57))," ","")</f>
        <v/>
      </c>
      <c r="J57" t="inlineStr">
        <is>
          <t>energy</t>
        </is>
      </c>
    </row>
    <row r="58">
      <c r="C58" t="inlineStr">
        <is>
          <t>force area</t>
        </is>
      </c>
      <c r="E58">
        <f>VLOOKUP(C58,J$2:J$300,1,FALSE)</f>
        <v/>
      </c>
      <c r="F58">
        <f>SUBSTITUTE(PROPER(LOWER(C58))," ","")</f>
        <v/>
      </c>
      <c r="J58" t="inlineStr">
        <is>
          <t>energy length per area</t>
        </is>
      </c>
    </row>
    <row r="59">
      <c r="C59" t="inlineStr">
        <is>
          <t>force length per length</t>
        </is>
      </c>
      <c r="E59">
        <f>VLOOKUP(C59,J$2:J$300,1,FALSE)</f>
        <v/>
      </c>
      <c r="F59">
        <f>SUBSTITUTE(PROPER(LOWER(C59))," ","")</f>
        <v/>
      </c>
      <c r="J59" t="inlineStr">
        <is>
          <t>energy length per time area temperature</t>
        </is>
      </c>
    </row>
    <row r="60">
      <c r="C60" t="inlineStr">
        <is>
          <t>force or mass per volume</t>
        </is>
      </c>
      <c r="D60" t="inlineStr">
        <is>
          <t>use for geotechnical densities</t>
        </is>
      </c>
      <c r="E60">
        <f>VLOOKUP(C60,J$2:J$300,1,FALSE)</f>
        <v/>
      </c>
      <c r="F60">
        <f>SUBSTITUTE(PROPER(LOWER(C60))," ","")</f>
        <v/>
      </c>
      <c r="J60" t="inlineStr">
        <is>
          <t>energy per area</t>
        </is>
      </c>
    </row>
    <row r="61">
      <c r="C61" t="inlineStr">
        <is>
          <t>force per force</t>
        </is>
      </c>
      <c r="E61">
        <f>VLOOKUP(C61,J$2:J$300,1,FALSE)</f>
        <v/>
      </c>
      <c r="F61">
        <f>SUBSTITUTE(PROPER(LOWER(C61))," ","")</f>
        <v/>
      </c>
      <c r="J61" t="inlineStr">
        <is>
          <t>energy per length</t>
        </is>
      </c>
    </row>
    <row r="62">
      <c r="C62" t="inlineStr">
        <is>
          <t>force per length</t>
        </is>
      </c>
      <c r="E62">
        <f>VLOOKUP(C62,J$2:J$300,1,FALSE)</f>
        <v/>
      </c>
      <c r="F62">
        <f>SUBSTITUTE(PROPER(LOWER(C62))," ","")</f>
        <v/>
      </c>
      <c r="J62" t="inlineStr">
        <is>
          <t>energy per mass</t>
        </is>
      </c>
    </row>
    <row r="63">
      <c r="C63" t="inlineStr">
        <is>
          <t>force per volume</t>
        </is>
      </c>
      <c r="E63">
        <f>VLOOKUP(C63,J$2:J$300,1,FALSE)</f>
        <v/>
      </c>
      <c r="F63">
        <f>SUBSTITUTE(PROPER(LOWER(C63))," ","")</f>
        <v/>
      </c>
      <c r="J63" t="inlineStr">
        <is>
          <t>energy per volume</t>
        </is>
      </c>
    </row>
    <row r="64">
      <c r="C64" t="inlineStr">
        <is>
          <t>frequency</t>
        </is>
      </c>
      <c r="E64">
        <f>VLOOKUP(C64,J$2:J$300,1,FALSE)</f>
        <v/>
      </c>
      <c r="F64">
        <f>SUBSTITUTE(PROPER(LOWER(C64))," ","")</f>
        <v/>
      </c>
      <c r="J64" t="inlineStr">
        <is>
          <t>force</t>
        </is>
      </c>
    </row>
    <row r="65">
      <c r="C65" t="inlineStr">
        <is>
          <t>frequency interval</t>
        </is>
      </c>
      <c r="E65">
        <f>VLOOKUP(C65,J$2:J$300,1,FALSE)</f>
        <v/>
      </c>
      <c r="F65">
        <f>SUBSTITUTE(PROPER(LOWER(C65))," ","")</f>
        <v/>
      </c>
      <c r="J65" t="inlineStr">
        <is>
          <t>force area</t>
        </is>
      </c>
    </row>
    <row r="66">
      <c r="C66" t="inlineStr">
        <is>
          <t>gravitational gradient</t>
        </is>
      </c>
      <c r="D66" t="inlineStr">
        <is>
          <t>use for gravity gradients</t>
        </is>
      </c>
      <c r="E66">
        <f>VLOOKUP(C66,J$2:J$300,1,FALSE)</f>
        <v/>
      </c>
      <c r="F66">
        <f>SUBSTITUTE(PROPER(LOWER(C66))," ","")</f>
        <v/>
      </c>
      <c r="J66" t="inlineStr">
        <is>
          <t>force length per length</t>
        </is>
      </c>
    </row>
    <row r="67">
      <c r="C67" t="inlineStr">
        <is>
          <t>heat capacity</t>
        </is>
      </c>
      <c r="E67">
        <f>VLOOKUP(C67,J$2:J$300,1,FALSE)</f>
        <v/>
      </c>
      <c r="F67">
        <f>SUBSTITUTE(PROPER(LOWER(C67))," ","")</f>
        <v/>
      </c>
      <c r="J67" t="inlineStr">
        <is>
          <t>force per force</t>
        </is>
      </c>
    </row>
    <row r="68">
      <c r="C68" t="inlineStr">
        <is>
          <t>heat flow rate</t>
        </is>
      </c>
      <c r="E68">
        <f>VLOOKUP(C68,J$2:J$300,1,FALSE)</f>
        <v/>
      </c>
      <c r="F68">
        <f>SUBSTITUTE(PROPER(LOWER(C68))," ","")</f>
        <v/>
      </c>
      <c r="J68" t="inlineStr">
        <is>
          <t>force per length</t>
        </is>
      </c>
    </row>
    <row r="69">
      <c r="C69" t="inlineStr">
        <is>
          <t>heat transfer coefficient</t>
        </is>
      </c>
      <c r="E69">
        <f>VLOOKUP(C69,J$2:J$300,1,FALSE)</f>
        <v/>
      </c>
      <c r="F69">
        <f>SUBSTITUTE(PROPER(LOWER(C69))," ","")</f>
        <v/>
      </c>
      <c r="J69" t="inlineStr">
        <is>
          <t>force per volume</t>
        </is>
      </c>
    </row>
    <row r="70">
      <c r="C70" t="inlineStr">
        <is>
          <t>illuminance</t>
        </is>
      </c>
      <c r="E70">
        <f>VLOOKUP(C70,J$2:J$300,1,FALSE)</f>
        <v/>
      </c>
      <c r="F70">
        <f>SUBSTITUTE(PROPER(LOWER(C70))," ","")</f>
        <v/>
      </c>
      <c r="J70" t="inlineStr">
        <is>
          <t>frequency</t>
        </is>
      </c>
    </row>
    <row r="71">
      <c r="C71" t="inlineStr">
        <is>
          <t>inductance</t>
        </is>
      </c>
      <c r="E71">
        <f>VLOOKUP(C71,J$2:J$300,1,FALSE)</f>
        <v/>
      </c>
      <c r="F71">
        <f>SUBSTITUTE(PROPER(LOWER(C71))," ","")</f>
        <v/>
      </c>
      <c r="J71" t="inlineStr">
        <is>
          <t>frequency interval</t>
        </is>
      </c>
    </row>
    <row r="72">
      <c r="C72" t="inlineStr">
        <is>
          <t>isothermal compressibility</t>
        </is>
      </c>
      <c r="E72">
        <f>VLOOKUP(C72,J$2:J$300,1,FALSE)</f>
        <v/>
      </c>
      <c r="F72">
        <f>SUBSTITUTE(PROPER(LOWER(C72))," ","")</f>
        <v/>
      </c>
      <c r="J72" t="inlineStr">
        <is>
          <t>heat capacity</t>
        </is>
      </c>
    </row>
    <row r="73">
      <c r="C73" t="inlineStr">
        <is>
          <t>kinematic viscosity</t>
        </is>
      </c>
      <c r="E73">
        <f>VLOOKUP(C73,J$2:J$300,1,FALSE)</f>
        <v/>
      </c>
      <c r="F73">
        <f>SUBSTITUTE(PROPER(LOWER(C73))," ","")</f>
        <v/>
      </c>
      <c r="J73" t="inlineStr">
        <is>
          <t>heat flow rate</t>
        </is>
      </c>
    </row>
    <row r="74">
      <c r="C74" t="inlineStr">
        <is>
          <t>length</t>
        </is>
      </c>
      <c r="E74">
        <f>VLOOKUP(C74,J$2:J$300,1,FALSE)</f>
        <v/>
      </c>
      <c r="F74">
        <f>SUBSTITUTE(PROPER(LOWER(C74))," ","")</f>
        <v/>
      </c>
      <c r="J74" t="inlineStr">
        <is>
          <t>heat transfer coefficient</t>
        </is>
      </c>
    </row>
    <row r="75">
      <c r="C75" t="inlineStr">
        <is>
          <t>length per length</t>
        </is>
      </c>
      <c r="E75">
        <f>VLOOKUP(C75,J$2:J$300,1,FALSE)</f>
        <v/>
      </c>
      <c r="F75">
        <f>SUBSTITUTE(PROPER(LOWER(C75))," ","")</f>
        <v/>
      </c>
      <c r="J75" t="inlineStr">
        <is>
          <t>illuminance</t>
        </is>
      </c>
    </row>
    <row r="76">
      <c r="C76" t="inlineStr">
        <is>
          <t>length per mass</t>
        </is>
      </c>
      <c r="E76">
        <f>VLOOKUP(C76,J$2:J$300,1,FALSE)</f>
        <v/>
      </c>
      <c r="F76">
        <f>SUBSTITUTE(PROPER(LOWER(C76))," ","")</f>
        <v/>
      </c>
      <c r="J76" t="inlineStr">
        <is>
          <t>inductance</t>
        </is>
      </c>
    </row>
    <row r="77">
      <c r="C77" t="inlineStr">
        <is>
          <t>length per pressure</t>
        </is>
      </c>
      <c r="E77">
        <f>VLOOKUP(C77,J$2:J$300,1,FALSE)</f>
        <v/>
      </c>
      <c r="F77">
        <f>SUBSTITUTE(PROPER(LOWER(C77))," ","")</f>
        <v/>
      </c>
      <c r="J77" t="inlineStr">
        <is>
          <t>isothermal compressibility</t>
        </is>
      </c>
    </row>
    <row r="78">
      <c r="C78" t="inlineStr">
        <is>
          <t>length per temperature</t>
        </is>
      </c>
      <c r="E78">
        <f>VLOOKUP(C78,J$2:J$300,1,FALSE)</f>
        <v/>
      </c>
      <c r="F78">
        <f>SUBSTITUTE(PROPER(LOWER(C78))," ","")</f>
        <v/>
      </c>
      <c r="J78" t="inlineStr">
        <is>
          <t>kinematic viscosity</t>
        </is>
      </c>
    </row>
    <row r="79">
      <c r="C79" t="inlineStr">
        <is>
          <t>length per time</t>
        </is>
      </c>
      <c r="E79">
        <f>VLOOKUP(C79,J$2:J$300,1,FALSE)</f>
        <v/>
      </c>
      <c r="F79">
        <f>SUBSTITUTE(PROPER(LOWER(C79))," ","")</f>
        <v/>
      </c>
      <c r="J79" t="inlineStr">
        <is>
          <t>length</t>
        </is>
      </c>
    </row>
    <row r="80">
      <c r="C80" t="inlineStr">
        <is>
          <t>length per volume</t>
        </is>
      </c>
      <c r="E80">
        <f>VLOOKUP(C80,J$2:J$300,1,FALSE)</f>
        <v/>
      </c>
      <c r="F80">
        <f>SUBSTITUTE(PROPER(LOWER(C80))," ","")</f>
        <v/>
      </c>
      <c r="J80" t="inlineStr">
        <is>
          <t>length per length</t>
        </is>
      </c>
    </row>
    <row r="81">
      <c r="C81" t="inlineStr">
        <is>
          <t>light exposure</t>
        </is>
      </c>
      <c r="E81">
        <f>VLOOKUP(C81,J$2:J$300,1,FALSE)</f>
        <v/>
      </c>
      <c r="F81">
        <f>SUBSTITUTE(PROPER(LOWER(C81))," ","")</f>
        <v/>
      </c>
      <c r="J81" t="inlineStr">
        <is>
          <t>length per mass</t>
        </is>
      </c>
    </row>
    <row r="82">
      <c r="C82" t="inlineStr">
        <is>
          <t>linear acceleration</t>
        </is>
      </c>
      <c r="E82">
        <f>VLOOKUP(C82,J$2:J$300,1,FALSE)</f>
        <v/>
      </c>
      <c r="F82">
        <f>SUBSTITUTE(PROPER(LOWER(C82))," ","")</f>
        <v/>
      </c>
      <c r="J82" t="inlineStr">
        <is>
          <t>length per pressure</t>
        </is>
      </c>
    </row>
    <row r="83">
      <c r="C83" t="inlineStr">
        <is>
          <t>linear thermal expansion</t>
        </is>
      </c>
      <c r="E83">
        <f>VLOOKUP(C83,J$2:J$300,1,FALSE)</f>
        <v/>
      </c>
      <c r="F83">
        <f>SUBSTITUTE(PROPER(LOWER(C83))," ","")</f>
        <v/>
      </c>
      <c r="J83" t="inlineStr">
        <is>
          <t>length per temperature</t>
        </is>
      </c>
    </row>
    <row r="84">
      <c r="C84" t="inlineStr">
        <is>
          <t>logarithmic power ratio</t>
        </is>
      </c>
      <c r="E84">
        <f>VLOOKUP(C84,J$2:J$300,1,FALSE)</f>
        <v/>
      </c>
      <c r="F84">
        <f>SUBSTITUTE(PROPER(LOWER(C84))," ","")</f>
        <v/>
      </c>
      <c r="J84" t="inlineStr">
        <is>
          <t>length per time</t>
        </is>
      </c>
    </row>
    <row r="85">
      <c r="C85" t="inlineStr">
        <is>
          <t>logarithmic power ratio per length</t>
        </is>
      </c>
      <c r="E85">
        <f>VLOOKUP(C85,J$2:J$300,1,FALSE)</f>
        <v/>
      </c>
      <c r="F85">
        <f>SUBSTITUTE(PROPER(LOWER(C85))," ","")</f>
        <v/>
      </c>
      <c r="J85" t="inlineStr">
        <is>
          <t>length per volume</t>
        </is>
      </c>
    </row>
    <row r="86">
      <c r="C86" t="inlineStr">
        <is>
          <t>luminance</t>
        </is>
      </c>
      <c r="E86">
        <f>VLOOKUP(C86,J$2:J$300,1,FALSE)</f>
        <v/>
      </c>
      <c r="F86">
        <f>SUBSTITUTE(PROPER(LOWER(C86))," ","")</f>
        <v/>
      </c>
      <c r="J86" t="inlineStr">
        <is>
          <t>light exposure</t>
        </is>
      </c>
    </row>
    <row r="87">
      <c r="C87" t="inlineStr">
        <is>
          <t>luminous efficacy</t>
        </is>
      </c>
      <c r="E87">
        <f>VLOOKUP(C87,J$2:J$300,1,FALSE)</f>
        <v/>
      </c>
      <c r="F87">
        <f>SUBSTITUTE(PROPER(LOWER(C87))," ","")</f>
        <v/>
      </c>
      <c r="J87" t="inlineStr">
        <is>
          <t>linear acceleration</t>
        </is>
      </c>
    </row>
    <row r="88">
      <c r="C88" t="inlineStr">
        <is>
          <t>luminous flux</t>
        </is>
      </c>
      <c r="E88">
        <f>VLOOKUP(C88,J$2:J$300,1,FALSE)</f>
        <v/>
      </c>
      <c r="F88">
        <f>SUBSTITUTE(PROPER(LOWER(C88))," ","")</f>
        <v/>
      </c>
      <c r="J88" t="inlineStr">
        <is>
          <t>linear thermal expansion</t>
        </is>
      </c>
    </row>
    <row r="89">
      <c r="C89" t="inlineStr">
        <is>
          <t>luminous intensity</t>
        </is>
      </c>
      <c r="E89">
        <f>VLOOKUP(C89,J$2:J$300,1,FALSE)</f>
        <v/>
      </c>
      <c r="F89">
        <f>SUBSTITUTE(PROPER(LOWER(C89))," ","")</f>
        <v/>
      </c>
      <c r="J89" t="inlineStr">
        <is>
          <t>logarithmic power ratio</t>
        </is>
      </c>
    </row>
    <row r="90">
      <c r="C90" t="inlineStr">
        <is>
          <t>magnetic dipole moment</t>
        </is>
      </c>
      <c r="E90">
        <f>VLOOKUP(C90,J$2:J$300,1,FALSE)</f>
        <v/>
      </c>
      <c r="F90">
        <f>SUBSTITUTE(PROPER(LOWER(C90))," ","")</f>
        <v/>
      </c>
      <c r="J90" t="inlineStr">
        <is>
          <t>logarithmic power ratio per length</t>
        </is>
      </c>
    </row>
    <row r="91">
      <c r="C91" t="inlineStr">
        <is>
          <t>magnetic field strength</t>
        </is>
      </c>
      <c r="E91">
        <f>VLOOKUP(C91,J$2:J$300,1,FALSE)</f>
        <v/>
      </c>
      <c r="F91">
        <f>SUBSTITUTE(PROPER(LOWER(C91))," ","")</f>
        <v/>
      </c>
      <c r="J91" t="inlineStr">
        <is>
          <t>luminance</t>
        </is>
      </c>
    </row>
    <row r="92">
      <c r="C92" t="inlineStr">
        <is>
          <t>magnetic flux</t>
        </is>
      </c>
      <c r="E92">
        <f>VLOOKUP(C92,J$2:J$300,1,FALSE)</f>
        <v/>
      </c>
      <c r="F92">
        <f>SUBSTITUTE(PROPER(LOWER(C92))," ","")</f>
        <v/>
      </c>
      <c r="J92" t="inlineStr">
        <is>
          <t>luminous efficacy</t>
        </is>
      </c>
    </row>
    <row r="93">
      <c r="C93" t="inlineStr">
        <is>
          <t>magnetic flux density</t>
        </is>
      </c>
      <c r="E93">
        <f>VLOOKUP(C93,J$2:J$300,1,FALSE)</f>
        <v/>
      </c>
      <c r="F93">
        <f>SUBSTITUTE(PROPER(LOWER(C93))," ","")</f>
        <v/>
      </c>
      <c r="J93" t="inlineStr">
        <is>
          <t>luminous flux</t>
        </is>
      </c>
    </row>
    <row r="94">
      <c r="C94" t="inlineStr">
        <is>
          <t>magnetic flux density per length</t>
        </is>
      </c>
      <c r="E94">
        <f>VLOOKUP(C94,J$2:J$300,1,FALSE)</f>
        <v/>
      </c>
      <c r="F94">
        <f>SUBSTITUTE(PROPER(LOWER(C94))," ","")</f>
        <v/>
      </c>
      <c r="J94" t="inlineStr">
        <is>
          <t>luminous intensity</t>
        </is>
      </c>
    </row>
    <row r="95">
      <c r="C95" t="inlineStr">
        <is>
          <t>magnetic permeability</t>
        </is>
      </c>
      <c r="E95">
        <f>VLOOKUP(C95,J$2:J$300,1,FALSE)</f>
        <v/>
      </c>
      <c r="F95">
        <f>SUBSTITUTE(PROPER(LOWER(C95))," ","")</f>
        <v/>
      </c>
      <c r="J95" t="inlineStr">
        <is>
          <t>magnetic dipole moment</t>
        </is>
      </c>
    </row>
    <row r="96">
      <c r="C96" t="inlineStr">
        <is>
          <t>magnetic vector potential</t>
        </is>
      </c>
      <c r="E96">
        <f>VLOOKUP(C96,J$2:J$300,1,FALSE)</f>
        <v/>
      </c>
      <c r="F96">
        <f>SUBSTITUTE(PROPER(LOWER(C96))," ","")</f>
        <v/>
      </c>
      <c r="J96" t="inlineStr">
        <is>
          <t>magnetic field strength</t>
        </is>
      </c>
    </row>
    <row r="97">
      <c r="C97" t="inlineStr">
        <is>
          <t>mass</t>
        </is>
      </c>
      <c r="E97">
        <f>VLOOKUP(C97,J$2:J$300,1,FALSE)</f>
        <v/>
      </c>
      <c r="F97">
        <f>SUBSTITUTE(PROPER(LOWER(C97))," ","")</f>
        <v/>
      </c>
      <c r="J97" t="inlineStr">
        <is>
          <t>magnetic flux</t>
        </is>
      </c>
    </row>
    <row r="98">
      <c r="C98" t="inlineStr">
        <is>
          <t>mass length</t>
        </is>
      </c>
      <c r="E98">
        <f>VLOOKUP(C98,J$2:J$300,1,FALSE)</f>
        <v/>
      </c>
      <c r="F98">
        <f>SUBSTITUTE(PROPER(LOWER(C98))," ","")</f>
        <v/>
      </c>
      <c r="J98" t="inlineStr">
        <is>
          <t>magnetic flux density</t>
        </is>
      </c>
    </row>
    <row r="99">
      <c r="C99" t="inlineStr">
        <is>
          <t>mass per area</t>
        </is>
      </c>
      <c r="E99">
        <f>VLOOKUP(C99,J$2:J$300,1,FALSE)</f>
        <v/>
      </c>
      <c r="F99">
        <f>SUBSTITUTE(PROPER(LOWER(C99))," ","")</f>
        <v/>
      </c>
      <c r="J99" t="inlineStr">
        <is>
          <t>magnetic flux density per length</t>
        </is>
      </c>
    </row>
    <row r="100">
      <c r="C100" t="inlineStr">
        <is>
          <t>mass per energy</t>
        </is>
      </c>
      <c r="E100">
        <f>VLOOKUP(C100,J$2:J$300,1,FALSE)</f>
        <v/>
      </c>
      <c r="F100">
        <f>SUBSTITUTE(PROPER(LOWER(C100))," ","")</f>
        <v/>
      </c>
      <c r="J100" t="inlineStr">
        <is>
          <t>magnetic permeability</t>
        </is>
      </c>
    </row>
    <row r="101">
      <c r="C101" t="inlineStr">
        <is>
          <t>mass per length</t>
        </is>
      </c>
      <c r="E101">
        <f>VLOOKUP(C101,J$2:J$300,1,FALSE)</f>
        <v/>
      </c>
      <c r="F101">
        <f>SUBSTITUTE(PROPER(LOWER(C101))," ","")</f>
        <v/>
      </c>
      <c r="J101" t="inlineStr">
        <is>
          <t>magnetic vector potential</t>
        </is>
      </c>
    </row>
    <row r="102">
      <c r="C102" t="inlineStr">
        <is>
          <t>mass per mass</t>
        </is>
      </c>
      <c r="E102">
        <f>VLOOKUP(C102,J$2:J$300,1,FALSE)</f>
        <v/>
      </c>
      <c r="F102">
        <f>SUBSTITUTE(PROPER(LOWER(C102))," ","")</f>
        <v/>
      </c>
      <c r="J102" t="inlineStr">
        <is>
          <t>mass</t>
        </is>
      </c>
    </row>
    <row r="103">
      <c r="C103" t="inlineStr">
        <is>
          <t>mass per time</t>
        </is>
      </c>
      <c r="E103">
        <f>VLOOKUP(C103,J$2:J$300,1,FALSE)</f>
        <v/>
      </c>
      <c r="F103">
        <f>SUBSTITUTE(PROPER(LOWER(C103))," ","")</f>
        <v/>
      </c>
      <c r="J103" t="inlineStr">
        <is>
          <t>mass length</t>
        </is>
      </c>
    </row>
    <row r="104">
      <c r="C104" t="inlineStr">
        <is>
          <t>(mass per time) per area</t>
        </is>
      </c>
      <c r="E104">
        <f>VLOOKUP(C104,J$2:J$300,1,FALSE)</f>
        <v/>
      </c>
      <c r="F104">
        <f>SUBSTITUTE(PROPER(LOWER(C104))," ","")</f>
        <v/>
      </c>
      <c r="J104" t="inlineStr">
        <is>
          <t>mass per area</t>
        </is>
      </c>
    </row>
    <row r="105">
      <c r="C105" t="inlineStr">
        <is>
          <t>(mass per time) per length</t>
        </is>
      </c>
      <c r="E105">
        <f>VLOOKUP(C105,J$2:J$300,1,FALSE)</f>
        <v/>
      </c>
      <c r="F105">
        <f>SUBSTITUTE(PROPER(LOWER(C105))," ","")</f>
        <v/>
      </c>
      <c r="J105" t="inlineStr">
        <is>
          <t>mass per energy</t>
        </is>
      </c>
    </row>
    <row r="106">
      <c r="C106" t="inlineStr">
        <is>
          <t>mass per volume</t>
        </is>
      </c>
      <c r="E106">
        <f>VLOOKUP(C106,J$2:J$300,1,FALSE)</f>
        <v/>
      </c>
      <c r="F106">
        <f>SUBSTITUTE(PROPER(LOWER(C106))," ","")</f>
        <v/>
      </c>
      <c r="J106" t="inlineStr">
        <is>
          <t>mass per length</t>
        </is>
      </c>
    </row>
    <row r="107">
      <c r="C107" t="inlineStr">
        <is>
          <t>(mass per volume) per length</t>
        </is>
      </c>
      <c r="E107">
        <f>VLOOKUP(C107,J$2:J$300,1,FALSE)</f>
        <v/>
      </c>
      <c r="F107">
        <f>SUBSTITUTE(PROPER(LOWER(C107))," ","")</f>
        <v/>
      </c>
      <c r="J107" t="inlineStr">
        <is>
          <t>mass per mass</t>
        </is>
      </c>
    </row>
    <row r="108">
      <c r="C108" t="inlineStr">
        <is>
          <t>(mass per volume) per pressure</t>
        </is>
      </c>
      <c r="D108" t="inlineStr">
        <is>
          <t>In EML schema but not in EML dictionary</t>
        </is>
      </c>
      <c r="E108">
        <f>VLOOKUP(C108,J$2:J$300,1,FALSE)</f>
        <v/>
      </c>
      <c r="F108">
        <f>SUBSTITUTE(PROPER(LOWER(C108))," ","")</f>
        <v/>
      </c>
      <c r="J108" t="inlineStr">
        <is>
          <t>mass per time</t>
        </is>
      </c>
    </row>
    <row r="109">
      <c r="C109" t="inlineStr">
        <is>
          <t>(mass per volume) per temperature</t>
        </is>
      </c>
      <c r="D109" t="inlineStr">
        <is>
          <t>In EML schema but not in EML dictionary</t>
        </is>
      </c>
      <c r="E109">
        <f>VLOOKUP(C109,J$2:J$300,1,FALSE)</f>
        <v/>
      </c>
      <c r="F109">
        <f>SUBSTITUTE(PROPER(LOWER(C109))," ","")</f>
        <v/>
      </c>
      <c r="J109" t="inlineStr">
        <is>
          <t>mass per volume</t>
        </is>
      </c>
    </row>
    <row r="110">
      <c r="C110" t="inlineStr">
        <is>
          <t>mobility</t>
        </is>
      </c>
      <c r="E110">
        <f>VLOOKUP(C110,J$2:J$300,1,FALSE)</f>
        <v/>
      </c>
      <c r="F110">
        <f>SUBSTITUTE(PROPER(LOWER(C110))," ","")</f>
        <v/>
      </c>
      <c r="J110" t="inlineStr">
        <is>
          <t>mobility</t>
        </is>
      </c>
    </row>
    <row r="111">
      <c r="C111" t="inlineStr">
        <is>
          <t>molar energy</t>
        </is>
      </c>
      <c r="E111">
        <f>VLOOKUP(C111,J$2:J$300,1,FALSE)</f>
        <v/>
      </c>
      <c r="F111">
        <f>SUBSTITUTE(PROPER(LOWER(C111))," ","")</f>
        <v/>
      </c>
      <c r="J111" t="inlineStr">
        <is>
          <t>molar energy</t>
        </is>
      </c>
    </row>
    <row r="112">
      <c r="C112" t="inlineStr">
        <is>
          <t>molar heat capacity</t>
        </is>
      </c>
      <c r="E112">
        <f>VLOOKUP(C112,J$2:J$300,1,FALSE)</f>
        <v/>
      </c>
      <c r="F112">
        <f>SUBSTITUTE(PROPER(LOWER(C112))," ","")</f>
        <v/>
      </c>
      <c r="J112" t="inlineStr">
        <is>
          <t>molar heat capacity</t>
        </is>
      </c>
    </row>
    <row r="113">
      <c r="C113" t="inlineStr">
        <is>
          <t>molar volume</t>
        </is>
      </c>
      <c r="E113">
        <f>VLOOKUP(C113,J$2:J$300,1,FALSE)</f>
        <v/>
      </c>
      <c r="F113">
        <f>SUBSTITUTE(PROPER(LOWER(C113))," ","")</f>
        <v/>
      </c>
      <c r="J113" t="inlineStr">
        <is>
          <t>molar volume</t>
        </is>
      </c>
    </row>
    <row r="114">
      <c r="C114" t="inlineStr">
        <is>
          <t>molecular weight</t>
        </is>
      </c>
      <c r="E114">
        <f>VLOOKUP(C114,J$2:J$300,1,FALSE)</f>
        <v/>
      </c>
      <c r="F114">
        <f>SUBSTITUTE(PROPER(LOWER(C114))," ","")</f>
        <v/>
      </c>
      <c r="J114" t="inlineStr">
        <is>
          <t>molecular weight</t>
        </is>
      </c>
    </row>
    <row r="115">
      <c r="C115" t="inlineStr">
        <is>
          <t>moment of force</t>
        </is>
      </c>
      <c r="E115">
        <f>VLOOKUP(C115,J$2:J$300,1,FALSE)</f>
        <v/>
      </c>
      <c r="F115">
        <f>SUBSTITUTE(PROPER(LOWER(C115))," ","")</f>
        <v/>
      </c>
      <c r="J115" t="inlineStr">
        <is>
          <t>moment of force</t>
        </is>
      </c>
    </row>
    <row r="116">
      <c r="C116" t="inlineStr">
        <is>
          <t>moment of inertia</t>
        </is>
      </c>
      <c r="E116">
        <f>VLOOKUP(C116,J$2:J$300,1,FALSE)</f>
        <v/>
      </c>
      <c r="F116">
        <f>SUBSTITUTE(PROPER(LOWER(C116))," ","")</f>
        <v/>
      </c>
      <c r="J116" t="inlineStr">
        <is>
          <t>moment of inertia</t>
        </is>
      </c>
    </row>
    <row r="117">
      <c r="C117" t="inlineStr">
        <is>
          <t>momentum</t>
        </is>
      </c>
      <c r="E117">
        <f>VLOOKUP(C117,J$2:J$300,1,FALSE)</f>
        <v/>
      </c>
      <c r="F117">
        <f>SUBSTITUTE(PROPER(LOWER(C117))," ","")</f>
        <v/>
      </c>
      <c r="J117" t="inlineStr">
        <is>
          <t>momentum</t>
        </is>
      </c>
    </row>
    <row r="118">
      <c r="C118" t="inlineStr">
        <is>
          <t>normalized power</t>
        </is>
      </c>
      <c r="E118">
        <f>VLOOKUP(C118,J$2:J$300,1,FALSE)</f>
        <v/>
      </c>
      <c r="F118">
        <f>SUBSTITUTE(PROPER(LOWER(C118))," ","")</f>
        <v/>
      </c>
      <c r="J118" t="inlineStr">
        <is>
          <t>normalized power</t>
        </is>
      </c>
    </row>
    <row r="119">
      <c r="C119" t="inlineStr">
        <is>
          <t>permeability length</t>
        </is>
      </c>
      <c r="E119">
        <f>VLOOKUP(C119,J$2:J$300,1,FALSE)</f>
        <v/>
      </c>
      <c r="F119">
        <f>SUBSTITUTE(PROPER(LOWER(C119))," ","")</f>
        <v/>
      </c>
      <c r="J119" t="inlineStr">
        <is>
          <t>permeability length</t>
        </is>
      </c>
    </row>
    <row r="120">
      <c r="C120" t="inlineStr">
        <is>
          <t>permeability rock</t>
        </is>
      </c>
      <c r="E120">
        <f>VLOOKUP(C120,J$2:J$300,1,FALSE)</f>
        <v/>
      </c>
      <c r="F120">
        <f>SUBSTITUTE(PROPER(LOWER(C120))," ","")</f>
        <v/>
      </c>
      <c r="J120" t="inlineStr">
        <is>
          <t>permeability rock</t>
        </is>
      </c>
    </row>
    <row r="121">
      <c r="C121" t="inlineStr">
        <is>
          <t>permittivity</t>
        </is>
      </c>
      <c r="E121">
        <f>VLOOKUP(C121,J$2:J$300,1,FALSE)</f>
        <v/>
      </c>
      <c r="F121">
        <f>SUBSTITUTE(PROPER(LOWER(C121))," ","")</f>
        <v/>
      </c>
      <c r="J121" t="inlineStr">
        <is>
          <t>permittivity</t>
        </is>
      </c>
    </row>
    <row r="122">
      <c r="C122" t="inlineStr">
        <is>
          <t>plane angle</t>
        </is>
      </c>
      <c r="E122">
        <f>VLOOKUP(C122,J$2:J$300,1,FALSE)</f>
        <v/>
      </c>
      <c r="F122">
        <f>SUBSTITUTE(PROPER(LOWER(C122))," ","")</f>
        <v/>
      </c>
      <c r="J122" t="inlineStr">
        <is>
          <t>plane angle</t>
        </is>
      </c>
    </row>
    <row r="123">
      <c r="C123" t="inlineStr">
        <is>
          <t>potential difference per power drop</t>
        </is>
      </c>
      <c r="E123">
        <f>VLOOKUP(C123,J$2:J$300,1,FALSE)</f>
        <v/>
      </c>
      <c r="F123">
        <f>SUBSTITUTE(PROPER(LOWER(C123))," ","")</f>
        <v/>
      </c>
      <c r="J123" t="inlineStr">
        <is>
          <t>potential difference per power drop</t>
        </is>
      </c>
    </row>
    <row r="124">
      <c r="C124" t="inlineStr">
        <is>
          <t>power</t>
        </is>
      </c>
      <c r="E124">
        <f>VLOOKUP(C124,J$2:J$300,1,FALSE)</f>
        <v/>
      </c>
      <c r="F124">
        <f>SUBSTITUTE(PROPER(LOWER(C124))," ","")</f>
        <v/>
      </c>
      <c r="J124" t="inlineStr">
        <is>
          <t>power</t>
        </is>
      </c>
    </row>
    <row r="125">
      <c r="C125" t="inlineStr">
        <is>
          <t>power per area</t>
        </is>
      </c>
      <c r="E125">
        <f>VLOOKUP(C125,J$2:J$300,1,FALSE)</f>
        <v/>
      </c>
      <c r="F125">
        <f>SUBSTITUTE(PROPER(LOWER(C125))," ","")</f>
        <v/>
      </c>
      <c r="J125" t="inlineStr">
        <is>
          <t>power per area</t>
        </is>
      </c>
    </row>
    <row r="126">
      <c r="C126" t="inlineStr">
        <is>
          <t>power per power</t>
        </is>
      </c>
      <c r="E126">
        <f>VLOOKUP(C126,J$2:J$300,1,FALSE)</f>
        <v/>
      </c>
      <c r="F126">
        <f>SUBSTITUTE(PROPER(LOWER(C126))," ","")</f>
        <v/>
      </c>
      <c r="J126" t="inlineStr">
        <is>
          <t>power per power</t>
        </is>
      </c>
    </row>
    <row r="127">
      <c r="C127" t="inlineStr">
        <is>
          <t>power per volume</t>
        </is>
      </c>
      <c r="E127">
        <f>VLOOKUP(C127,J$2:J$300,1,FALSE)</f>
        <v/>
      </c>
      <c r="F127">
        <f>SUBSTITUTE(PROPER(LOWER(C127))," ","")</f>
        <v/>
      </c>
      <c r="J127" t="inlineStr">
        <is>
          <t>power per volume</t>
        </is>
      </c>
    </row>
    <row r="128">
      <c r="C128" t="inlineStr">
        <is>
          <t>pressure</t>
        </is>
      </c>
      <c r="E128">
        <f>VLOOKUP(C128,J$2:J$300,1,FALSE)</f>
        <v/>
      </c>
      <c r="F128">
        <f>SUBSTITUTE(PROPER(LOWER(C128))," ","")</f>
        <v/>
      </c>
      <c r="J128" t="inlineStr">
        <is>
          <t>pressure</t>
        </is>
      </c>
    </row>
    <row r="129">
      <c r="C129" t="inlineStr">
        <is>
          <t>pressure per pressure</t>
        </is>
      </c>
      <c r="D129" t="inlineStr">
        <is>
          <t>In EML schema but not in EML dictionary</t>
        </is>
      </c>
      <c r="E129">
        <f>VLOOKUP(C129,J$2:J$300,1,FALSE)</f>
        <v/>
      </c>
      <c r="F129">
        <f>SUBSTITUTE(PROPER(LOWER(C129))," ","")</f>
        <v/>
      </c>
      <c r="J129" t="inlineStr">
        <is>
          <t>pressure per time</t>
        </is>
      </c>
    </row>
    <row r="130">
      <c r="C130" t="inlineStr">
        <is>
          <t>pressure per time</t>
        </is>
      </c>
      <c r="E130">
        <f>VLOOKUP(C130,J$2:J$300,1,FALSE)</f>
        <v/>
      </c>
      <c r="F130">
        <f>SUBSTITUTE(PROPER(LOWER(C130))," ","")</f>
        <v/>
      </c>
      <c r="J130" t="inlineStr">
        <is>
          <t>pressure per volume</t>
        </is>
      </c>
    </row>
    <row r="131">
      <c r="C131" t="inlineStr">
        <is>
          <t>pressure per volume</t>
        </is>
      </c>
      <c r="E131">
        <f>VLOOKUP(C131,J$2:J$300,1,FALSE)</f>
        <v/>
      </c>
      <c r="F131">
        <f>SUBSTITUTE(PROPER(LOWER(C131))," ","")</f>
        <v/>
      </c>
      <c r="J131" t="inlineStr">
        <is>
          <t>pressure squared</t>
        </is>
      </c>
    </row>
    <row r="132">
      <c r="C132" t="inlineStr">
        <is>
          <t>pressure squared</t>
        </is>
      </c>
      <c r="E132">
        <f>VLOOKUP(C132,J$2:J$300,1,FALSE)</f>
        <v/>
      </c>
      <c r="F132">
        <f>SUBSTITUTE(PROPER(LOWER(C132))," ","")</f>
        <v/>
      </c>
      <c r="J132" t="inlineStr">
        <is>
          <t>pressure squared per (force time per area)</t>
        </is>
      </c>
    </row>
    <row r="133">
      <c r="C133" t="inlineStr">
        <is>
          <t>pressure squared per (force time per area)</t>
        </is>
      </c>
      <c r="E133">
        <f>VLOOKUP(C133,J$2:J$300,1,FALSE)</f>
        <v/>
      </c>
      <c r="F133">
        <f>SUBSTITUTE(PROPER(LOWER(C133))," ","")</f>
        <v/>
      </c>
      <c r="J133" t="inlineStr">
        <is>
          <t>pressure time per volume</t>
        </is>
      </c>
    </row>
    <row r="134">
      <c r="C134" t="inlineStr">
        <is>
          <t>pressure time per volume</t>
        </is>
      </c>
      <c r="E134">
        <f>VLOOKUP(C134,J$2:J$300,1,FALSE)</f>
        <v/>
      </c>
      <c r="F134">
        <f>SUBSTITUTE(PROPER(LOWER(C134))," ","")</f>
        <v/>
      </c>
      <c r="J134" t="inlineStr">
        <is>
          <t>quantity of light</t>
        </is>
      </c>
    </row>
    <row r="135">
      <c r="C135" t="inlineStr">
        <is>
          <t>quantity of light</t>
        </is>
      </c>
      <c r="E135">
        <f>VLOOKUP(C135,J$2:J$300,1,FALSE)</f>
        <v/>
      </c>
      <c r="F135">
        <f>SUBSTITUTE(PROPER(LOWER(C135))," ","")</f>
        <v/>
      </c>
      <c r="J135" t="inlineStr">
        <is>
          <t>radiance</t>
        </is>
      </c>
    </row>
    <row r="136">
      <c r="C136" t="inlineStr">
        <is>
          <t>radiance</t>
        </is>
      </c>
      <c r="E136">
        <f>VLOOKUP(C136,J$2:J$300,1,FALSE)</f>
        <v/>
      </c>
      <c r="F136">
        <f>SUBSTITUTE(PROPER(LOWER(C136))," ","")</f>
        <v/>
      </c>
      <c r="J136" t="inlineStr">
        <is>
          <t>radiant intensity</t>
        </is>
      </c>
    </row>
    <row r="137">
      <c r="C137" t="inlineStr">
        <is>
          <t>radiant intensity</t>
        </is>
      </c>
      <c r="E137">
        <f>VLOOKUP(C137,J$2:J$300,1,FALSE)</f>
        <v/>
      </c>
      <c r="F137">
        <f>SUBSTITUTE(PROPER(LOWER(C137))," ","")</f>
        <v/>
      </c>
      <c r="J137" t="inlineStr">
        <is>
          <t>reciprocal (mass time)</t>
        </is>
      </c>
    </row>
    <row r="138">
      <c r="C138" t="inlineStr">
        <is>
          <t>reciprocal area</t>
        </is>
      </c>
      <c r="E138">
        <f>VLOOKUP(C138,J$2:J$300,1,FALSE)</f>
        <v/>
      </c>
      <c r="F138">
        <f>SUBSTITUTE(PROPER(LOWER(C138))," ","")</f>
        <v/>
      </c>
      <c r="J138" t="inlineStr">
        <is>
          <t>reciprocal area</t>
        </is>
      </c>
    </row>
    <row r="139">
      <c r="C139" t="inlineStr">
        <is>
          <t>reciprocal electric potential difference</t>
        </is>
      </c>
      <c r="E139">
        <f>VLOOKUP(C139,J$2:J$300,1,FALSE)</f>
        <v/>
      </c>
      <c r="F139">
        <f>SUBSTITUTE(PROPER(LOWER(C139))," ","")</f>
        <v/>
      </c>
      <c r="J139" t="inlineStr">
        <is>
          <t>reciprocal electric potential difference</t>
        </is>
      </c>
    </row>
    <row r="140">
      <c r="C140" t="inlineStr">
        <is>
          <t>reciprocal force</t>
        </is>
      </c>
      <c r="E140">
        <f>VLOOKUP(C140,J$2:J$300,1,FALSE)</f>
        <v/>
      </c>
      <c r="F140">
        <f>SUBSTITUTE(PROPER(LOWER(C140))," ","")</f>
        <v/>
      </c>
      <c r="J140" t="inlineStr">
        <is>
          <t>reciprocal force</t>
        </is>
      </c>
    </row>
    <row r="141">
      <c r="C141" t="inlineStr">
        <is>
          <t>reciprocal length</t>
        </is>
      </c>
      <c r="E141">
        <f>VLOOKUP(C141,J$2:J$300,1,FALSE)</f>
        <v/>
      </c>
      <c r="F141">
        <f>SUBSTITUTE(PROPER(LOWER(C141))," ","")</f>
        <v/>
      </c>
      <c r="J141" t="inlineStr">
        <is>
          <t>reciprocal length</t>
        </is>
      </c>
    </row>
    <row r="142">
      <c r="C142" t="inlineStr">
        <is>
          <t>reciprocal mass</t>
        </is>
      </c>
      <c r="E142">
        <f>VLOOKUP(C142,J$2:J$300,1,FALSE)</f>
        <v/>
      </c>
      <c r="F142">
        <f>SUBSTITUTE(PROPER(LOWER(C142))," ","")</f>
        <v/>
      </c>
      <c r="J142" t="inlineStr">
        <is>
          <t>reciprocal mass</t>
        </is>
      </c>
    </row>
    <row r="143">
      <c r="C143" t="inlineStr">
        <is>
          <t>reciprocal (mass time)</t>
        </is>
      </c>
      <c r="E143">
        <f>VLOOKUP(C143,J$2:J$300,1,FALSE)</f>
        <v/>
      </c>
      <c r="F143">
        <f>SUBSTITUTE(PROPER(LOWER(C143))," ","")</f>
        <v/>
      </c>
      <c r="J143" t="inlineStr">
        <is>
          <t>reciprocal pressure</t>
        </is>
      </c>
    </row>
    <row r="144">
      <c r="C144" t="inlineStr">
        <is>
          <t>reciprocal pressure</t>
        </is>
      </c>
      <c r="E144">
        <f>VLOOKUP(C144,J$2:J$300,1,FALSE)</f>
        <v/>
      </c>
      <c r="F144">
        <f>SUBSTITUTE(PROPER(LOWER(C144))," ","")</f>
        <v/>
      </c>
      <c r="J144" t="inlineStr">
        <is>
          <t>reciprocal time</t>
        </is>
      </c>
    </row>
    <row r="145">
      <c r="C145" t="inlineStr">
        <is>
          <t>reciprocal time</t>
        </is>
      </c>
      <c r="E145">
        <f>VLOOKUP(C145,J$2:J$300,1,FALSE)</f>
        <v/>
      </c>
      <c r="F145">
        <f>SUBSTITUTE(PROPER(LOWER(C145))," ","")</f>
        <v/>
      </c>
      <c r="J145" t="inlineStr">
        <is>
          <t>reciprocal volume</t>
        </is>
      </c>
    </row>
    <row r="146">
      <c r="C146" t="inlineStr">
        <is>
          <t>reciprocal volume</t>
        </is>
      </c>
      <c r="E146">
        <f>VLOOKUP(C146,J$2:J$300,1,FALSE)</f>
        <v/>
      </c>
      <c r="F146">
        <f>SUBSTITUTE(PROPER(LOWER(C146))," ","")</f>
        <v/>
      </c>
      <c r="J146" t="inlineStr">
        <is>
          <t>reluctance</t>
        </is>
      </c>
    </row>
    <row r="147">
      <c r="C147" t="inlineStr">
        <is>
          <t>relative rate</t>
        </is>
      </c>
      <c r="D147" t="inlineStr">
        <is>
          <t>use for strain rate</t>
        </is>
      </c>
      <c r="E147">
        <f>VLOOKUP(C147,J$2:J$300,1,FALSE)</f>
        <v/>
      </c>
      <c r="F147">
        <f>SUBSTITUTE(PROPER(LOWER(C147))," ","")</f>
        <v/>
      </c>
      <c r="J147" t="inlineStr">
        <is>
          <t>second moment of area</t>
        </is>
      </c>
    </row>
    <row r="148">
      <c r="C148" t="inlineStr">
        <is>
          <t>reluctance</t>
        </is>
      </c>
      <c r="E148">
        <f>VLOOKUP(C148,J$2:J$300,1,FALSE)</f>
        <v/>
      </c>
      <c r="F148">
        <f>SUBSTITUTE(PROPER(LOWER(C148))," ","")</f>
        <v/>
      </c>
      <c r="J148" t="inlineStr">
        <is>
          <t>signaling event per time</t>
        </is>
      </c>
    </row>
    <row r="149">
      <c r="C149" t="inlineStr">
        <is>
          <t>second moment of area</t>
        </is>
      </c>
      <c r="E149">
        <f>VLOOKUP(C149,J$2:J$300,1,FALSE)</f>
        <v/>
      </c>
      <c r="F149">
        <f>SUBSTITUTE(PROPER(LOWER(C149))," ","")</f>
        <v/>
      </c>
      <c r="J149" t="inlineStr">
        <is>
          <t>solid angle</t>
        </is>
      </c>
    </row>
    <row r="150">
      <c r="C150" t="inlineStr">
        <is>
          <t>signaling event per time</t>
        </is>
      </c>
      <c r="E150">
        <f>VLOOKUP(C150,J$2:J$300,1,FALSE)</f>
        <v/>
      </c>
      <c r="F150">
        <f>SUBSTITUTE(PROPER(LOWER(C150))," ","")</f>
        <v/>
      </c>
      <c r="J150" t="inlineStr">
        <is>
          <t>specific heat capacity</t>
        </is>
      </c>
    </row>
    <row r="151">
      <c r="C151" t="inlineStr">
        <is>
          <t>solid angle</t>
        </is>
      </c>
      <c r="E151">
        <f>VLOOKUP(C151,J$2:J$300,1,FALSE)</f>
        <v/>
      </c>
      <c r="F151">
        <f>SUBSTITUTE(PROPER(LOWER(C151))," ","")</f>
        <v/>
      </c>
      <c r="J151" t="inlineStr">
        <is>
          <t>temperature interval</t>
        </is>
      </c>
    </row>
    <row r="152">
      <c r="C152" t="inlineStr">
        <is>
          <t>specific heat capacity</t>
        </is>
      </c>
      <c r="E152">
        <f>VLOOKUP(C152,J$2:J$300,1,FALSE)</f>
        <v/>
      </c>
      <c r="F152">
        <f>SUBSTITUTE(PROPER(LOWER(C152))," ","")</f>
        <v/>
      </c>
      <c r="J152" t="inlineStr">
        <is>
          <t>temperature interval per length</t>
        </is>
      </c>
    </row>
    <row r="153">
      <c r="C153" t="inlineStr">
        <is>
          <t>temperature interval</t>
        </is>
      </c>
      <c r="E153">
        <f>VLOOKUP(C153,J$2:J$300,1,FALSE)</f>
        <v/>
      </c>
      <c r="F153">
        <f>SUBSTITUTE(PROPER(LOWER(C153))," ","")</f>
        <v/>
      </c>
      <c r="J153" t="inlineStr">
        <is>
          <t>temperature interval per pressure</t>
        </is>
      </c>
    </row>
    <row r="154">
      <c r="C154" t="inlineStr">
        <is>
          <t>temperature interval per length</t>
        </is>
      </c>
      <c r="E154">
        <f>VLOOKUP(C154,J$2:J$300,1,FALSE)</f>
        <v/>
      </c>
      <c r="F154">
        <f>SUBSTITUTE(PROPER(LOWER(C154))," ","")</f>
        <v/>
      </c>
      <c r="J154" t="inlineStr">
        <is>
          <t>temperature interval per time</t>
        </is>
      </c>
    </row>
    <row r="155">
      <c r="C155" t="inlineStr">
        <is>
          <t>temperature interval per pressure</t>
        </is>
      </c>
      <c r="E155">
        <f>VLOOKUP(C155,J$2:J$300,1,FALSE)</f>
        <v/>
      </c>
      <c r="F155">
        <f>SUBSTITUTE(PROPER(LOWER(C155))," ","")</f>
        <v/>
      </c>
      <c r="J155" t="inlineStr">
        <is>
          <t>thermal conductance</t>
        </is>
      </c>
    </row>
    <row r="156">
      <c r="C156" t="inlineStr">
        <is>
          <t>temperature interval per time</t>
        </is>
      </c>
      <c r="E156">
        <f>VLOOKUP(C156,J$2:J$300,1,FALSE)</f>
        <v/>
      </c>
      <c r="F156">
        <f>SUBSTITUTE(PROPER(LOWER(C156))," ","")</f>
        <v/>
      </c>
      <c r="J156" t="inlineStr">
        <is>
          <t>thermal conductivity</t>
        </is>
      </c>
    </row>
    <row r="157">
      <c r="C157" t="inlineStr">
        <is>
          <t>thermal conductance</t>
        </is>
      </c>
      <c r="E157">
        <f>VLOOKUP(C157,J$2:J$300,1,FALSE)</f>
        <v/>
      </c>
      <c r="F157">
        <f>SUBSTITUTE(PROPER(LOWER(C157))," ","")</f>
        <v/>
      </c>
      <c r="J157" t="inlineStr">
        <is>
          <t>thermal diffusivity</t>
        </is>
      </c>
    </row>
    <row r="158">
      <c r="C158" t="inlineStr">
        <is>
          <t>thermal conductivity</t>
        </is>
      </c>
      <c r="E158">
        <f>VLOOKUP(C158,J$2:J$300,1,FALSE)</f>
        <v/>
      </c>
      <c r="F158">
        <f>SUBSTITUTE(PROPER(LOWER(C158))," ","")</f>
        <v/>
      </c>
      <c r="J158" t="inlineStr">
        <is>
          <t>thermal insulance</t>
        </is>
      </c>
    </row>
    <row r="159">
      <c r="C159" t="inlineStr">
        <is>
          <t>thermal diffusivity</t>
        </is>
      </c>
      <c r="E159">
        <f>VLOOKUP(C159,J$2:J$300,1,FALSE)</f>
        <v/>
      </c>
      <c r="F159">
        <f>SUBSTITUTE(PROPER(LOWER(C159))," ","")</f>
        <v/>
      </c>
      <c r="J159" t="inlineStr">
        <is>
          <t>thermal resistance</t>
        </is>
      </c>
    </row>
    <row r="160">
      <c r="C160" t="inlineStr">
        <is>
          <t>thermal insulance</t>
        </is>
      </c>
      <c r="E160">
        <f>VLOOKUP(C160,J$2:J$300,1,FALSE)</f>
        <v/>
      </c>
      <c r="F160">
        <f>SUBSTITUTE(PROPER(LOWER(C160))," ","")</f>
        <v/>
      </c>
      <c r="J160" t="inlineStr">
        <is>
          <t>thermodynamic temperature</t>
        </is>
      </c>
    </row>
    <row r="161">
      <c r="C161" t="inlineStr">
        <is>
          <t>thermal resistance</t>
        </is>
      </c>
      <c r="E161">
        <f>VLOOKUP(C161,J$2:J$300,1,FALSE)</f>
        <v/>
      </c>
      <c r="F161">
        <f>SUBSTITUTE(PROPER(LOWER(C161))," ","")</f>
        <v/>
      </c>
      <c r="J161" t="inlineStr">
        <is>
          <t>time</t>
        </is>
      </c>
    </row>
    <row r="162">
      <c r="C162" t="inlineStr">
        <is>
          <t>thermodynamic temperature</t>
        </is>
      </c>
      <c r="E162">
        <f>VLOOKUP(C162,J$2:J$300,1,FALSE)</f>
        <v/>
      </c>
      <c r="F162">
        <f>SUBSTITUTE(PROPER(LOWER(C162))," ","")</f>
        <v/>
      </c>
      <c r="J162" t="inlineStr">
        <is>
          <t>time per length</t>
        </is>
      </c>
    </row>
    <row r="163">
      <c r="C163" t="inlineStr">
        <is>
          <t>thermodynamic temperature per thermodynamic temperature</t>
        </is>
      </c>
      <c r="D163" t="inlineStr">
        <is>
          <t>In EML schema but not in EML dictionary</t>
        </is>
      </c>
      <c r="E163">
        <f>VLOOKUP(C163,J$2:J$300,1,FALSE)</f>
        <v/>
      </c>
      <c r="F163">
        <f>SUBSTITUTE(PROPER(LOWER(C163))," ","")</f>
        <v/>
      </c>
      <c r="J163" t="inlineStr">
        <is>
          <t>time per mass</t>
        </is>
      </c>
    </row>
    <row r="164">
      <c r="C164" t="inlineStr">
        <is>
          <t>time</t>
        </is>
      </c>
      <c r="E164">
        <f>VLOOKUP(C164,J$2:J$300,1,FALSE)</f>
        <v/>
      </c>
      <c r="F164">
        <f>SUBSTITUTE(PROPER(LOWER(C164))," ","")</f>
        <v/>
      </c>
      <c r="J164" t="inlineStr">
        <is>
          <t>time per time</t>
        </is>
      </c>
    </row>
    <row r="165">
      <c r="C165" t="inlineStr">
        <is>
          <t>time per length</t>
        </is>
      </c>
      <c r="E165">
        <f>VLOOKUP(C165,J$2:J$300,1,FALSE)</f>
        <v/>
      </c>
      <c r="F165">
        <f>SUBSTITUTE(PROPER(LOWER(C165))," ","")</f>
        <v/>
      </c>
      <c r="J165" t="inlineStr">
        <is>
          <t>time per volume</t>
        </is>
      </c>
    </row>
    <row r="166">
      <c r="C166" t="inlineStr">
        <is>
          <t>time per mass</t>
        </is>
      </c>
      <c r="E166">
        <f>VLOOKUP(C166,J$2:J$300,1,FALSE)</f>
        <v/>
      </c>
      <c r="F166">
        <f>SUBSTITUTE(PROPER(LOWER(C166))," ","")</f>
        <v/>
      </c>
      <c r="J166" t="inlineStr">
        <is>
          <t>volume</t>
        </is>
      </c>
    </row>
    <row r="167">
      <c r="C167" t="inlineStr">
        <is>
          <t>time per time</t>
        </is>
      </c>
      <c r="E167">
        <f>VLOOKUP(C167,J$2:J$300,1,FALSE)</f>
        <v/>
      </c>
      <c r="F167">
        <f>SUBSTITUTE(PROPER(LOWER(C167))," ","")</f>
        <v/>
      </c>
      <c r="J167" t="inlineStr">
        <is>
          <t>volume flow rate per volume flow rate</t>
        </is>
      </c>
    </row>
    <row r="168">
      <c r="C168" t="inlineStr">
        <is>
          <t>time per volume</t>
        </is>
      </c>
      <c r="E168">
        <f>VLOOKUP(C168,J$2:J$300,1,FALSE)</f>
        <v/>
      </c>
      <c r="F168">
        <f>SUBSTITUTE(PROPER(LOWER(C168))," ","")</f>
        <v/>
      </c>
      <c r="J168" t="inlineStr">
        <is>
          <t>volume per length</t>
        </is>
      </c>
    </row>
    <row r="169">
      <c r="C169" t="inlineStr">
        <is>
          <t>volume</t>
        </is>
      </c>
      <c r="E169">
        <f>VLOOKUP(C169,J$2:J$300,1,FALSE)</f>
        <v/>
      </c>
      <c r="F169">
        <f>SUBSTITUTE(PROPER(LOWER(C169))," ","")</f>
        <v/>
      </c>
      <c r="J169" t="inlineStr">
        <is>
          <t>volume per mass</t>
        </is>
      </c>
    </row>
    <row r="170">
      <c r="C170" t="inlineStr">
        <is>
          <t>volume flow rate per volume flow rate</t>
        </is>
      </c>
      <c r="E170">
        <f>VLOOKUP(C170,J$2:J$300,1,FALSE)</f>
        <v/>
      </c>
      <c r="F170">
        <f>SUBSTITUTE(PROPER(LOWER(C170))," ","")</f>
        <v/>
      </c>
      <c r="J170" t="inlineStr">
        <is>
          <t>volume per pressure</t>
        </is>
      </c>
    </row>
    <row r="171">
      <c r="C171" t="inlineStr">
        <is>
          <t>volume per area</t>
        </is>
      </c>
      <c r="E171">
        <f>VLOOKUP(C171,J$2:J$300,1,FALSE)</f>
        <v/>
      </c>
      <c r="F171">
        <f>SUBSTITUTE(PROPER(LOWER(C171))," ","")</f>
        <v/>
      </c>
      <c r="J171" t="inlineStr">
        <is>
          <t>volume per rotation</t>
        </is>
      </c>
    </row>
    <row r="172">
      <c r="C172" t="inlineStr">
        <is>
          <t>volume per length</t>
        </is>
      </c>
      <c r="E172">
        <f>VLOOKUP(C172,J$2:J$300,1,FALSE)</f>
        <v/>
      </c>
      <c r="F172">
        <f>SUBSTITUTE(PROPER(LOWER(C172))," ","")</f>
        <v/>
      </c>
      <c r="J172" t="inlineStr">
        <is>
          <t>volume per time</t>
        </is>
      </c>
    </row>
    <row r="173">
      <c r="C173" t="inlineStr">
        <is>
          <t>volume per mass</t>
        </is>
      </c>
      <c r="E173">
        <f>VLOOKUP(C173,J$2:J$300,1,FALSE)</f>
        <v/>
      </c>
      <c r="F173">
        <f>SUBSTITUTE(PROPER(LOWER(C173))," ","")</f>
        <v/>
      </c>
      <c r="J173" t="inlineStr">
        <is>
          <t>volume per volume</t>
        </is>
      </c>
    </row>
    <row r="174">
      <c r="C174" t="inlineStr">
        <is>
          <t>volume per pressure</t>
        </is>
      </c>
      <c r="E174">
        <f>VLOOKUP(C174,J$2:J$300,1,FALSE)</f>
        <v/>
      </c>
      <c r="F174">
        <f>SUBSTITUTE(PROPER(LOWER(C174))," ","")</f>
        <v/>
      </c>
      <c r="J174" t="inlineStr">
        <is>
          <t>volumetric heat transfer coefficient</t>
        </is>
      </c>
    </row>
    <row r="175">
      <c r="C175" t="inlineStr">
        <is>
          <t>volume per rotation</t>
        </is>
      </c>
      <c r="E175">
        <f>VLOOKUP(C175,J$2:J$300,1,FALSE)</f>
        <v/>
      </c>
      <c r="F175">
        <f>VLOOKUP(K175,D$2:D$199,1,FALSE)</f>
        <v/>
      </c>
      <c r="J175" t="inlineStr">
        <is>
          <t>volumetric thermal expansion</t>
        </is>
      </c>
    </row>
    <row r="176">
      <c r="C176" t="inlineStr">
        <is>
          <t>volume per time</t>
        </is>
      </c>
      <c r="E176">
        <f>VLOOKUP(C176,J$2:J$300,1,FALSE)</f>
        <v/>
      </c>
      <c r="F176">
        <f>SUBSTITUTE(PROPER(LOWER(C176))," ","")</f>
        <v/>
      </c>
    </row>
    <row r="177">
      <c r="C177" t="inlineStr">
        <is>
          <t>(volume per time) length</t>
        </is>
      </c>
      <c r="E177">
        <f>VLOOKUP(C177,J$2:J$300,1,FALSE)</f>
        <v/>
      </c>
      <c r="F177">
        <f>SUBSTITUTE(PROPER(LOWER(C177))," ","")</f>
        <v/>
      </c>
    </row>
    <row r="178">
      <c r="C178" t="inlineStr">
        <is>
          <t>(volume per time) per area</t>
        </is>
      </c>
      <c r="E178">
        <f>VLOOKUP(C178,J$2:J$300,1,FALSE)</f>
        <v/>
      </c>
      <c r="F178">
        <f>SUBSTITUTE(PROPER(LOWER(C178))," ","")</f>
        <v/>
      </c>
    </row>
    <row r="179">
      <c r="C179" t="inlineStr">
        <is>
          <t>(volume per time) per length</t>
        </is>
      </c>
      <c r="E179">
        <f>VLOOKUP(C179,J$2:J$300,1,FALSE)</f>
        <v/>
      </c>
      <c r="F179">
        <f>SUBSTITUTE(PROPER(LOWER(C179))," ","")</f>
        <v/>
      </c>
    </row>
    <row r="180">
      <c r="C180" t="inlineStr">
        <is>
          <t>(volume per time) per pressure</t>
        </is>
      </c>
      <c r="E180">
        <f>VLOOKUP(C180,J$2:J$300,1,FALSE)</f>
        <v/>
      </c>
      <c r="F180">
        <f>SUBSTITUTE(PROPER(LOWER(C180))," ","")</f>
        <v/>
      </c>
    </row>
    <row r="181">
      <c r="C181" t="inlineStr">
        <is>
          <t>(volume per time) per (pressure length)</t>
        </is>
      </c>
      <c r="E181">
        <f>VLOOKUP(C181,J$2:J$300,1,FALSE)</f>
        <v/>
      </c>
      <c r="F181">
        <f>SUBSTITUTE(PROPER(LOWER(C181))," ","")</f>
        <v/>
      </c>
    </row>
    <row r="182">
      <c r="C182" t="inlineStr">
        <is>
          <t>(volume per time) per time</t>
        </is>
      </c>
      <c r="E182">
        <f>VLOOKUP(C182,J$2:J$300,1,FALSE)</f>
        <v/>
      </c>
      <c r="F182">
        <f>SUBSTITUTE(PROPER(LOWER(C182))," ","")</f>
        <v/>
      </c>
    </row>
    <row r="183">
      <c r="C183" t="inlineStr">
        <is>
          <t>(volume per time) per volume</t>
        </is>
      </c>
      <c r="E183">
        <f>VLOOKUP(C183,J$2:J$300,1,FALSE)</f>
        <v/>
      </c>
      <c r="F183">
        <f>SUBSTITUTE(PROPER(LOWER(C183))," ","")</f>
        <v/>
      </c>
    </row>
    <row r="184">
      <c r="C184" t="inlineStr">
        <is>
          <t>volume per volume</t>
        </is>
      </c>
      <c r="E184">
        <f>VLOOKUP(C184,J$2:J$300,1,FALSE)</f>
        <v/>
      </c>
      <c r="F184">
        <f>SUBSTITUTE(PROPER(LOWER(C184))," ","")</f>
        <v/>
      </c>
    </row>
    <row r="185">
      <c r="C185" t="inlineStr">
        <is>
          <t>volumetric heat transfer coefficient</t>
        </is>
      </c>
      <c r="E185">
        <f>VLOOKUP(C185,J$2:J$300,1,FALSE)</f>
        <v/>
      </c>
      <c r="F185">
        <f>SUBSTITUTE(PROPER(LOWER(C185))," ","")</f>
        <v/>
      </c>
    </row>
    <row r="186">
      <c r="C186" t="inlineStr">
        <is>
          <t>volumetric thermal expansion</t>
        </is>
      </c>
      <c r="E186">
        <f>VLOOKUP(C186,J$2:J$300,1,FALSE)</f>
        <v/>
      </c>
      <c r="F186">
        <f>SUBSTITUTE(PROPER(LOWER(C186))," ","")</f>
        <v/>
      </c>
    </row>
    <row r="187">
      <c r="C187" t="inlineStr">
        <is>
          <t>reciprocal time(0.5)</t>
        </is>
      </c>
      <c r="D187" t="inlineStr">
        <is>
          <t>used for pressure filtration</t>
        </is>
      </c>
      <c r="E187">
        <f>VLOOKUP(C187,J$2:J$300,1,FALSE)</f>
        <v/>
      </c>
    </row>
    <row r="188">
      <c r="C188" t="inlineStr">
        <is>
          <t>volume or mass loss</t>
        </is>
      </c>
      <c r="D188" t="inlineStr">
        <is>
          <t>used for pressure filtration</t>
        </is>
      </c>
      <c r="E188">
        <f>VLOOKUP(C188,J$2:J$300,1,FALSE)</f>
        <v/>
      </c>
    </row>
  </sheetData>
  <pageMargins left="0.7" right="0.7" top="0.75" bottom="0.75" header="0.3" footer="0.3"/>
  <pageSetup orientation="portrait" horizontalDpi="0" verticalDpi="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2026-10-06T07:19:28Z</dcterms:modified>
  <cp:lastModifiedBy>Dan Ponti</cp:lastModifiedBy>
  <cp:lastPrinted>2024-01-23T07:37:04Z</cp:lastPrinted>
</cp:coreProperties>
</file>