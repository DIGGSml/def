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qualityClass</t>
        </is>
      </c>
      <c r="C3" s="12" t="inlineStr">
        <is>
          <t>qualityClass</t>
        </is>
      </c>
      <c r="D3" s="12" t="inlineStr">
        <is>
          <t>DIGGS Sample Quality Class</t>
        </is>
      </c>
      <c r="E3" s="2" t="inlineStr">
        <is>
          <t>Controlled vocabulary for diggs:SampleType/qualityClass - ISO 22475-1:2021's five-class scale (reiterating EC7-2) for which soil properties can be relied on from a recovered sample, ranging from full retention of strength and compressibility parameters (class 1) to bare stratigraphic sequence only (class 5). A SOIL concept only - the standard does not apply quality classes to rock samples the same way (rock uses diggs:AbstractSamplingActivityType/samplingCategory directly, with no separate class layer); nothing in the schema enforces this restriction, so consult this description before assigning a qualityClass to a rock sample. PROVISIONAL: reconstructed from a named, dated trade-journal article that directly quotes EC7-2's Table 1 and ISO 22475-1 clause numbers throughout (not a search summary), cross-checked against the same article's own worked technique/category/class examples for internal consistency, but not verified cell-by-cell against the table's own grid, nor against the paywalled ISO text itself - see docs/build/R16/NOTES.md section 10 in the rigid-inclusions repo.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class_1</t>
        </is>
      </c>
      <c r="C2" s="13" t="inlineStr">
        <is>
          <t>Quality class 1</t>
        </is>
      </c>
      <c r="D2" s="14" t="inlineStr">
        <is>
          <t>All properties considered unchanged - particle size, water content, density and permeability, and compressibility/shear strength are all reliably representative of in-situ conditions. Required wherever strength or compressibility/stiffness testing is scheduled. Achievable only with a thin-walled (open or piston) tube sampler or a triple-tube core barrel, meeting Category A.</t>
        </is>
      </c>
      <c r="E2" s="13" t="inlineStr">
        <is>
          <t>string</t>
        </is>
      </c>
      <c r="F2" s="13" t="n"/>
      <c r="G2" s="9" t="inlineStr">
        <is>
          <t>ISO 22475-1 (EC7-2 Table 1)</t>
        </is>
      </c>
      <c r="H2" t="inlineStr">
        <is>
          <t>https://www.iso.org/standard/71002.html</t>
        </is>
      </c>
    </row>
    <row r="3">
      <c r="A3" s="2">
        <f>IF(ISNA(VLOOKUP(B3,AssociatedElements!B$2:B2941,1,FALSE)),"Not used","")</f>
        <v/>
      </c>
      <c r="B3" s="13" t="inlineStr">
        <is>
          <t>class_2</t>
        </is>
      </c>
      <c r="C3" s="13" t="inlineStr">
        <is>
          <t>Quality class 2</t>
        </is>
      </c>
      <c r="D3" s="14" t="inlineStr">
        <is>
          <t>Particle size, water content, density and permeability remain reliably representative, but the sample is too disturbed for compressibility or shear-strength testing.</t>
        </is>
      </c>
      <c r="E3" s="13" t="inlineStr">
        <is>
          <t>string</t>
        </is>
      </c>
      <c r="F3" s="13" t="n"/>
      <c r="G3" s="9" t="inlineStr">
        <is>
          <t>ISO 22475-1 (EC7-2 Table 1)</t>
        </is>
      </c>
      <c r="H3" t="inlineStr">
        <is>
          <t>https://www.iso.org/standard/71002.html</t>
        </is>
      </c>
    </row>
    <row r="4">
      <c r="A4" s="2">
        <f>IF(ISNA(VLOOKUP(B4,AssociatedElements!B$2:B2942,1,FALSE)),"Not used","")</f>
        <v/>
      </c>
      <c r="B4" t="inlineStr">
        <is>
          <t>class_3</t>
        </is>
      </c>
      <c r="C4" t="inlineStr">
        <is>
          <t>Quality class 3</t>
        </is>
      </c>
      <c r="D4" t="inlineStr">
        <is>
          <t>Particle size and water content remain reliably representative; density- and permeability-related properties are no longer reliable.</t>
        </is>
      </c>
      <c r="E4" t="inlineStr">
        <is>
          <t>string</t>
        </is>
      </c>
      <c r="G4" s="9" t="inlineStr">
        <is>
          <t>ISO 22475-1 (EC7-2 Table 1)</t>
        </is>
      </c>
      <c r="H4" t="inlineStr">
        <is>
          <t>https://www.iso.org/standard/71002.html</t>
        </is>
      </c>
    </row>
    <row r="5">
      <c r="A5" s="2">
        <f>IF(ISNA(VLOOKUP(B5,AssociatedElements!B$2:B2943,1,FALSE)),"Not used","")</f>
        <v/>
      </c>
      <c r="B5" s="13" t="inlineStr">
        <is>
          <t>class_4</t>
        </is>
      </c>
      <c r="C5" s="13" t="inlineStr">
        <is>
          <t>Quality class 4</t>
        </is>
      </c>
      <c r="D5" s="14" t="inlineStr">
        <is>
          <t>Only particle size (broad soil type) and the sequence and broad boundaries of strata remain reliably determinable; water content is no longer reliable.</t>
        </is>
      </c>
      <c r="E5" s="13" t="inlineStr">
        <is>
          <t>string</t>
        </is>
      </c>
      <c r="F5" s="13" t="n"/>
      <c r="G5" s="9" t="inlineStr">
        <is>
          <t>ISO 22475-1 (EC7-2 Table 1)</t>
        </is>
      </c>
      <c r="H5" t="inlineStr">
        <is>
          <t>https://www.iso.org/standard/71002.html</t>
        </is>
      </c>
    </row>
    <row r="6">
      <c r="A6" s="2">
        <f>IF(ISNA(VLOOKUP(B6,AssociatedElements!B$2:B2944,1,FALSE)),"Not used","")</f>
        <v/>
      </c>
      <c r="B6" t="inlineStr">
        <is>
          <t>class_5</t>
        </is>
      </c>
      <c r="C6" s="16" t="inlineStr">
        <is>
          <t>Quality class 5</t>
        </is>
      </c>
      <c r="D6" s="16" t="inlineStr">
        <is>
          <t>Only the sequence of layers and broad stratigraphic boundaries are determinable; no soil property is reliably representative of in-situ conditions.</t>
        </is>
      </c>
      <c r="E6" s="17" t="inlineStr">
        <is>
          <t>string</t>
        </is>
      </c>
      <c r="G6" s="9" t="inlineStr">
        <is>
          <t>ISO 22475-1 (EC7-2 Table 1)</t>
        </is>
      </c>
      <c r="H6" t="inlineStr">
        <is>
          <t>https://www.iso.org/standard/71002.html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class_1</t>
        </is>
      </c>
      <c r="C2" t="inlineStr">
        <is>
          <t>//diggs:Sample/diggs:qualityClass</t>
        </is>
      </c>
    </row>
    <row r="3">
      <c r="A3">
        <f>IF(ISNA(VLOOKUP(B3,Definitions!B$2:B$1839,1,FALSE)),"Not listed","")</f>
        <v/>
      </c>
      <c r="B3" s="20" t="inlineStr">
        <is>
          <t>class_2</t>
        </is>
      </c>
      <c r="C3" t="inlineStr">
        <is>
          <t>//diggs:Sample/diggs:qualityClass</t>
        </is>
      </c>
    </row>
    <row r="4">
      <c r="A4">
        <f>IF(ISNA(VLOOKUP(B4,Definitions!B$2:B$1839,1,FALSE)),"Not listed","")</f>
        <v/>
      </c>
      <c r="B4" s="2" t="inlineStr">
        <is>
          <t>class_3</t>
        </is>
      </c>
      <c r="C4" t="inlineStr">
        <is>
          <t>//diggs:Sample/diggs:qualityClass</t>
        </is>
      </c>
    </row>
    <row r="5">
      <c r="A5">
        <f>IF(ISNA(VLOOKUP(B5,Definitions!B$2:B$1839,1,FALSE)),"Not listed","")</f>
        <v/>
      </c>
      <c r="B5" s="2" t="inlineStr">
        <is>
          <t>class_4</t>
        </is>
      </c>
      <c r="C5" t="inlineStr">
        <is>
          <t>//diggs:Sample/diggs:qualityClass</t>
        </is>
      </c>
    </row>
    <row r="6">
      <c r="A6">
        <f>IF(ISNA(VLOOKUP(B6,Definitions!B$2:B$1839,1,FALSE)),"Not listed","")</f>
        <v/>
      </c>
      <c r="B6" s="2" t="inlineStr">
        <is>
          <t>class_5</t>
        </is>
      </c>
      <c r="C6" t="inlineStr">
        <is>
          <t>//diggs:Sample/diggs:qualityClass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2026-09-10T22:22:44Z</dcterms:modified>
  <cp:lastModifiedBy>Ponti, Daniel J</cp:lastModifiedBy>
</cp:coreProperties>
</file>