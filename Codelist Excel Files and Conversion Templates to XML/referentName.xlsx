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xmlns:r="http://schemas.openxmlformats.org/officeDocument/2006/relationships" name="DictionaryName" sheetId="1" state="visible" r:id="rId1"/>
    <sheet xmlns:r="http://schemas.openxmlformats.org/officeDocument/2006/relationships" name="Definitions" sheetId="2" state="visible" r:id="rId2"/>
    <sheet xmlns:r="http://schemas.openxmlformats.org/officeDocument/2006/relationships" name="AssociatedElements" sheetId="3" state="visible" r:id="rId3"/>
    <sheet xmlns:r="http://schemas.openxmlformats.org/officeDocument/2006/relationships" name="AlternateNames" sheetId="4" state="visible" r:id="rId4"/>
    <sheet xmlns:r="http://schemas.openxmlformats.org/officeDocument/2006/relationships" name="ValueBindings" sheetId="5" state="visible" r:id="rId5"/>
    <sheet xmlns:r="http://schemas.openxmlformats.org/officeDocument/2006/relationships" name="List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5" fillId="0" borderId="0" pivotButton="0" quotePrefix="0" xfId="0"/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I46" headerRowCount="1" totalsRowShown="0" headerRowDxfId="17" dataDxfId="16">
  <autoFilter ref="A1:I37"/>
  <sortState ref="A2:H37">
    <sortCondition ref="A1:A37"/>
  </sortState>
  <tableColumns count="9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  <tableColumn id="11" name="ValueCodeSpac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46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83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referentName</t>
        </is>
      </c>
      <c r="C3" s="12" t="inlineStr">
        <is>
          <t>referentName</t>
        </is>
      </c>
      <c r="D3" s="12" t="inlineStr">
        <is>
          <t>DIGGS Referent Name Codelist Definitions</t>
        </is>
      </c>
      <c r="E3" s="2" t="inlineStr">
        <is>
          <t>Names of referents - the reference points from which distance along a linear feature (a borehole, well, pile, column, core or survey line) is measured - used for the value of the name property of diggs:Referent. The value may be the entry's name or any of its listed abbreviations; identify the entry in codeSpace, which also resolves an abbreviation that two entries share (TOC, BOC, TOR). The entries cover the standard values of diggs:ReferentTypeEnum, the referentType of the same Referent, and further referents common in geotechnical practice. Provisional pending SME review.</t>
        </is>
      </c>
    </row>
    <row r="4" ht="17" customHeight="1">
      <c r="A4" s="2" t="n"/>
      <c r="B4" s="2" t="n"/>
      <c r="D4" s="2" t="n"/>
      <c r="E4" s="2" t="inlineStr">
        <is>
          <t xml:space="preserve"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I46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2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  <c r="I1" s="1" t="inlineStr">
        <is>
          <t>ValueCodeSpace</t>
        </is>
      </c>
    </row>
    <row r="2">
      <c r="A2" s="2">
        <f>IF(ISNA(VLOOKUP(B2,AssociatedElements!B$2:B2940,1,FALSE)),"Not used","")</f>
        <v/>
      </c>
      <c r="B2" s="13" t="inlineStr">
        <is>
          <t>ground_surface</t>
        </is>
      </c>
      <c r="C2" s="13" t="inlineStr">
        <is>
          <t>Ground surface</t>
        </is>
      </c>
      <c r="D2" s="14" t="inlineStr">
        <is>
          <t>The ground surface at the location at the time of the work.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IF(ISNA(VLOOKUP(B3,AssociatedElements!B$2:B2940,1,FALSE)),"Not used","")</f>
        <v/>
      </c>
      <c r="B3" s="13" t="inlineStr">
        <is>
          <t>original_ground_surface</t>
        </is>
      </c>
      <c r="C3" s="13" t="inlineStr">
        <is>
          <t>Original ground surface</t>
        </is>
      </c>
      <c r="D3" s="14" t="inlineStr">
        <is>
          <t>The natural ground surface before any cut, fill or platform construction, where it differs from the ground surface at the time of the work.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IF(ISNA(VLOOKUP(B4,AssociatedElements!B$2:B2940,1,FALSE)),"Not used","")</f>
        <v/>
      </c>
      <c r="B4" t="inlineStr">
        <is>
          <t>finished_grade</t>
        </is>
      </c>
      <c r="C4" t="inlineStr">
        <is>
          <t>Finished grade</t>
        </is>
      </c>
      <c r="D4" t="inlineStr">
        <is>
          <t>The final ground surface after earthworks, as designed or as constructed.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IF(ISNA(VLOOKUP(B5,AssociatedElements!B$2:B2940,1,FALSE)),"Not used","")</f>
        <v/>
      </c>
      <c r="B5" s="13" t="inlineStr">
        <is>
          <t>working_platform</t>
        </is>
      </c>
      <c r="C5" s="13" t="inlineStr">
        <is>
          <t>Top of working platform</t>
        </is>
      </c>
      <c r="D5" s="14" t="inlineStr">
        <is>
          <t>The surface of a temporary working or piling platform from which drilling, piling or ground improvement is carried out.</t>
        </is>
      </c>
      <c r="E5" s="13" t="inlineStr">
        <is>
          <t>string</t>
        </is>
      </c>
      <c r="F5" s="13" t="n"/>
      <c r="G5" s="9" t="inlineStr">
        <is>
          <t>DIGGS</t>
        </is>
      </c>
    </row>
    <row r="6">
      <c r="A6" s="2">
        <f>IF(ISNA(VLOOKUP(B6,AssociatedElements!B$2:B2940,1,FALSE)),"Not used","")</f>
        <v/>
      </c>
      <c r="B6" t="inlineStr">
        <is>
          <t>top_of_load_transfer_platform</t>
        </is>
      </c>
      <c r="C6" s="16" t="inlineStr">
        <is>
          <t>Top of load transfer platform</t>
        </is>
      </c>
      <c r="D6" s="16" t="inlineStr">
        <is>
          <t>The top of the granular load transfer platform placed over rigid inclusions.</t>
        </is>
      </c>
      <c r="E6" s="17" t="inlineStr">
        <is>
          <t>string</t>
        </is>
      </c>
      <c r="G6" s="9" t="inlineStr">
        <is>
          <t>DIGGS</t>
        </is>
      </c>
    </row>
    <row r="7">
      <c r="A7" s="2">
        <f>IF(ISNA(VLOOKUP(B7,AssociatedElements!B$2:B2940,1,FALSE)),"Not used","")</f>
        <v/>
      </c>
      <c r="B7" t="inlineStr">
        <is>
          <t>bottom_of_excavation</t>
        </is>
      </c>
      <c r="C7" t="inlineStr">
        <is>
          <t>Bottom of excavation</t>
        </is>
      </c>
      <c r="D7" t="inlineStr">
        <is>
          <t>The base of an excavation from which a hole, pile or measurement starts.</t>
        </is>
      </c>
      <c r="E7" t="inlineStr">
        <is>
          <t>string</t>
        </is>
      </c>
      <c r="G7" s="9" t="inlineStr">
        <is>
          <t>DIGGS</t>
        </is>
      </c>
    </row>
    <row r="8">
      <c r="A8" s="2">
        <f>IF(ISNA(VLOOKUP(B8,AssociatedElements!B$2:B2940,1,FALSE)),"Not used","")</f>
        <v/>
      </c>
      <c r="B8" t="inlineStr">
        <is>
          <t>water_surface</t>
        </is>
      </c>
      <c r="C8" t="inlineStr">
        <is>
          <t>Water surface</t>
        </is>
      </c>
      <c r="D8" t="inlineStr">
        <is>
          <t>The water surface at the time of the work, for a hole advanced or a measurement made over water.</t>
        </is>
      </c>
      <c r="E8" t="inlineStr">
        <is>
          <t>string</t>
        </is>
      </c>
      <c r="G8" s="9" t="inlineStr">
        <is>
          <t>DIGGS</t>
        </is>
      </c>
    </row>
    <row r="9">
      <c r="A9" s="2">
        <f>IF(ISNA(VLOOKUP(B9,AssociatedElements!B$2:B2940,1,FALSE)),"Not used","")</f>
        <v/>
      </c>
      <c r="B9" t="inlineStr">
        <is>
          <t>sea_floor</t>
        </is>
      </c>
      <c r="C9" s="16" t="inlineStr">
        <is>
          <t>Sea floor</t>
        </is>
      </c>
      <c r="D9" s="16" t="inlineStr">
        <is>
          <t>The bed of the sea, lake or river at the location.</t>
        </is>
      </c>
      <c r="E9" s="17" t="inlineStr">
        <is>
          <t>string</t>
        </is>
      </c>
      <c r="G9" s="9" t="inlineStr">
        <is>
          <t>DIGGS</t>
        </is>
      </c>
    </row>
    <row r="10">
      <c r="A10" s="2">
        <f>IF(ISNA(VLOOKUP(B10,AssociatedElements!B$2:B2940,1,FALSE)),"Not used","")</f>
        <v/>
      </c>
      <c r="B10" s="13" t="inlineStr">
        <is>
          <t>mudline</t>
        </is>
      </c>
      <c r="C10" s="13" t="inlineStr">
        <is>
          <t>Mudline</t>
        </is>
      </c>
      <c r="D10" s="14" t="inlineStr">
        <is>
          <t>The sea or river bed as used in offshore and marine foundation practice.</t>
        </is>
      </c>
      <c r="E10" s="13" t="inlineStr">
        <is>
          <t>string</t>
        </is>
      </c>
      <c r="F10" s="13" t="n"/>
      <c r="G10" s="9" t="inlineStr">
        <is>
          <t>DIGGS</t>
        </is>
      </c>
    </row>
    <row r="11">
      <c r="A11" s="2">
        <f>IF(ISNA(VLOOKUP(B11,AssociatedElements!B$2:B2940,1,FALSE)),"Not used","")</f>
        <v/>
      </c>
      <c r="B11" s="13" t="inlineStr">
        <is>
          <t>kelly_bushing</t>
        </is>
      </c>
      <c r="C11" s="13" t="inlineStr">
        <is>
          <t>Kelly bushing</t>
        </is>
      </c>
      <c r="D11" s="14" t="inlineStr">
        <is>
          <t>The top of the kelly bushing on the drilling rig floor; a common depth datum in rotary drilling.</t>
        </is>
      </c>
      <c r="E11" s="13" t="inlineStr">
        <is>
          <t>string</t>
        </is>
      </c>
      <c r="F11" s="13" t="n"/>
      <c r="G11" s="9" t="inlineStr">
        <is>
          <t>DIGGS</t>
        </is>
      </c>
    </row>
    <row r="12">
      <c r="A12" s="2">
        <f>IF(ISNA(VLOOKUP(B12,AssociatedElements!B$2:B2940,1,FALSE)),"Not used","")</f>
        <v/>
      </c>
      <c r="B12" s="13" t="inlineStr">
        <is>
          <t>rotary_bushing</t>
        </is>
      </c>
      <c r="C12" s="13" t="inlineStr">
        <is>
          <t>Rotary bushing</t>
        </is>
      </c>
      <c r="D12" s="14" t="inlineStr">
        <is>
          <t>The top of the rotary bushing on the drilling rig floor.</t>
        </is>
      </c>
      <c r="E12" s="13" t="inlineStr">
        <is>
          <t>string</t>
        </is>
      </c>
      <c r="F12" s="13" t="n"/>
      <c r="G12" s="9" t="inlineStr">
        <is>
          <t>DIGGS</t>
        </is>
      </c>
    </row>
    <row r="13">
      <c r="A13" s="2">
        <f>IF(ISNA(VLOOKUP(B13,AssociatedElements!B$2:B2940,1,FALSE)),"Not used","")</f>
        <v/>
      </c>
      <c r="B13" s="13" t="inlineStr">
        <is>
          <t>rotary_table</t>
        </is>
      </c>
      <c r="C13" s="13" t="inlineStr">
        <is>
          <t>Rotary table</t>
        </is>
      </c>
      <c r="D13" s="14" t="inlineStr">
        <is>
          <t>The top of the rotary table on the drilling rig floor.</t>
        </is>
      </c>
      <c r="E13" s="13" t="inlineStr">
        <is>
          <t>string</t>
        </is>
      </c>
      <c r="F13" s="13" t="n"/>
      <c r="G13" s="9" t="inlineStr">
        <is>
          <t>DIGGS</t>
        </is>
      </c>
    </row>
    <row r="14">
      <c r="A14" s="2">
        <f>IF(ISNA(VLOOKUP(B14,AssociatedElements!B$2:B2940,1,FALSE)),"Not used","")</f>
        <v/>
      </c>
      <c r="B14" s="13" t="inlineStr">
        <is>
          <t>derrick_floor</t>
        </is>
      </c>
      <c r="C14" s="13" t="inlineStr">
        <is>
          <t>Derrick floor</t>
        </is>
      </c>
      <c r="D14" s="14" t="inlineStr">
        <is>
          <t>The working floor of the drilling rig.</t>
        </is>
      </c>
      <c r="E14" s="13" t="inlineStr">
        <is>
          <t>string</t>
        </is>
      </c>
      <c r="F14" s="13" t="n"/>
      <c r="G14" s="9" t="inlineStr">
        <is>
          <t>DIGGS</t>
        </is>
      </c>
    </row>
    <row r="15">
      <c r="A15" s="2">
        <f>IF(ISNA(VLOOKUP(B15,AssociatedElements!B$2:B2940,1,FALSE)),"Not used","")</f>
        <v/>
      </c>
      <c r="B15" s="13" t="inlineStr">
        <is>
          <t>crown_valve</t>
        </is>
      </c>
      <c r="C15" s="18" t="inlineStr">
        <is>
          <t>Crown valve</t>
        </is>
      </c>
      <c r="D15" s="19" t="inlineStr">
        <is>
          <t>The crown (swab) valve at the top of a wellhead assembly.</t>
        </is>
      </c>
      <c r="E15" s="18" t="inlineStr">
        <is>
          <t>string</t>
        </is>
      </c>
      <c r="F15" s="18" t="n"/>
      <c r="G15" s="9" t="inlineStr">
        <is>
          <t>DIGGS</t>
        </is>
      </c>
    </row>
    <row r="16">
      <c r="A16" s="2">
        <f>IF(ISNA(VLOOKUP(B16,AssociatedElements!B$2:B2940,1,FALSE)),"Not used","")</f>
        <v/>
      </c>
      <c r="B16" s="13" t="inlineStr">
        <is>
          <t>casing_flange</t>
        </is>
      </c>
      <c r="C16" s="18" t="inlineStr">
        <is>
          <t>Casing flange</t>
        </is>
      </c>
      <c r="D16" s="19" t="inlineStr">
        <is>
          <t>The flange at the top of a casing string or wellhead.</t>
        </is>
      </c>
      <c r="E16" s="18" t="inlineStr">
        <is>
          <t>string</t>
        </is>
      </c>
      <c r="F16" s="18" t="n"/>
      <c r="G16" s="9" t="inlineStr">
        <is>
          <t>DIGGS</t>
        </is>
      </c>
    </row>
    <row r="17">
      <c r="A17" s="2">
        <f>IF(ISNA(VLOOKUP(B17,AssociatedElements!B$2:B2940,1,FALSE)),"Not used","")</f>
        <v/>
      </c>
      <c r="B17" s="13" t="inlineStr">
        <is>
          <t>top_of_hole</t>
        </is>
      </c>
      <c r="C17" s="18" t="inlineStr">
        <is>
          <t>Top of hole</t>
        </is>
      </c>
      <c r="D17" s="19" t="inlineStr">
        <is>
          <t>The point at which the hole enters the ground or rock (the collar).</t>
        </is>
      </c>
      <c r="E17" s="18" t="inlineStr">
        <is>
          <t>string</t>
        </is>
      </c>
      <c r="F17" s="18" t="n"/>
      <c r="G17" s="9" t="inlineStr">
        <is>
          <t>DIGGS</t>
        </is>
      </c>
    </row>
    <row r="18">
      <c r="A18" s="2">
        <f>IF(ISNA(VLOOKUP(B18,AssociatedElements!B$2:B2940,1,FALSE)),"Not used","")</f>
        <v/>
      </c>
      <c r="B18" s="13" t="inlineStr">
        <is>
          <t>bottom_of_hole</t>
        </is>
      </c>
      <c r="C18" s="18" t="inlineStr">
        <is>
          <t>Bottom of hole</t>
        </is>
      </c>
      <c r="D18" s="19" t="inlineStr">
        <is>
          <t>The deepest point reached by the hole.</t>
        </is>
      </c>
      <c r="E18" s="18" t="inlineStr">
        <is>
          <t>string</t>
        </is>
      </c>
      <c r="F18" s="18" t="n"/>
      <c r="G18" s="9" t="inlineStr">
        <is>
          <t>DIGGS</t>
        </is>
      </c>
    </row>
    <row r="19">
      <c r="A19" s="2">
        <f>IF(ISNA(VLOOKUP(B19,AssociatedElements!B$2:B2940,1,FALSE)),"Not used","")</f>
        <v/>
      </c>
      <c r="B19" s="13" t="inlineStr">
        <is>
          <t>top_of_casing</t>
        </is>
      </c>
      <c r="C19" s="18" t="inlineStr">
        <is>
          <t>Top of casing</t>
        </is>
      </c>
      <c r="D19" s="19" t="inlineStr">
        <is>
          <t>The top of the casing installed in the hole, including an inclinometer or well casing.</t>
        </is>
      </c>
      <c r="E19" s="18" t="inlineStr">
        <is>
          <t>string</t>
        </is>
      </c>
      <c r="F19" s="18" t="n"/>
      <c r="G19" s="9" t="inlineStr">
        <is>
          <t>DIGGS</t>
        </is>
      </c>
    </row>
    <row r="20">
      <c r="A20" s="2">
        <f>IF(ISNA(VLOOKUP(B20,AssociatedElements!B$2:B2940,1,FALSE)),"Not used","")</f>
        <v/>
      </c>
      <c r="B20" s="13" t="inlineStr">
        <is>
          <t>bottom_of_casing</t>
        </is>
      </c>
      <c r="C20" s="18" t="inlineStr">
        <is>
          <t>Bottom of casing</t>
        </is>
      </c>
      <c r="D20" s="19" t="inlineStr">
        <is>
          <t>The bottom (shoe) of the casing installed in the hole.</t>
        </is>
      </c>
      <c r="E20" s="18" t="inlineStr">
        <is>
          <t>string</t>
        </is>
      </c>
      <c r="F20" s="18" t="n"/>
      <c r="G20" s="9" t="inlineStr">
        <is>
          <t>DIGGS</t>
        </is>
      </c>
    </row>
    <row r="21">
      <c r="A21" s="2">
        <f>IF(ISNA(VLOOKUP(B21,AssociatedElements!B$2:B2940,1,FALSE)),"Not used","")</f>
        <v/>
      </c>
      <c r="B21" s="13" t="inlineStr">
        <is>
          <t>top_of_riser</t>
        </is>
      </c>
      <c r="C21" s="18" t="inlineStr">
        <is>
          <t>Top of riser</t>
        </is>
      </c>
      <c r="D21" s="19" t="inlineStr">
        <is>
          <t>The top of the riser pipe of a monitoring well or piezometer.</t>
        </is>
      </c>
      <c r="E21" s="18" t="inlineStr">
        <is>
          <t>string</t>
        </is>
      </c>
      <c r="F21" s="18" t="n"/>
      <c r="G21" s="9" t="inlineStr">
        <is>
          <t>DIGGS</t>
        </is>
      </c>
    </row>
    <row r="22">
      <c r="A22" s="2">
        <f>IF(ISNA(VLOOKUP(B22,AssociatedElements!B$2:B2940,1,FALSE)),"Not used","")</f>
        <v/>
      </c>
      <c r="B22" s="13" t="inlineStr">
        <is>
          <t>top_of_protective_casing</t>
        </is>
      </c>
      <c r="C22" s="18" t="inlineStr">
        <is>
          <t>Top of protective casing</t>
        </is>
      </c>
      <c r="D22" s="19" t="inlineStr">
        <is>
          <t>The top of the outer protective casing (stickup or monument) around a well or instrument.</t>
        </is>
      </c>
      <c r="E22" s="18" t="inlineStr">
        <is>
          <t>string</t>
        </is>
      </c>
      <c r="F22" s="18" t="n"/>
      <c r="G22" s="9" t="inlineStr">
        <is>
          <t>DIGGS</t>
        </is>
      </c>
    </row>
    <row r="23">
      <c r="A23" s="2">
        <f>IF(ISNA(VLOOKUP(B23,AssociatedElements!B$2:B2940,1,FALSE)),"Not used","")</f>
        <v/>
      </c>
      <c r="B23" s="13" t="inlineStr">
        <is>
          <t>measuring_point</t>
        </is>
      </c>
      <c r="C23" s="18" t="inlineStr">
        <is>
          <t>Measuring point</t>
        </is>
      </c>
      <c r="D23" s="19" t="inlineStr">
        <is>
          <t>The marked point from which water levels or other readings in a well, piezometer or instrument are measured.</t>
        </is>
      </c>
      <c r="E23" s="18" t="inlineStr">
        <is>
          <t>string</t>
        </is>
      </c>
      <c r="F23" s="18" t="n"/>
      <c r="G23" s="9" t="inlineStr">
        <is>
          <t>DIGGS</t>
        </is>
      </c>
    </row>
    <row r="24">
      <c r="A24" s="2">
        <f>IF(ISNA(VLOOKUP(B24,AssociatedElements!B$2:B2940,1,FALSE)),"Not used","")</f>
        <v/>
      </c>
      <c r="B24" t="inlineStr">
        <is>
          <t>kickoff_point</t>
        </is>
      </c>
      <c r="C24" t="inlineStr">
        <is>
          <t>Kickoff point</t>
        </is>
      </c>
      <c r="D24" s="16" t="inlineStr">
        <is>
          <t>The point at which a directional hole departs from its initial trajectory.</t>
        </is>
      </c>
      <c r="E24" t="inlineStr">
        <is>
          <t>string</t>
        </is>
      </c>
      <c r="G24" s="9" t="inlineStr">
        <is>
          <t>DIGGS</t>
        </is>
      </c>
    </row>
    <row r="25">
      <c r="A25" s="2">
        <f>IF(ISNA(VLOOKUP(B25,AssociatedElements!B$2:B2940,1,FALSE)),"Not used","")</f>
        <v/>
      </c>
      <c r="B25" s="13" t="inlineStr">
        <is>
          <t>top_of_core</t>
        </is>
      </c>
      <c r="C25" s="13" t="inlineStr">
        <is>
          <t>Top of core</t>
        </is>
      </c>
      <c r="D25" t="inlineStr">
        <is>
          <t>The top of a core run or core piece.</t>
        </is>
      </c>
      <c r="E25" s="13" t="inlineStr">
        <is>
          <t>string</t>
        </is>
      </c>
      <c r="F25" s="13" t="n"/>
      <c r="G25" s="9" t="inlineStr">
        <is>
          <t>DIGGS</t>
        </is>
      </c>
    </row>
    <row r="26">
      <c r="A26" s="2">
        <f>IF(ISNA(VLOOKUP(B26,AssociatedElements!B$2:B2940,1,FALSE)),"Not used","")</f>
        <v/>
      </c>
      <c r="B26" s="13" t="inlineStr">
        <is>
          <t>bottom_of_core</t>
        </is>
      </c>
      <c r="C26" s="13" t="inlineStr">
        <is>
          <t>Bottom of core</t>
        </is>
      </c>
      <c r="D26" t="inlineStr">
        <is>
          <t>The bottom of a core run or core piece.</t>
        </is>
      </c>
      <c r="E26" s="13" t="inlineStr">
        <is>
          <t>string</t>
        </is>
      </c>
      <c r="F26" s="13" t="n"/>
      <c r="G26" s="9" t="inlineStr">
        <is>
          <t>DIGGS</t>
        </is>
      </c>
    </row>
    <row r="27">
      <c r="A27" s="2">
        <f>IF(ISNA(VLOOKUP(B27,AssociatedElements!B$2:B2940,1,FALSE)),"Not used","")</f>
        <v/>
      </c>
      <c r="B27" s="13" t="inlineStr">
        <is>
          <t>top_of_sample</t>
        </is>
      </c>
      <c r="C27" s="13" t="inlineStr">
        <is>
          <t>Top of sample</t>
        </is>
      </c>
      <c r="D27" s="15" t="inlineStr">
        <is>
          <t>The top of a sample or sample tube, from which positions within the sample are measured.</t>
        </is>
      </c>
      <c r="E27" s="13" t="inlineStr">
        <is>
          <t>string</t>
        </is>
      </c>
      <c r="F27" s="13" t="n"/>
      <c r="G27" s="9" t="inlineStr">
        <is>
          <t>DIGGS</t>
        </is>
      </c>
    </row>
    <row r="28">
      <c r="A28" s="2">
        <f>IF(ISNA(VLOOKUP(B28,AssociatedElements!B$2:B2940,1,FALSE)),"Not used","")</f>
        <v/>
      </c>
      <c r="B28" s="13" t="inlineStr">
        <is>
          <t>bottom_of_sample</t>
        </is>
      </c>
      <c r="C28" s="13" t="inlineStr">
        <is>
          <t>Bottom of sample</t>
        </is>
      </c>
      <c r="D28" s="14" t="inlineStr">
        <is>
          <t>The bottom of a sample or sample tube.</t>
        </is>
      </c>
      <c r="E28" s="13" t="inlineStr">
        <is>
          <t>string</t>
        </is>
      </c>
      <c r="F28" s="13" t="n"/>
      <c r="G28" s="9" t="inlineStr">
        <is>
          <t>DIGGS</t>
        </is>
      </c>
    </row>
    <row r="29">
      <c r="A29" s="2">
        <f>IF(ISNA(VLOOKUP(B29,AssociatedElements!B$2:B2940,1,FALSE)),"Not used","")</f>
        <v/>
      </c>
      <c r="B29" s="13" t="inlineStr">
        <is>
          <t>pile_head</t>
        </is>
      </c>
      <c r="C29" s="13" t="inlineStr">
        <is>
          <t>Pile head</t>
        </is>
      </c>
      <c r="D29" s="14" t="inlineStr">
        <is>
          <t>The top of a pile as installed.</t>
        </is>
      </c>
      <c r="E29" s="13" t="inlineStr">
        <is>
          <t>string</t>
        </is>
      </c>
      <c r="F29" s="13" t="n"/>
      <c r="G29" s="9" t="inlineStr">
        <is>
          <t>DIGGS</t>
        </is>
      </c>
    </row>
    <row r="30">
      <c r="A30" s="2">
        <f>IF(ISNA(VLOOKUP(B30,AssociatedElements!B$2:B2940,1,FALSE)),"Not used","")</f>
        <v/>
      </c>
      <c r="B30" s="13" t="inlineStr">
        <is>
          <t>cutoff_level</t>
        </is>
      </c>
      <c r="C30" s="13" t="inlineStr">
        <is>
          <t>Cut-off level</t>
        </is>
      </c>
      <c r="D30" s="14" t="inlineStr">
        <is>
          <t>The level to which a pile or column is trimmed, as designed or as constructed.</t>
        </is>
      </c>
      <c r="E30" s="13" t="inlineStr">
        <is>
          <t>string</t>
        </is>
      </c>
      <c r="F30" s="13" t="n"/>
      <c r="G30" s="9" t="inlineStr">
        <is>
          <t>DIGGS</t>
        </is>
      </c>
    </row>
    <row r="31">
      <c r="A31" s="2">
        <f>IF(ISNA(VLOOKUP(B31,AssociatedElements!B$2:B2940,1,FALSE)),"Not used","")</f>
        <v/>
      </c>
      <c r="B31" s="13" t="inlineStr">
        <is>
          <t>pile_toe</t>
        </is>
      </c>
      <c r="C31" s="18" t="inlineStr">
        <is>
          <t>Pile toe</t>
        </is>
      </c>
      <c r="D31" s="19" t="inlineStr">
        <is>
          <t>The bottom (tip) of a pile.</t>
        </is>
      </c>
      <c r="E31" s="18" t="inlineStr">
        <is>
          <t>string</t>
        </is>
      </c>
      <c r="F31" s="18" t="n"/>
      <c r="G31" s="9" t="inlineStr">
        <is>
          <t>DIGGS</t>
        </is>
      </c>
    </row>
    <row r="32">
      <c r="A32" s="2">
        <f>IF(ISNA(VLOOKUP(B32,AssociatedElements!B$2:B2940,1,FALSE)),"Not used","")</f>
        <v/>
      </c>
      <c r="B32" s="13" t="inlineStr">
        <is>
          <t>top_of_inclusion</t>
        </is>
      </c>
      <c r="C32" s="18" t="inlineStr">
        <is>
          <t>Top of inclusion</t>
        </is>
      </c>
      <c r="D32" s="19" t="inlineStr">
        <is>
          <t>The top of a rigid inclusion or ground improvement column.</t>
        </is>
      </c>
      <c r="E32" s="18" t="inlineStr">
        <is>
          <t>string</t>
        </is>
      </c>
      <c r="F32" s="18" t="n"/>
      <c r="G32" s="9" t="inlineStr">
        <is>
          <t>DIGGS</t>
        </is>
      </c>
    </row>
    <row r="33">
      <c r="A33" s="2">
        <f>IF(ISNA(VLOOKUP(B33,AssociatedElements!B$2:B2940,1,FALSE)),"Not used","")</f>
        <v/>
      </c>
      <c r="B33" s="13" t="inlineStr">
        <is>
          <t>bottom_of_inclusion</t>
        </is>
      </c>
      <c r="C33" s="18" t="inlineStr">
        <is>
          <t>Bottom of inclusion</t>
        </is>
      </c>
      <c r="D33" s="19" t="inlineStr">
        <is>
          <t>The bottom of a rigid inclusion or ground improvement column.</t>
        </is>
      </c>
      <c r="E33" s="18" t="inlineStr">
        <is>
          <t>string</t>
        </is>
      </c>
      <c r="F33" s="18" t="n"/>
      <c r="G33" s="9" t="inlineStr">
        <is>
          <t>DIGGS</t>
        </is>
      </c>
    </row>
    <row r="34">
      <c r="A34" s="2">
        <f>IF(ISNA(VLOOKUP(B34,AssociatedElements!B$2:B2940,1,FALSE)),"Not used","")</f>
        <v/>
      </c>
      <c r="B34" s="13" t="inlineStr">
        <is>
          <t>top_of_rock</t>
        </is>
      </c>
      <c r="C34" s="18" t="inlineStr">
        <is>
          <t>Top of rock</t>
        </is>
      </c>
      <c r="D34" s="19" t="inlineStr">
        <is>
          <t>The top of rock in the hole, from which a rock socket or rock coring length is measured.</t>
        </is>
      </c>
      <c r="E34" s="18" t="inlineStr">
        <is>
          <t>string</t>
        </is>
      </c>
      <c r="F34" s="18" t="n"/>
      <c r="G34" s="9" t="inlineStr">
        <is>
          <t>DIGGS</t>
        </is>
      </c>
    </row>
    <row r="35">
      <c r="A35" s="2">
        <f>IF(ISNA(VLOOKUP(B35,AssociatedElements!B$2:B2940,1,FALSE)),"Not used","")</f>
        <v/>
      </c>
      <c r="B35" s="13" t="inlineStr">
        <is>
          <t>line_start</t>
        </is>
      </c>
      <c r="C35" s="18" t="inlineStr">
        <is>
          <t>Line start</t>
        </is>
      </c>
      <c r="D35" s="19" t="inlineStr">
        <is>
          <t>The first point of a survey line or other linear feature.</t>
        </is>
      </c>
      <c r="E35" s="18" t="inlineStr">
        <is>
          <t>string</t>
        </is>
      </c>
      <c r="F35" s="18" t="n"/>
      <c r="G35" s="9" t="inlineStr">
        <is>
          <t>DIGGS</t>
        </is>
      </c>
    </row>
    <row r="36">
      <c r="A36" s="2">
        <f>IF(ISNA(VLOOKUP(B36,AssociatedElements!B$2:B2940,1,FALSE)),"Not used","")</f>
        <v/>
      </c>
      <c r="B36" s="13" t="inlineStr">
        <is>
          <t>line_end</t>
        </is>
      </c>
      <c r="C36" s="18" t="inlineStr">
        <is>
          <t>Line end</t>
        </is>
      </c>
      <c r="D36" s="19" t="inlineStr">
        <is>
          <t>The last point of a survey line or other linear feature.</t>
        </is>
      </c>
      <c r="E36" s="18" t="inlineStr">
        <is>
          <t>string</t>
        </is>
      </c>
      <c r="F36" s="18" t="n"/>
      <c r="G36" s="9" t="inlineStr">
        <is>
          <t>DIGGS</t>
        </is>
      </c>
    </row>
    <row r="37">
      <c r="A37" s="2">
        <f>IF(ISNA(VLOOKUP(B37,AssociatedElements!B$2:B2940,1,FALSE)),"Not used","")</f>
        <v/>
      </c>
      <c r="B37" t="inlineStr">
        <is>
          <t>intersection</t>
        </is>
      </c>
      <c r="C37" t="inlineStr">
        <is>
          <t>Intersection</t>
        </is>
      </c>
      <c r="D37" t="inlineStr">
        <is>
          <t>The crossing of this linear feature with another line or feature.</t>
        </is>
      </c>
      <c r="E37" t="inlineStr">
        <is>
          <t>string</t>
        </is>
      </c>
      <c r="G37" s="9" t="inlineStr">
        <is>
          <t>DIGGS</t>
        </is>
      </c>
    </row>
    <row r="38">
      <c r="A38">
        <f>IF(ISNA(VLOOKUP(B38,AssociatedElements!B$2:B2940,1,FALSE)),"Not used","")</f>
        <v/>
      </c>
      <c r="B38" t="inlineStr">
        <is>
          <t>benchmark</t>
        </is>
      </c>
      <c r="C38" t="inlineStr">
        <is>
          <t>Benchmark</t>
        </is>
      </c>
      <c r="D38" t="inlineStr">
        <is>
          <t>A monumented point of known elevation.</t>
        </is>
      </c>
      <c r="E38" t="inlineStr">
        <is>
          <t>string</t>
        </is>
      </c>
      <c r="G38" t="inlineStr">
        <is>
          <t>DIGGS</t>
        </is>
      </c>
    </row>
    <row r="39">
      <c r="A39">
        <f>IF(ISNA(VLOOKUP(B39,AssociatedElements!B$2:B2940,1,FALSE)),"Not used","")</f>
        <v/>
      </c>
      <c r="B39" t="inlineStr">
        <is>
          <t>mean_sea_level</t>
        </is>
      </c>
      <c r="C39" t="inlineStr">
        <is>
          <t>Mean sea level</t>
        </is>
      </c>
      <c r="D39" t="inlineStr">
        <is>
          <t>Mean sea level.</t>
        </is>
      </c>
      <c r="E39" t="inlineStr">
        <is>
          <t>string</t>
        </is>
      </c>
      <c r="G39" t="inlineStr">
        <is>
          <t>DIGGS</t>
        </is>
      </c>
    </row>
    <row r="40">
      <c r="A40">
        <f>IF(ISNA(VLOOKUP(B40,AssociatedElements!B$2:B2940,1,FALSE)),"Not used","")</f>
        <v/>
      </c>
      <c r="B40" t="inlineStr">
        <is>
          <t>lowest_astronomical_tide</t>
        </is>
      </c>
      <c r="C40" t="inlineStr">
        <is>
          <t>Lowest astronomical tide</t>
        </is>
      </c>
      <c r="D40" t="inlineStr">
        <is>
          <t>The lowest tide level that can be predicted under average meteorological conditions.</t>
        </is>
      </c>
      <c r="E40" t="inlineStr">
        <is>
          <t>string</t>
        </is>
      </c>
      <c r="G40" t="inlineStr">
        <is>
          <t>DIGGS</t>
        </is>
      </c>
    </row>
    <row r="41">
      <c r="A41">
        <f>IF(ISNA(VLOOKUP(B41,AssociatedElements!B$2:B2940,1,FALSE)),"Not used","")</f>
        <v/>
      </c>
      <c r="B41" t="inlineStr">
        <is>
          <t>mean_higher_high_water</t>
        </is>
      </c>
      <c r="C41" t="inlineStr">
        <is>
          <t>Mean higher high water</t>
        </is>
      </c>
      <c r="D41" t="inlineStr">
        <is>
          <t>The average of the higher high water height of each tidal day.</t>
        </is>
      </c>
      <c r="E41" t="inlineStr">
        <is>
          <t>string</t>
        </is>
      </c>
      <c r="G41" t="inlineStr">
        <is>
          <t>DIGGS</t>
        </is>
      </c>
    </row>
    <row r="42">
      <c r="A42">
        <f>IF(ISNA(VLOOKUP(B42,AssociatedElements!B$2:B2940,1,FALSE)),"Not used","")</f>
        <v/>
      </c>
      <c r="B42" t="inlineStr">
        <is>
          <t>mean_high_water</t>
        </is>
      </c>
      <c r="C42" t="inlineStr">
        <is>
          <t>Mean high water</t>
        </is>
      </c>
      <c r="D42" t="inlineStr">
        <is>
          <t>The average of all high water heights.</t>
        </is>
      </c>
      <c r="E42" t="inlineStr">
        <is>
          <t>string</t>
        </is>
      </c>
      <c r="G42" t="inlineStr">
        <is>
          <t>DIGGS</t>
        </is>
      </c>
    </row>
    <row r="43">
      <c r="A43">
        <f>IF(ISNA(VLOOKUP(B43,AssociatedElements!B$2:B2940,1,FALSE)),"Not used","")</f>
        <v/>
      </c>
      <c r="B43" t="inlineStr">
        <is>
          <t>mean_lower_low_water</t>
        </is>
      </c>
      <c r="C43" t="inlineStr">
        <is>
          <t>Mean lower low water</t>
        </is>
      </c>
      <c r="D43" t="inlineStr">
        <is>
          <t>The average of the lower low water height of each tidal day.</t>
        </is>
      </c>
      <c r="E43" t="inlineStr">
        <is>
          <t>string</t>
        </is>
      </c>
      <c r="G43" t="inlineStr">
        <is>
          <t>DIGGS</t>
        </is>
      </c>
    </row>
    <row r="44">
      <c r="A44">
        <f>IF(ISNA(VLOOKUP(B44,AssociatedElements!B$2:B2940,1,FALSE)),"Not used","")</f>
        <v/>
      </c>
      <c r="B44" t="inlineStr">
        <is>
          <t>mean_low_water</t>
        </is>
      </c>
      <c r="C44" t="inlineStr">
        <is>
          <t>Mean low water</t>
        </is>
      </c>
      <c r="D44" t="inlineStr">
        <is>
          <t>The average of all low water heights.</t>
        </is>
      </c>
      <c r="E44" t="inlineStr">
        <is>
          <t>string</t>
        </is>
      </c>
      <c r="G44" t="inlineStr">
        <is>
          <t>DIGGS</t>
        </is>
      </c>
    </row>
    <row r="45">
      <c r="A45">
        <f>IF(ISNA(VLOOKUP(B45,AssociatedElements!B$2:B2940,1,FALSE)),"Not used","")</f>
        <v/>
      </c>
      <c r="B45" t="inlineStr">
        <is>
          <t>mean_tide_level</t>
        </is>
      </c>
      <c r="C45" t="inlineStr">
        <is>
          <t>Mean tide level</t>
        </is>
      </c>
      <c r="D45" t="inlineStr">
        <is>
          <t>The level midway between mean high water and mean low water.</t>
        </is>
      </c>
      <c r="E45" t="inlineStr">
        <is>
          <t>string</t>
        </is>
      </c>
      <c r="G45" t="inlineStr">
        <is>
          <t>DIGGS</t>
        </is>
      </c>
    </row>
    <row r="46">
      <c r="A46">
        <f>IF(ISNA(VLOOKUP(B46,AssociatedElements!B$2:B2940,1,FALSE)),"Not used","")</f>
        <v/>
      </c>
      <c r="B46" t="inlineStr">
        <is>
          <t>chart_datum</t>
        </is>
      </c>
      <c r="C46" t="inlineStr">
        <is>
          <t>Chart datum</t>
        </is>
      </c>
      <c r="D46" t="inlineStr">
        <is>
          <t>The datum of the nautical chart used at the site, to which soundings are referred.</t>
        </is>
      </c>
      <c r="E46" t="inlineStr">
        <is>
          <t>string</t>
        </is>
      </c>
      <c r="G46" t="inlineStr">
        <is>
          <t>DIGGS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46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IF(ISNA(VLOOKUP(B2,Definitions!B$2:B2940,1,FALSE)),"Not used","")</f>
        <v/>
      </c>
      <c r="B2" s="2" t="inlineStr">
        <is>
          <t>ground_surface</t>
        </is>
      </c>
      <c r="C2" t="inlineStr">
        <is>
          <t>//diggs:Referent/diggs:name</t>
        </is>
      </c>
    </row>
    <row r="3">
      <c r="A3">
        <f>IF(ISNA(VLOOKUP(B3,Definitions!B$2:B2940,1,FALSE)),"Not used","")</f>
        <v/>
      </c>
      <c r="B3" s="20" t="inlineStr">
        <is>
          <t>original_ground_surface</t>
        </is>
      </c>
      <c r="C3" t="inlineStr">
        <is>
          <t>//diggs:Referent/diggs:name</t>
        </is>
      </c>
    </row>
    <row r="4">
      <c r="A4">
        <f>IF(ISNA(VLOOKUP(B4,Definitions!B$2:B2940,1,FALSE)),"Not used","")</f>
        <v/>
      </c>
      <c r="B4" s="2" t="inlineStr">
        <is>
          <t>finished_grade</t>
        </is>
      </c>
      <c r="C4" t="inlineStr">
        <is>
          <t>//diggs:Referent/diggs:name</t>
        </is>
      </c>
    </row>
    <row r="5">
      <c r="A5">
        <f>IF(ISNA(VLOOKUP(B5,Definitions!B$2:B2940,1,FALSE)),"Not used","")</f>
        <v/>
      </c>
      <c r="B5" s="2" t="inlineStr">
        <is>
          <t>working_platform</t>
        </is>
      </c>
      <c r="C5" t="inlineStr">
        <is>
          <t>//diggs:Referent/diggs:name</t>
        </is>
      </c>
    </row>
    <row r="6">
      <c r="A6">
        <f>IF(ISNA(VLOOKUP(B6,Definitions!B$2:B2940,1,FALSE)),"Not used","")</f>
        <v/>
      </c>
      <c r="B6" s="2" t="inlineStr">
        <is>
          <t>top_of_load_transfer_platform</t>
        </is>
      </c>
      <c r="C6" t="inlineStr">
        <is>
          <t>//diggs:Referent/diggs:name</t>
        </is>
      </c>
    </row>
    <row r="7">
      <c r="A7">
        <f>IF(ISNA(VLOOKUP(B7,Definitions!B$2:B2940,1,FALSE)),"Not used","")</f>
        <v/>
      </c>
      <c r="B7" s="2" t="inlineStr">
        <is>
          <t>bottom_of_excavation</t>
        </is>
      </c>
      <c r="C7" t="inlineStr">
        <is>
          <t>//diggs:Referent/diggs:name</t>
        </is>
      </c>
    </row>
    <row r="8">
      <c r="A8">
        <f>IF(ISNA(VLOOKUP(B8,Definitions!B$2:B2940,1,FALSE)),"Not used","")</f>
        <v/>
      </c>
      <c r="B8" s="2" t="inlineStr">
        <is>
          <t>water_surface</t>
        </is>
      </c>
      <c r="C8" t="inlineStr">
        <is>
          <t>//diggs:Referent/diggs:name</t>
        </is>
      </c>
    </row>
    <row r="9">
      <c r="A9">
        <f>IF(ISNA(VLOOKUP(B9,Definitions!B$2:B2940,1,FALSE)),"Not used","")</f>
        <v/>
      </c>
      <c r="B9" s="2" t="inlineStr">
        <is>
          <t>sea_floor</t>
        </is>
      </c>
      <c r="C9" t="inlineStr">
        <is>
          <t>//diggs:Referent/diggs:name</t>
        </is>
      </c>
    </row>
    <row r="10">
      <c r="A10">
        <f>IF(ISNA(VLOOKUP(B10,Definitions!B$2:B2940,1,FALSE)),"Not used","")</f>
        <v/>
      </c>
      <c r="B10" s="20" t="inlineStr">
        <is>
          <t>mudline</t>
        </is>
      </c>
      <c r="C10" t="inlineStr">
        <is>
          <t>//diggs:Referent/diggs:name</t>
        </is>
      </c>
    </row>
    <row r="11">
      <c r="A11">
        <f>IF(ISNA(VLOOKUP(B11,Definitions!B$2:B2940,1,FALSE)),"Not used","")</f>
        <v/>
      </c>
      <c r="B11" s="20" t="inlineStr">
        <is>
          <t>kelly_bushing</t>
        </is>
      </c>
      <c r="C11" t="inlineStr">
        <is>
          <t>//diggs:Referent/diggs:name</t>
        </is>
      </c>
    </row>
    <row r="12">
      <c r="A12">
        <f>IF(ISNA(VLOOKUP(B12,Definitions!B$2:B2940,1,FALSE)),"Not used","")</f>
        <v/>
      </c>
      <c r="B12" s="20" t="inlineStr">
        <is>
          <t>rotary_bushing</t>
        </is>
      </c>
      <c r="C12" t="inlineStr">
        <is>
          <t>//diggs:Referent/diggs:name</t>
        </is>
      </c>
    </row>
    <row r="13">
      <c r="A13">
        <f>IF(ISNA(VLOOKUP(B13,Definitions!B$2:B2940,1,FALSE)),"Not used","")</f>
        <v/>
      </c>
      <c r="B13" s="20" t="inlineStr">
        <is>
          <t>rotary_table</t>
        </is>
      </c>
      <c r="C13" t="inlineStr">
        <is>
          <t>//diggs:Referent/diggs:name</t>
        </is>
      </c>
    </row>
    <row r="14">
      <c r="A14">
        <f>IF(ISNA(VLOOKUP(B14,Definitions!B$2:B2940,1,FALSE)),"Not used","")</f>
        <v/>
      </c>
      <c r="B14" s="20" t="inlineStr">
        <is>
          <t>derrick_floor</t>
        </is>
      </c>
      <c r="C14" t="inlineStr">
        <is>
          <t>//diggs:Referent/diggs:name</t>
        </is>
      </c>
    </row>
    <row r="15">
      <c r="A15">
        <f>IF(ISNA(VLOOKUP(B15,Definitions!B$2:B2940,1,FALSE)),"Not used","")</f>
        <v/>
      </c>
      <c r="B15" s="2" t="inlineStr">
        <is>
          <t>crown_valve</t>
        </is>
      </c>
      <c r="C15" t="inlineStr">
        <is>
          <t>//diggs:Referent/diggs:name</t>
        </is>
      </c>
    </row>
    <row r="16">
      <c r="A16">
        <f>IF(ISNA(VLOOKUP(B16,Definitions!B$2:B2940,1,FALSE)),"Not used","")</f>
        <v/>
      </c>
      <c r="B16" s="2" t="inlineStr">
        <is>
          <t>casing_flange</t>
        </is>
      </c>
      <c r="C16" t="inlineStr">
        <is>
          <t>//diggs:Referent/diggs:name</t>
        </is>
      </c>
    </row>
    <row r="17">
      <c r="A17">
        <f>IF(ISNA(VLOOKUP(B17,Definitions!B$2:B2940,1,FALSE)),"Not used","")</f>
        <v/>
      </c>
      <c r="B17" s="2" t="inlineStr">
        <is>
          <t>top_of_hole</t>
        </is>
      </c>
      <c r="C17" t="inlineStr">
        <is>
          <t>//diggs:Referent/diggs:name</t>
        </is>
      </c>
    </row>
    <row r="18">
      <c r="A18">
        <f>IF(ISNA(VLOOKUP(B18,Definitions!B$2:B2940,1,FALSE)),"Not used","")</f>
        <v/>
      </c>
      <c r="B18" s="2" t="inlineStr">
        <is>
          <t>bottom_of_hole</t>
        </is>
      </c>
      <c r="C18" t="inlineStr">
        <is>
          <t>//diggs:Referent/diggs:name</t>
        </is>
      </c>
    </row>
    <row r="19">
      <c r="A19">
        <f>IF(ISNA(VLOOKUP(B19,Definitions!B$2:B2940,1,FALSE)),"Not used","")</f>
        <v/>
      </c>
      <c r="B19" s="20" t="inlineStr">
        <is>
          <t>top_of_casing</t>
        </is>
      </c>
      <c r="C19" t="inlineStr">
        <is>
          <t>//diggs:Referent/diggs:name</t>
        </is>
      </c>
    </row>
    <row r="20">
      <c r="A20">
        <f>IF(ISNA(VLOOKUP(B20,Definitions!B$2:B2940,1,FALSE)),"Not used","")</f>
        <v/>
      </c>
      <c r="B20" s="20" t="inlineStr">
        <is>
          <t>bottom_of_casing</t>
        </is>
      </c>
      <c r="C20" t="inlineStr">
        <is>
          <t>//diggs:Referent/diggs:name</t>
        </is>
      </c>
    </row>
    <row r="21">
      <c r="A21">
        <f>IF(ISNA(VLOOKUP(B21,Definitions!B$2:B2940,1,FALSE)),"Not used","")</f>
        <v/>
      </c>
      <c r="B21" s="20" t="inlineStr">
        <is>
          <t>top_of_riser</t>
        </is>
      </c>
      <c r="C21" t="inlineStr">
        <is>
          <t>//diggs:Referent/diggs:name</t>
        </is>
      </c>
    </row>
    <row r="22">
      <c r="A22">
        <f>IF(ISNA(VLOOKUP(B22,Definitions!B$2:B2940,1,FALSE)),"Not used","")</f>
        <v/>
      </c>
      <c r="B22" s="20" t="inlineStr">
        <is>
          <t>top_of_protective_casing</t>
        </is>
      </c>
      <c r="C22" t="inlineStr">
        <is>
          <t>//diggs:Referent/diggs:name</t>
        </is>
      </c>
    </row>
    <row r="23">
      <c r="A23">
        <f>IF(ISNA(VLOOKUP(B23,Definitions!B$2:B2940,1,FALSE)),"Not used","")</f>
        <v/>
      </c>
      <c r="B23" s="20" t="inlineStr">
        <is>
          <t>measuring_point</t>
        </is>
      </c>
      <c r="C23" t="inlineStr">
        <is>
          <t>//diggs:Referent/diggs:name</t>
        </is>
      </c>
    </row>
    <row r="24">
      <c r="A24">
        <f>IF(ISNA(VLOOKUP(B24,Definitions!B$2:B2940,1,FALSE)),"Not used","")</f>
        <v/>
      </c>
      <c r="B24" s="2" t="inlineStr">
        <is>
          <t>kickoff_point</t>
        </is>
      </c>
      <c r="C24" t="inlineStr">
        <is>
          <t>//diggs:Referent/diggs:name</t>
        </is>
      </c>
    </row>
    <row r="25">
      <c r="A25">
        <f>IF(ISNA(VLOOKUP(B25,Definitions!B$2:B2940,1,FALSE)),"Not used","")</f>
        <v/>
      </c>
      <c r="B25" s="2" t="inlineStr">
        <is>
          <t>top_of_core</t>
        </is>
      </c>
      <c r="C25" t="inlineStr">
        <is>
          <t>//diggs:Referent/diggs:name</t>
        </is>
      </c>
    </row>
    <row r="26">
      <c r="A26">
        <f>IF(ISNA(VLOOKUP(B26,Definitions!B$2:B2940,1,FALSE)),"Not used","")</f>
        <v/>
      </c>
      <c r="B26" s="2" t="inlineStr">
        <is>
          <t>bottom_of_core</t>
        </is>
      </c>
      <c r="C26" t="inlineStr">
        <is>
          <t>//diggs:Referent/diggs:name</t>
        </is>
      </c>
    </row>
    <row r="27">
      <c r="A27">
        <f>IF(ISNA(VLOOKUP(B27,Definitions!B$2:B2940,1,FALSE)),"Not used","")</f>
        <v/>
      </c>
      <c r="B27" s="13" t="inlineStr">
        <is>
          <t>top_of_sample</t>
        </is>
      </c>
      <c r="C27" t="inlineStr">
        <is>
          <t>//diggs:Referent/diggs:name</t>
        </is>
      </c>
    </row>
    <row r="28">
      <c r="A28">
        <f>IF(ISNA(VLOOKUP(B28,Definitions!B$2:B2940,1,FALSE)),"Not used","")</f>
        <v/>
      </c>
      <c r="B28" s="13" t="inlineStr">
        <is>
          <t>bottom_of_sample</t>
        </is>
      </c>
      <c r="C28" t="inlineStr">
        <is>
          <t>//diggs:Referent/diggs:name</t>
        </is>
      </c>
    </row>
    <row r="29">
      <c r="A29">
        <f>IF(ISNA(VLOOKUP(B29,Definitions!B$2:B2940,1,FALSE)),"Not used","")</f>
        <v/>
      </c>
      <c r="B29" s="13" t="inlineStr">
        <is>
          <t>pile_head</t>
        </is>
      </c>
      <c r="C29" t="inlineStr">
        <is>
          <t>//diggs:Referent/diggs:name</t>
        </is>
      </c>
    </row>
    <row r="30">
      <c r="A30">
        <f>IF(ISNA(VLOOKUP(B30,Definitions!B$2:B2940,1,FALSE)),"Not used","")</f>
        <v/>
      </c>
      <c r="B30" s="13" t="inlineStr">
        <is>
          <t>cutoff_level</t>
        </is>
      </c>
      <c r="C30" t="inlineStr">
        <is>
          <t>//diggs:Referent/diggs:name</t>
        </is>
      </c>
    </row>
    <row r="31">
      <c r="A31">
        <f>IF(ISNA(VLOOKUP(B31,Definitions!B$2:B2940,1,FALSE)),"Not used","")</f>
        <v/>
      </c>
      <c r="B31" s="13" t="inlineStr">
        <is>
          <t>pile_toe</t>
        </is>
      </c>
      <c r="C31" t="inlineStr">
        <is>
          <t>//diggs:Referent/diggs:name</t>
        </is>
      </c>
    </row>
    <row r="32">
      <c r="A32">
        <f>IF(ISNA(VLOOKUP(B32,Definitions!B$2:B2940,1,FALSE)),"Not used","")</f>
        <v/>
      </c>
      <c r="B32" s="13" t="inlineStr">
        <is>
          <t>top_of_inclusion</t>
        </is>
      </c>
      <c r="C32" t="inlineStr">
        <is>
          <t>//diggs:Referent/diggs:name</t>
        </is>
      </c>
    </row>
    <row r="33">
      <c r="A33">
        <f>IF(ISNA(VLOOKUP(B33,Definitions!B$2:B2940,1,FALSE)),"Not used","")</f>
        <v/>
      </c>
      <c r="B33" s="13" t="inlineStr">
        <is>
          <t>bottom_of_inclusion</t>
        </is>
      </c>
      <c r="C33" t="inlineStr">
        <is>
          <t>//diggs:Referent/diggs:name</t>
        </is>
      </c>
    </row>
    <row r="34">
      <c r="A34">
        <f>IF(ISNA(VLOOKUP(B34,Definitions!B$2:B2940,1,FALSE)),"Not used","")</f>
        <v/>
      </c>
      <c r="B34" s="13" t="inlineStr">
        <is>
          <t>top_of_rock</t>
        </is>
      </c>
      <c r="C34" t="inlineStr">
        <is>
          <t>//diggs:Referent/diggs:name</t>
        </is>
      </c>
    </row>
    <row r="35">
      <c r="A35">
        <f>IF(ISNA(VLOOKUP(B35,Definitions!B$2:B2940,1,FALSE)),"Not used","")</f>
        <v/>
      </c>
      <c r="B35" s="13" t="inlineStr">
        <is>
          <t>line_start</t>
        </is>
      </c>
      <c r="C35" t="inlineStr">
        <is>
          <t>//diggs:Referent/diggs:name</t>
        </is>
      </c>
    </row>
    <row r="36">
      <c r="A36">
        <f>IF(ISNA(VLOOKUP(B36,Definitions!B$2:B2940,1,FALSE)),"Not used","")</f>
        <v/>
      </c>
      <c r="B36" s="13" t="inlineStr">
        <is>
          <t>line_end</t>
        </is>
      </c>
      <c r="C36" t="inlineStr">
        <is>
          <t>//diggs:Referent/diggs:name</t>
        </is>
      </c>
    </row>
    <row r="37">
      <c r="A37">
        <f>IF(ISNA(VLOOKUP(B37,Definitions!B$2:B2940,1,FALSE)),"Not used","")</f>
        <v/>
      </c>
      <c r="B37" s="2" t="inlineStr">
        <is>
          <t>intersection</t>
        </is>
      </c>
      <c r="C37" t="inlineStr">
        <is>
          <t>//diggs:Referent/diggs:name</t>
        </is>
      </c>
    </row>
    <row r="38">
      <c r="A38">
        <f>IF(ISNA(VLOOKUP(B38,Definitions!B$2:B2940,1,FALSE)),"Not used","")</f>
        <v/>
      </c>
      <c r="B38" t="inlineStr">
        <is>
          <t>benchmark</t>
        </is>
      </c>
      <c r="C38" t="inlineStr">
        <is>
          <t>//diggs:Referent/diggs:name</t>
        </is>
      </c>
    </row>
    <row r="39">
      <c r="A39">
        <f>IF(ISNA(VLOOKUP(B39,Definitions!B$2:B2940,1,FALSE)),"Not used","")</f>
        <v/>
      </c>
      <c r="B39" t="inlineStr">
        <is>
          <t>mean_sea_level</t>
        </is>
      </c>
      <c r="C39" t="inlineStr">
        <is>
          <t>//diggs:Referent/diggs:name</t>
        </is>
      </c>
    </row>
    <row r="40">
      <c r="A40">
        <f>IF(ISNA(VLOOKUP(B40,Definitions!B$2:B2940,1,FALSE)),"Not used","")</f>
        <v/>
      </c>
      <c r="B40" t="inlineStr">
        <is>
          <t>lowest_astronomical_tide</t>
        </is>
      </c>
      <c r="C40" t="inlineStr">
        <is>
          <t>//diggs:Referent/diggs:name</t>
        </is>
      </c>
    </row>
    <row r="41">
      <c r="A41">
        <f>IF(ISNA(VLOOKUP(B41,Definitions!B$2:B2940,1,FALSE)),"Not used","")</f>
        <v/>
      </c>
      <c r="B41" t="inlineStr">
        <is>
          <t>mean_higher_high_water</t>
        </is>
      </c>
      <c r="C41" t="inlineStr">
        <is>
          <t>//diggs:Referent/diggs:name</t>
        </is>
      </c>
    </row>
    <row r="42">
      <c r="A42">
        <f>IF(ISNA(VLOOKUP(B42,Definitions!B$2:B2940,1,FALSE)),"Not used","")</f>
        <v/>
      </c>
      <c r="B42" t="inlineStr">
        <is>
          <t>mean_high_water</t>
        </is>
      </c>
      <c r="C42" t="inlineStr">
        <is>
          <t>//diggs:Referent/diggs:name</t>
        </is>
      </c>
    </row>
    <row r="43">
      <c r="A43">
        <f>IF(ISNA(VLOOKUP(B43,Definitions!B$2:B2940,1,FALSE)),"Not used","")</f>
        <v/>
      </c>
      <c r="B43" t="inlineStr">
        <is>
          <t>mean_lower_low_water</t>
        </is>
      </c>
      <c r="C43" t="inlineStr">
        <is>
          <t>//diggs:Referent/diggs:name</t>
        </is>
      </c>
    </row>
    <row r="44">
      <c r="A44">
        <f>IF(ISNA(VLOOKUP(B44,Definitions!B$2:B2940,1,FALSE)),"Not used","")</f>
        <v/>
      </c>
      <c r="B44" t="inlineStr">
        <is>
          <t>mean_low_water</t>
        </is>
      </c>
      <c r="C44" t="inlineStr">
        <is>
          <t>//diggs:Referent/diggs:name</t>
        </is>
      </c>
    </row>
    <row r="45">
      <c r="A45">
        <f>IF(ISNA(VLOOKUP(B45,Definitions!B$2:B2940,1,FALSE)),"Not used","")</f>
        <v/>
      </c>
      <c r="B45" t="inlineStr">
        <is>
          <t>mean_tide_level</t>
        </is>
      </c>
      <c r="C45" t="inlineStr">
        <is>
          <t>//diggs:Referent/diggs:name</t>
        </is>
      </c>
    </row>
    <row r="46">
      <c r="A46">
        <f>IF(ISNA(VLOOKUP(B46,Definitions!B$2:B2940,1,FALSE)),"Not used","")</f>
        <v/>
      </c>
      <c r="B46" t="inlineStr">
        <is>
          <t>chart_datum</t>
        </is>
      </c>
      <c r="C46" t="inlineStr">
        <is>
          <t>//diggs:Referent/diggs:name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3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ground_surface</t>
        </is>
      </c>
      <c r="C2" s="3" t="inlineStr">
        <is>
          <t>GS</t>
        </is>
      </c>
    </row>
    <row r="3">
      <c r="A3">
        <f>IF(ISNA(VLOOKUP(B3,Definitions!B$2:B$1839,1,FALSE)),"Not listed","")</f>
        <v/>
      </c>
      <c r="B3" t="inlineStr">
        <is>
          <t>ground_surface</t>
        </is>
      </c>
      <c r="C3" t="inlineStr">
        <is>
          <t>GL</t>
        </is>
      </c>
    </row>
    <row r="4">
      <c r="A4">
        <f>IF(ISNA(VLOOKUP(B4,Definitions!B$2:B$1839,1,FALSE)),"Not listed","")</f>
        <v/>
      </c>
      <c r="B4" t="inlineStr">
        <is>
          <t>ground_surface</t>
        </is>
      </c>
      <c r="C4" t="inlineStr">
        <is>
          <t>Ground level</t>
        </is>
      </c>
    </row>
    <row r="5">
      <c r="A5">
        <f>IF(ISNA(VLOOKUP(B5,Definitions!B$2:B$1839,1,FALSE)),"Not listed","")</f>
        <v/>
      </c>
      <c r="B5" t="inlineStr">
        <is>
          <t>ground_surface</t>
        </is>
      </c>
      <c r="C5" t="inlineStr">
        <is>
          <t>Existing grade</t>
        </is>
      </c>
    </row>
    <row r="6">
      <c r="A6">
        <f>IF(ISNA(VLOOKUP(B6,Definitions!B$2:B$1839,1,FALSE)),"Not listed","")</f>
        <v/>
      </c>
      <c r="B6" t="inlineStr">
        <is>
          <t>original_ground_surface</t>
        </is>
      </c>
      <c r="C6" t="inlineStr">
        <is>
          <t>OGS</t>
        </is>
      </c>
    </row>
    <row r="7">
      <c r="A7">
        <f>IF(ISNA(VLOOKUP(B7,Definitions!B$2:B$1839,1,FALSE)),"Not listed","")</f>
        <v/>
      </c>
      <c r="B7" t="inlineStr">
        <is>
          <t>original_ground_surface</t>
        </is>
      </c>
      <c r="C7" t="inlineStr">
        <is>
          <t>OGL</t>
        </is>
      </c>
    </row>
    <row r="8">
      <c r="A8">
        <f>IF(ISNA(VLOOKUP(B8,Definitions!B$2:B$1839,1,FALSE)),"Not listed","")</f>
        <v/>
      </c>
      <c r="B8" t="inlineStr">
        <is>
          <t>original_ground_surface</t>
        </is>
      </c>
      <c r="C8" t="inlineStr">
        <is>
          <t>Original ground level</t>
        </is>
      </c>
    </row>
    <row r="9">
      <c r="A9">
        <f>IF(ISNA(VLOOKUP(B9,Definitions!B$2:B$1839,1,FALSE)),"Not listed","")</f>
        <v/>
      </c>
      <c r="B9" t="inlineStr">
        <is>
          <t>original_ground_surface</t>
        </is>
      </c>
      <c r="C9" t="inlineStr">
        <is>
          <t>Natural ground</t>
        </is>
      </c>
    </row>
    <row r="10">
      <c r="A10">
        <f>IF(ISNA(VLOOKUP(B10,Definitions!B$2:B$1839,1,FALSE)),"Not listed","")</f>
        <v/>
      </c>
      <c r="B10" t="inlineStr">
        <is>
          <t>finished_grade</t>
        </is>
      </c>
      <c r="C10" t="inlineStr">
        <is>
          <t>FG</t>
        </is>
      </c>
    </row>
    <row r="11">
      <c r="A11">
        <f>IF(ISNA(VLOOKUP(B11,Definitions!B$2:B$1839,1,FALSE)),"Not listed","")</f>
        <v/>
      </c>
      <c r="B11" t="inlineStr">
        <is>
          <t>finished_grade</t>
        </is>
      </c>
      <c r="C11" t="inlineStr">
        <is>
          <t>FGL</t>
        </is>
      </c>
    </row>
    <row r="12">
      <c r="A12">
        <f>IF(ISNA(VLOOKUP(B12,Definitions!B$2:B$1839,1,FALSE)),"Not listed","")</f>
        <v/>
      </c>
      <c r="B12" t="inlineStr">
        <is>
          <t>finished_grade</t>
        </is>
      </c>
      <c r="C12" t="inlineStr">
        <is>
          <t>Finished ground level</t>
        </is>
      </c>
    </row>
    <row r="13">
      <c r="A13">
        <f>IF(ISNA(VLOOKUP(B13,Definitions!B$2:B$1839,1,FALSE)),"Not listed","")</f>
        <v/>
      </c>
      <c r="B13" t="inlineStr">
        <is>
          <t>working_platform</t>
        </is>
      </c>
      <c r="C13" t="inlineStr">
        <is>
          <t>WP</t>
        </is>
      </c>
    </row>
    <row r="14">
      <c r="A14">
        <f>IF(ISNA(VLOOKUP(B14,Definitions!B$2:B$1839,1,FALSE)),"Not listed","")</f>
        <v/>
      </c>
      <c r="B14" t="inlineStr">
        <is>
          <t>working_platform</t>
        </is>
      </c>
      <c r="C14" t="inlineStr">
        <is>
          <t>WPL</t>
        </is>
      </c>
    </row>
    <row r="15">
      <c r="A15">
        <f>IF(ISNA(VLOOKUP(B15,Definitions!B$2:B$1839,1,FALSE)),"Not listed","")</f>
        <v/>
      </c>
      <c r="B15" t="inlineStr">
        <is>
          <t>working_platform</t>
        </is>
      </c>
      <c r="C15" t="inlineStr">
        <is>
          <t>Piling platform</t>
        </is>
      </c>
    </row>
    <row r="16">
      <c r="A16">
        <f>IF(ISNA(VLOOKUP(B16,Definitions!B$2:B$1839,1,FALSE)),"Not listed","")</f>
        <v/>
      </c>
      <c r="B16" t="inlineStr">
        <is>
          <t>working_platform</t>
        </is>
      </c>
      <c r="C16" t="inlineStr">
        <is>
          <t>Platform level</t>
        </is>
      </c>
    </row>
    <row r="17">
      <c r="A17">
        <f>IF(ISNA(VLOOKUP(B17,Definitions!B$2:B$1839,1,FALSE)),"Not listed","")</f>
        <v/>
      </c>
      <c r="B17" t="inlineStr">
        <is>
          <t>top_of_load_transfer_platform</t>
        </is>
      </c>
      <c r="C17" t="inlineStr">
        <is>
          <t>LTP</t>
        </is>
      </c>
    </row>
    <row r="18">
      <c r="A18">
        <f>IF(ISNA(VLOOKUP(B18,Definitions!B$2:B$1839,1,FALSE)),"Not listed","")</f>
        <v/>
      </c>
      <c r="B18" t="inlineStr">
        <is>
          <t>top_of_load_transfer_platform</t>
        </is>
      </c>
      <c r="C18" t="inlineStr">
        <is>
          <t>Top of LTP</t>
        </is>
      </c>
    </row>
    <row r="19">
      <c r="A19">
        <f>IF(ISNA(VLOOKUP(B19,Definitions!B$2:B$1839,1,FALSE)),"Not listed","")</f>
        <v/>
      </c>
      <c r="B19" t="inlineStr">
        <is>
          <t>bottom_of_excavation</t>
        </is>
      </c>
      <c r="C19" t="inlineStr">
        <is>
          <t>BOE</t>
        </is>
      </c>
    </row>
    <row r="20">
      <c r="A20">
        <f>IF(ISNA(VLOOKUP(B20,Definitions!B$2:B$1839,1,FALSE)),"Not listed","")</f>
        <v/>
      </c>
      <c r="B20" t="inlineStr">
        <is>
          <t>bottom_of_excavation</t>
        </is>
      </c>
      <c r="C20" t="inlineStr">
        <is>
          <t>Formation level</t>
        </is>
      </c>
    </row>
    <row r="21">
      <c r="A21">
        <f>IF(ISNA(VLOOKUP(B21,Definitions!B$2:B$1839,1,FALSE)),"Not listed","")</f>
        <v/>
      </c>
      <c r="B21" t="inlineStr">
        <is>
          <t>water_surface</t>
        </is>
      </c>
      <c r="C21" t="inlineStr">
        <is>
          <t>WS</t>
        </is>
      </c>
    </row>
    <row r="22">
      <c r="A22">
        <f>IF(ISNA(VLOOKUP(B22,Definitions!B$2:B$1839,1,FALSE)),"Not listed","")</f>
        <v/>
      </c>
      <c r="B22" t="inlineStr">
        <is>
          <t>sea_floor</t>
        </is>
      </c>
      <c r="C22" t="inlineStr">
        <is>
          <t>SF</t>
        </is>
      </c>
    </row>
    <row r="23">
      <c r="A23">
        <f>IF(ISNA(VLOOKUP(B23,Definitions!B$2:B$1839,1,FALSE)),"Not listed","")</f>
        <v/>
      </c>
      <c r="B23" t="inlineStr">
        <is>
          <t>sea_floor</t>
        </is>
      </c>
      <c r="C23" t="inlineStr">
        <is>
          <t>SB</t>
        </is>
      </c>
    </row>
    <row r="24">
      <c r="A24">
        <f>IF(ISNA(VLOOKUP(B24,Definitions!B$2:B$1839,1,FALSE)),"Not listed","")</f>
        <v/>
      </c>
      <c r="B24" t="inlineStr">
        <is>
          <t>sea_floor</t>
        </is>
      </c>
      <c r="C24" t="inlineStr">
        <is>
          <t>Seabed</t>
        </is>
      </c>
    </row>
    <row r="25">
      <c r="A25">
        <f>IF(ISNA(VLOOKUP(B25,Definitions!B$2:B$1839,1,FALSE)),"Not listed","")</f>
        <v/>
      </c>
      <c r="B25" t="inlineStr">
        <is>
          <t>sea_floor</t>
        </is>
      </c>
      <c r="C25" t="inlineStr">
        <is>
          <t>Seafloor</t>
        </is>
      </c>
    </row>
    <row r="26">
      <c r="A26">
        <f>IF(ISNA(VLOOKUP(B26,Definitions!B$2:B$1839,1,FALSE)),"Not listed","")</f>
        <v/>
      </c>
      <c r="B26" t="inlineStr">
        <is>
          <t>mudline</t>
        </is>
      </c>
      <c r="C26" t="inlineStr">
        <is>
          <t>ML</t>
        </is>
      </c>
    </row>
    <row r="27">
      <c r="A27">
        <f>IF(ISNA(VLOOKUP(B27,Definitions!B$2:B$1839,1,FALSE)),"Not listed","")</f>
        <v/>
      </c>
      <c r="B27" t="inlineStr">
        <is>
          <t>kelly_bushing</t>
        </is>
      </c>
      <c r="C27" t="inlineStr">
        <is>
          <t>KB</t>
        </is>
      </c>
    </row>
    <row r="28">
      <c r="A28">
        <f>IF(ISNA(VLOOKUP(B28,Definitions!B$2:B$1839,1,FALSE)),"Not listed","")</f>
        <v/>
      </c>
      <c r="B28" t="inlineStr">
        <is>
          <t>rotary_bushing</t>
        </is>
      </c>
      <c r="C28" t="inlineStr">
        <is>
          <t>RB</t>
        </is>
      </c>
    </row>
    <row r="29">
      <c r="A29">
        <f>IF(ISNA(VLOOKUP(B29,Definitions!B$2:B$1839,1,FALSE)),"Not listed","")</f>
        <v/>
      </c>
      <c r="B29" t="inlineStr">
        <is>
          <t>rotary_table</t>
        </is>
      </c>
      <c r="C29" t="inlineStr">
        <is>
          <t>RT</t>
        </is>
      </c>
    </row>
    <row r="30">
      <c r="A30">
        <f>IF(ISNA(VLOOKUP(B30,Definitions!B$2:B$1839,1,FALSE)),"Not listed","")</f>
        <v/>
      </c>
      <c r="B30" t="inlineStr">
        <is>
          <t>derrick_floor</t>
        </is>
      </c>
      <c r="C30" t="inlineStr">
        <is>
          <t>DF</t>
        </is>
      </c>
    </row>
    <row r="31">
      <c r="A31">
        <f>IF(ISNA(VLOOKUP(B31,Definitions!B$2:B$1839,1,FALSE)),"Not listed","")</f>
        <v/>
      </c>
      <c r="B31" t="inlineStr">
        <is>
          <t>derrick_floor</t>
        </is>
      </c>
      <c r="C31" t="inlineStr">
        <is>
          <t>Drill floor</t>
        </is>
      </c>
    </row>
    <row r="32">
      <c r="A32">
        <f>IF(ISNA(VLOOKUP(B32,Definitions!B$2:B$1839,1,FALSE)),"Not listed","")</f>
        <v/>
      </c>
      <c r="B32" t="inlineStr">
        <is>
          <t>derrick_floor</t>
        </is>
      </c>
      <c r="C32" t="inlineStr">
        <is>
          <t>Rig floor</t>
        </is>
      </c>
    </row>
    <row r="33">
      <c r="A33">
        <f>IF(ISNA(VLOOKUP(B33,Definitions!B$2:B$1839,1,FALSE)),"Not listed","")</f>
        <v/>
      </c>
      <c r="B33" t="inlineStr">
        <is>
          <t>derrick_floor</t>
        </is>
      </c>
      <c r="C33" t="inlineStr">
        <is>
          <t>RF</t>
        </is>
      </c>
    </row>
    <row r="34">
      <c r="A34">
        <f>IF(ISNA(VLOOKUP(B34,Definitions!B$2:B$1839,1,FALSE)),"Not listed","")</f>
        <v/>
      </c>
      <c r="B34" t="inlineStr">
        <is>
          <t>crown_valve</t>
        </is>
      </c>
      <c r="C34" t="inlineStr">
        <is>
          <t>CV</t>
        </is>
      </c>
    </row>
    <row r="35">
      <c r="A35">
        <f>IF(ISNA(VLOOKUP(B35,Definitions!B$2:B$1839,1,FALSE)),"Not listed","")</f>
        <v/>
      </c>
      <c r="B35" t="inlineStr">
        <is>
          <t>casing_flange</t>
        </is>
      </c>
      <c r="C35" t="inlineStr">
        <is>
          <t>CF</t>
        </is>
      </c>
    </row>
    <row r="36">
      <c r="A36">
        <f>IF(ISNA(VLOOKUP(B36,Definitions!B$2:B$1839,1,FALSE)),"Not listed","")</f>
        <v/>
      </c>
      <c r="B36" t="inlineStr">
        <is>
          <t>top_of_hole</t>
        </is>
      </c>
      <c r="C36" t="inlineStr">
        <is>
          <t>TOH</t>
        </is>
      </c>
    </row>
    <row r="37">
      <c r="A37">
        <f>IF(ISNA(VLOOKUP(B37,Definitions!B$2:B$1839,1,FALSE)),"Not listed","")</f>
        <v/>
      </c>
      <c r="B37" t="inlineStr">
        <is>
          <t>top_of_hole</t>
        </is>
      </c>
      <c r="C37" t="inlineStr">
        <is>
          <t>Collar</t>
        </is>
      </c>
    </row>
    <row r="38">
      <c r="A38">
        <f>IF(ISNA(VLOOKUP(B38,Definitions!B$2:B$1839,1,FALSE)),"Not listed","")</f>
        <v/>
      </c>
      <c r="B38" t="inlineStr">
        <is>
          <t>bottom_of_hole</t>
        </is>
      </c>
      <c r="C38" t="inlineStr">
        <is>
          <t>BOH</t>
        </is>
      </c>
    </row>
    <row r="39">
      <c r="A39">
        <f>IF(ISNA(VLOOKUP(B39,Definitions!B$2:B$1839,1,FALSE)),"Not listed","")</f>
        <v/>
      </c>
      <c r="B39" t="inlineStr">
        <is>
          <t>bottom_of_hole</t>
        </is>
      </c>
      <c r="C39" t="inlineStr">
        <is>
          <t>TD</t>
        </is>
      </c>
    </row>
    <row r="40">
      <c r="A40">
        <f>IF(ISNA(VLOOKUP(B40,Definitions!B$2:B$1839,1,FALSE)),"Not listed","")</f>
        <v/>
      </c>
      <c r="B40" t="inlineStr">
        <is>
          <t>bottom_of_hole</t>
        </is>
      </c>
      <c r="C40" t="inlineStr">
        <is>
          <t>Total depth</t>
        </is>
      </c>
    </row>
    <row r="41">
      <c r="A41">
        <f>IF(ISNA(VLOOKUP(B41,Definitions!B$2:B$1839,1,FALSE)),"Not listed","")</f>
        <v/>
      </c>
      <c r="B41" t="inlineStr">
        <is>
          <t>top_of_casing</t>
        </is>
      </c>
      <c r="C41" t="inlineStr">
        <is>
          <t>TOC</t>
        </is>
      </c>
    </row>
    <row r="42">
      <c r="A42">
        <f>IF(ISNA(VLOOKUP(B42,Definitions!B$2:B$1839,1,FALSE)),"Not listed","")</f>
        <v/>
      </c>
      <c r="B42" t="inlineStr">
        <is>
          <t>bottom_of_casing</t>
        </is>
      </c>
      <c r="C42" t="inlineStr">
        <is>
          <t>BOC</t>
        </is>
      </c>
    </row>
    <row r="43">
      <c r="A43">
        <f>IF(ISNA(VLOOKUP(B43,Definitions!B$2:B$1839,1,FALSE)),"Not listed","")</f>
        <v/>
      </c>
      <c r="B43" t="inlineStr">
        <is>
          <t>bottom_of_casing</t>
        </is>
      </c>
      <c r="C43" t="inlineStr">
        <is>
          <t>Casing shoe</t>
        </is>
      </c>
    </row>
    <row r="44">
      <c r="A44">
        <f>IF(ISNA(VLOOKUP(B44,Definitions!B$2:B$1839,1,FALSE)),"Not listed","")</f>
        <v/>
      </c>
      <c r="B44" t="inlineStr">
        <is>
          <t>top_of_riser</t>
        </is>
      </c>
      <c r="C44" t="inlineStr">
        <is>
          <t>TOR</t>
        </is>
      </c>
    </row>
    <row r="45">
      <c r="A45">
        <f>IF(ISNA(VLOOKUP(B45,Definitions!B$2:B$1839,1,FALSE)),"Not listed","")</f>
        <v/>
      </c>
      <c r="B45" t="inlineStr">
        <is>
          <t>top_of_protective_casing</t>
        </is>
      </c>
      <c r="C45" t="inlineStr">
        <is>
          <t>TOPC</t>
        </is>
      </c>
    </row>
    <row r="46">
      <c r="A46">
        <f>IF(ISNA(VLOOKUP(B46,Definitions!B$2:B$1839,1,FALSE)),"Not listed","")</f>
        <v/>
      </c>
      <c r="B46" t="inlineStr">
        <is>
          <t>top_of_protective_casing</t>
        </is>
      </c>
      <c r="C46" t="inlineStr">
        <is>
          <t>Top of stickup</t>
        </is>
      </c>
    </row>
    <row r="47">
      <c r="A47">
        <f>IF(ISNA(VLOOKUP(B47,Definitions!B$2:B$1839,1,FALSE)),"Not listed","")</f>
        <v/>
      </c>
      <c r="B47" t="inlineStr">
        <is>
          <t>measuring_point</t>
        </is>
      </c>
      <c r="C47" t="inlineStr">
        <is>
          <t>MP</t>
        </is>
      </c>
    </row>
    <row r="48">
      <c r="A48">
        <f>IF(ISNA(VLOOKUP(B48,Definitions!B$2:B$1839,1,FALSE)),"Not listed","")</f>
        <v/>
      </c>
      <c r="B48" t="inlineStr">
        <is>
          <t>kickoff_point</t>
        </is>
      </c>
      <c r="C48" t="inlineStr">
        <is>
          <t>KOP</t>
        </is>
      </c>
    </row>
    <row r="49">
      <c r="A49">
        <f>IF(ISNA(VLOOKUP(B49,Definitions!B$2:B$1839,1,FALSE)),"Not listed","")</f>
        <v/>
      </c>
      <c r="B49" t="inlineStr">
        <is>
          <t>top_of_core</t>
        </is>
      </c>
      <c r="C49" t="inlineStr">
        <is>
          <t>TOC</t>
        </is>
      </c>
    </row>
    <row r="50">
      <c r="A50">
        <f>IF(ISNA(VLOOKUP(B50,Definitions!B$2:B$1839,1,FALSE)),"Not listed","")</f>
        <v/>
      </c>
      <c r="B50" t="inlineStr">
        <is>
          <t>bottom_of_core</t>
        </is>
      </c>
      <c r="C50" t="inlineStr">
        <is>
          <t>BOC</t>
        </is>
      </c>
    </row>
    <row r="51">
      <c r="A51">
        <f>IF(ISNA(VLOOKUP(B51,Definitions!B$2:B$1839,1,FALSE)),"Not listed","")</f>
        <v/>
      </c>
      <c r="B51" t="inlineStr">
        <is>
          <t>top_of_sample</t>
        </is>
      </c>
      <c r="C51" t="inlineStr">
        <is>
          <t>TOS</t>
        </is>
      </c>
    </row>
    <row r="52">
      <c r="A52">
        <f>IF(ISNA(VLOOKUP(B52,Definitions!B$2:B$1839,1,FALSE)),"Not listed","")</f>
        <v/>
      </c>
      <c r="B52" t="inlineStr">
        <is>
          <t>bottom_of_sample</t>
        </is>
      </c>
      <c r="C52" t="inlineStr">
        <is>
          <t>BOS</t>
        </is>
      </c>
    </row>
    <row r="53">
      <c r="A53">
        <f>IF(ISNA(VLOOKUP(B53,Definitions!B$2:B$1839,1,FALSE)),"Not listed","")</f>
        <v/>
      </c>
      <c r="B53" t="inlineStr">
        <is>
          <t>pile_head</t>
        </is>
      </c>
      <c r="C53" t="inlineStr">
        <is>
          <t>PH</t>
        </is>
      </c>
    </row>
    <row r="54">
      <c r="A54">
        <f>IF(ISNA(VLOOKUP(B54,Definitions!B$2:B$1839,1,FALSE)),"Not listed","")</f>
        <v/>
      </c>
      <c r="B54" t="inlineStr">
        <is>
          <t>pile_head</t>
        </is>
      </c>
      <c r="C54" t="inlineStr">
        <is>
          <t>Top of pile</t>
        </is>
      </c>
    </row>
    <row r="55">
      <c r="A55">
        <f>IF(ISNA(VLOOKUP(B55,Definitions!B$2:B$1839,1,FALSE)),"Not listed","")</f>
        <v/>
      </c>
      <c r="B55" t="inlineStr">
        <is>
          <t>pile_head</t>
        </is>
      </c>
      <c r="C55" t="inlineStr">
        <is>
          <t>TOP</t>
        </is>
      </c>
    </row>
    <row r="56">
      <c r="A56">
        <f>IF(ISNA(VLOOKUP(B56,Definitions!B$2:B$1839,1,FALSE)),"Not listed","")</f>
        <v/>
      </c>
      <c r="B56" t="inlineStr">
        <is>
          <t>cutoff_level</t>
        </is>
      </c>
      <c r="C56" t="inlineStr">
        <is>
          <t>COL</t>
        </is>
      </c>
    </row>
    <row r="57">
      <c r="A57">
        <f>IF(ISNA(VLOOKUP(B57,Definitions!B$2:B$1839,1,FALSE)),"Not listed","")</f>
        <v/>
      </c>
      <c r="B57" t="inlineStr">
        <is>
          <t>cutoff_level</t>
        </is>
      </c>
      <c r="C57" t="inlineStr">
        <is>
          <t>Pile cut-off level</t>
        </is>
      </c>
    </row>
    <row r="58">
      <c r="A58">
        <f>IF(ISNA(VLOOKUP(B58,Definitions!B$2:B$1839,1,FALSE)),"Not listed","")</f>
        <v/>
      </c>
      <c r="B58" t="inlineStr">
        <is>
          <t>cutoff_level</t>
        </is>
      </c>
      <c r="C58" t="inlineStr">
        <is>
          <t>Cutoff elevation</t>
        </is>
      </c>
    </row>
    <row r="59">
      <c r="A59">
        <f>IF(ISNA(VLOOKUP(B59,Definitions!B$2:B$1839,1,FALSE)),"Not listed","")</f>
        <v/>
      </c>
      <c r="B59" t="inlineStr">
        <is>
          <t>pile_toe</t>
        </is>
      </c>
      <c r="C59" t="inlineStr">
        <is>
          <t>Pile tip</t>
        </is>
      </c>
    </row>
    <row r="60">
      <c r="A60">
        <f>IF(ISNA(VLOOKUP(B60,Definitions!B$2:B$1839,1,FALSE)),"Not listed","")</f>
        <v/>
      </c>
      <c r="B60" t="inlineStr">
        <is>
          <t>pile_toe</t>
        </is>
      </c>
      <c r="C60" t="inlineStr">
        <is>
          <t>Toe</t>
        </is>
      </c>
    </row>
    <row r="61">
      <c r="A61">
        <f>IF(ISNA(VLOOKUP(B61,Definitions!B$2:B$1839,1,FALSE)),"Not listed","")</f>
        <v/>
      </c>
      <c r="B61" t="inlineStr">
        <is>
          <t>top_of_inclusion</t>
        </is>
      </c>
      <c r="C61" t="inlineStr">
        <is>
          <t>TOI</t>
        </is>
      </c>
    </row>
    <row r="62">
      <c r="A62">
        <f>IF(ISNA(VLOOKUP(B62,Definitions!B$2:B$1839,1,FALSE)),"Not listed","")</f>
        <v/>
      </c>
      <c r="B62" t="inlineStr">
        <is>
          <t>top_of_inclusion</t>
        </is>
      </c>
      <c r="C62" t="inlineStr">
        <is>
          <t>Top of column</t>
        </is>
      </c>
    </row>
    <row r="63">
      <c r="A63">
        <f>IF(ISNA(VLOOKUP(B63,Definitions!B$2:B$1839,1,FALSE)),"Not listed","")</f>
        <v/>
      </c>
      <c r="B63" t="inlineStr">
        <is>
          <t>bottom_of_inclusion</t>
        </is>
      </c>
      <c r="C63" t="inlineStr">
        <is>
          <t>BOI</t>
        </is>
      </c>
    </row>
    <row r="64">
      <c r="A64">
        <f>IF(ISNA(VLOOKUP(B64,Definitions!B$2:B$1839,1,FALSE)),"Not listed","")</f>
        <v/>
      </c>
      <c r="B64" t="inlineStr">
        <is>
          <t>bottom_of_inclusion</t>
        </is>
      </c>
      <c r="C64" t="inlineStr">
        <is>
          <t>Bottom of column</t>
        </is>
      </c>
    </row>
    <row r="65">
      <c r="A65">
        <f>IF(ISNA(VLOOKUP(B65,Definitions!B$2:B$1839,1,FALSE)),"Not listed","")</f>
        <v/>
      </c>
      <c r="B65" t="inlineStr">
        <is>
          <t>bottom_of_inclusion</t>
        </is>
      </c>
      <c r="C65" t="inlineStr">
        <is>
          <t>Column toe</t>
        </is>
      </c>
    </row>
    <row r="66">
      <c r="A66">
        <f>IF(ISNA(VLOOKUP(B66,Definitions!B$2:B$1839,1,FALSE)),"Not listed","")</f>
        <v/>
      </c>
      <c r="B66" t="inlineStr">
        <is>
          <t>top_of_rock</t>
        </is>
      </c>
      <c r="C66" t="inlineStr">
        <is>
          <t>TOR</t>
        </is>
      </c>
    </row>
    <row r="67">
      <c r="A67">
        <f>IF(ISNA(VLOOKUP(B67,Definitions!B$2:B$1839,1,FALSE)),"Not listed","")</f>
        <v/>
      </c>
      <c r="B67" t="inlineStr">
        <is>
          <t>top_of_rock</t>
        </is>
      </c>
      <c r="C67" t="inlineStr">
        <is>
          <t>Rockhead</t>
        </is>
      </c>
    </row>
    <row r="68">
      <c r="A68">
        <f>IF(ISNA(VLOOKUP(B68,Definitions!B$2:B$1839,1,FALSE)),"Not listed","")</f>
        <v/>
      </c>
      <c r="B68" t="inlineStr">
        <is>
          <t>top_of_rock</t>
        </is>
      </c>
      <c r="C68" t="inlineStr">
        <is>
          <t>Top of bedrock</t>
        </is>
      </c>
    </row>
    <row r="69">
      <c r="A69">
        <f>IF(ISNA(VLOOKUP(B69,Definitions!B$2:B$1839,1,FALSE)),"Not listed","")</f>
        <v/>
      </c>
      <c r="B69" t="inlineStr">
        <is>
          <t>line_start</t>
        </is>
      </c>
      <c r="C69" t="inlineStr">
        <is>
          <t>SOL</t>
        </is>
      </c>
    </row>
    <row r="70">
      <c r="A70">
        <f>IF(ISNA(VLOOKUP(B70,Definitions!B$2:B$1839,1,FALSE)),"Not listed","")</f>
        <v/>
      </c>
      <c r="B70" t="inlineStr">
        <is>
          <t>line_start</t>
        </is>
      </c>
      <c r="C70" t="inlineStr">
        <is>
          <t>BOL</t>
        </is>
      </c>
    </row>
    <row r="71">
      <c r="A71">
        <f>IF(ISNA(VLOOKUP(B71,Definitions!B$2:B$1839,1,FALSE)),"Not listed","")</f>
        <v/>
      </c>
      <c r="B71" t="inlineStr">
        <is>
          <t>line_start</t>
        </is>
      </c>
      <c r="C71" t="inlineStr">
        <is>
          <t>Beginning of line</t>
        </is>
      </c>
    </row>
    <row r="72">
      <c r="A72">
        <f>IF(ISNA(VLOOKUP(B72,Definitions!B$2:B$1839,1,FALSE)),"Not listed","")</f>
        <v/>
      </c>
      <c r="B72" t="inlineStr">
        <is>
          <t>line_end</t>
        </is>
      </c>
      <c r="C72" t="inlineStr">
        <is>
          <t>EOL</t>
        </is>
      </c>
    </row>
    <row r="73">
      <c r="A73">
        <f>IF(ISNA(VLOOKUP(B73,Definitions!B$2:B$1839,1,FALSE)),"Not listed","")</f>
        <v/>
      </c>
      <c r="B73" t="inlineStr">
        <is>
          <t>line_end</t>
        </is>
      </c>
      <c r="C73" t="inlineStr">
        <is>
          <t>End of line</t>
        </is>
      </c>
    </row>
    <row r="74">
      <c r="A74">
        <f>IF(ISNA(VLOOKUP(B74,Definitions!B$2:B$1839,1,FALSE)),"Not listed","")</f>
        <v/>
      </c>
      <c r="B74" t="inlineStr">
        <is>
          <t>intersection</t>
        </is>
      </c>
      <c r="C74" t="inlineStr">
        <is>
          <t>INT</t>
        </is>
      </c>
    </row>
    <row r="75">
      <c r="A75">
        <f>IF(ISNA(VLOOKUP(B75,Definitions!B$2:B$1839,1,FALSE)),"Not listed","")</f>
        <v/>
      </c>
      <c r="B75" t="inlineStr">
        <is>
          <t>benchmark</t>
        </is>
      </c>
      <c r="C75" t="inlineStr">
        <is>
          <t>BM</t>
        </is>
      </c>
    </row>
    <row r="76">
      <c r="A76">
        <f>IF(ISNA(VLOOKUP(B76,Definitions!B$2:B$1839,1,FALSE)),"Not listed","")</f>
        <v/>
      </c>
      <c r="B76" t="inlineStr">
        <is>
          <t>mean_sea_level</t>
        </is>
      </c>
      <c r="C76" t="inlineStr">
        <is>
          <t>MSL</t>
        </is>
      </c>
    </row>
    <row r="77">
      <c r="A77">
        <f>IF(ISNA(VLOOKUP(B77,Definitions!B$2:B$1839,1,FALSE)),"Not listed","")</f>
        <v/>
      </c>
      <c r="B77" t="inlineStr">
        <is>
          <t>lowest_astronomical_tide</t>
        </is>
      </c>
      <c r="C77" t="inlineStr">
        <is>
          <t>LAT</t>
        </is>
      </c>
    </row>
    <row r="78">
      <c r="A78">
        <f>IF(ISNA(VLOOKUP(B78,Definitions!B$2:B$1839,1,FALSE)),"Not listed","")</f>
        <v/>
      </c>
      <c r="B78" t="inlineStr">
        <is>
          <t>mean_higher_high_water</t>
        </is>
      </c>
      <c r="C78" t="inlineStr">
        <is>
          <t>MHHW</t>
        </is>
      </c>
    </row>
    <row r="79">
      <c r="A79">
        <f>IF(ISNA(VLOOKUP(B79,Definitions!B$2:B$1839,1,FALSE)),"Not listed","")</f>
        <v/>
      </c>
      <c r="B79" t="inlineStr">
        <is>
          <t>mean_high_water</t>
        </is>
      </c>
      <c r="C79" t="inlineStr">
        <is>
          <t>MHW</t>
        </is>
      </c>
    </row>
    <row r="80">
      <c r="A80">
        <f>IF(ISNA(VLOOKUP(B80,Definitions!B$2:B$1839,1,FALSE)),"Not listed","")</f>
        <v/>
      </c>
      <c r="B80" t="inlineStr">
        <is>
          <t>mean_lower_low_water</t>
        </is>
      </c>
      <c r="C80" t="inlineStr">
        <is>
          <t>MLLW</t>
        </is>
      </c>
    </row>
    <row r="81">
      <c r="A81">
        <f>IF(ISNA(VLOOKUP(B81,Definitions!B$2:B$1839,1,FALSE)),"Not listed","")</f>
        <v/>
      </c>
      <c r="B81" t="inlineStr">
        <is>
          <t>mean_low_water</t>
        </is>
      </c>
      <c r="C81" t="inlineStr">
        <is>
          <t>MLW</t>
        </is>
      </c>
    </row>
    <row r="82">
      <c r="A82">
        <f>IF(ISNA(VLOOKUP(B82,Definitions!B$2:B$1839,1,FALSE)),"Not listed","")</f>
        <v/>
      </c>
      <c r="B82" t="inlineStr">
        <is>
          <t>mean_tide_level</t>
        </is>
      </c>
      <c r="C82" t="inlineStr">
        <is>
          <t>MTL</t>
        </is>
      </c>
    </row>
    <row r="83">
      <c r="A83">
        <f>IF(ISNA(VLOOKUP(B83,Definitions!B$2:B$1839,1,FALSE)),"Not listed","")</f>
        <v/>
      </c>
      <c r="B83" t="inlineStr">
        <is>
          <t>chart_datum</t>
        </is>
      </c>
      <c r="C83" t="inlineStr">
        <is>
          <t>CD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20" customWidth="1" min="4" max="4"/>
    <col width="50" customWidth="1" min="5" max="5"/>
    <col width="50" customWidth="1" min="6" max="6"/>
    <col width="16" customWidth="1" min="7" max="7"/>
    <col width="20" customWidth="1" min="8" max="8"/>
    <col width="30" customWidth="1" min="9" max="9"/>
  </cols>
  <sheetData>
    <row r="1">
      <c r="A1" s="21" t="inlineStr">
        <is>
          <t>Start</t>
        </is>
      </c>
      <c r="B1" s="21" t="inlineStr">
        <is>
          <t>ID</t>
        </is>
      </c>
      <c r="C1" s="21" t="inlineStr">
        <is>
          <t>SubjectElement</t>
        </is>
      </c>
      <c r="D1" s="21" t="inlineStr">
        <is>
          <t>Method</t>
        </is>
      </c>
      <c r="E1" s="21" t="inlineStr">
        <is>
          <t>RealizedValueXpath</t>
        </is>
      </c>
      <c r="F1" s="21" t="inlineStr">
        <is>
          <t>ReferenceValueXpath</t>
        </is>
      </c>
      <c r="G1" s="21" t="inlineStr">
        <is>
          <t>ReferenceSource</t>
        </is>
      </c>
      <c r="H1" s="21" t="inlineStr">
        <is>
          <t>ReferenceEvaluation</t>
        </is>
      </c>
      <c r="I1" s="21" t="inlineStr">
        <is>
          <t>NormalizeByXpath</t>
        </is>
      </c>
    </row>
    <row r="2">
      <c r="A2">
        <f>IF(ISNA(VLOOKUP(B2,Definitions!B$2:B$1839,1,FALSE)),"Not listed","")</f>
        <v/>
      </c>
    </row>
    <row r="3">
      <c r="A3">
        <f>IF(ISNA(VLOOKUP(B3,Definitions!B$2:B$1839,1,FALSE)),"Not listed","")</f>
        <v/>
      </c>
    </row>
    <row r="4">
      <c r="A4">
        <f>IF(ISNA(VLOOKUP(B4,Definitions!B$2:B$1839,1,FALSE)),"Not listed","")</f>
        <v/>
      </c>
    </row>
    <row r="5">
      <c r="A5">
        <f>IF(ISNA(VLOOKUP(B5,Definitions!B$2:B$1839,1,FALSE)),"Not listed","")</f>
        <v/>
      </c>
    </row>
    <row r="6">
      <c r="A6">
        <f>IF(ISNA(VLOOKUP(B6,Definitions!B$2:B$1839,1,FALSE)),"Not listed","")</f>
        <v/>
      </c>
    </row>
    <row r="7">
      <c r="A7">
        <f>IF(ISNA(VLOOKUP(B7,Definitions!B$2:B$1839,1,FALSE)),"Not listed","")</f>
        <v/>
      </c>
    </row>
    <row r="8">
      <c r="A8">
        <f>IF(ISNA(VLOOKUP(B8,Definitions!B$2:B$1839,1,FALSE)),"Not listed","")</f>
        <v/>
      </c>
    </row>
    <row r="9">
      <c r="A9">
        <f>IF(ISNA(VLOOKUP(B9,Definitions!B$2:B$1839,1,FALSE)),"Not listed","")</f>
        <v/>
      </c>
    </row>
    <row r="10">
      <c r="A10">
        <f>IF(ISNA(VLOOKUP(B10,Definitions!B$2:B$1839,1,FALSE)),"Not listed","")</f>
        <v/>
      </c>
    </row>
    <row r="11">
      <c r="A11">
        <f>IF(ISNA(VLOOKUP(B11,Definitions!B$2:B$1839,1,FALSE)),"Not listed","")</f>
        <v/>
      </c>
    </row>
    <row r="12">
      <c r="A12">
        <f>IF(ISNA(VLOOKUP(B12,Definitions!B$2:B$1839,1,FALSE)),"Not listed","")</f>
        <v/>
      </c>
    </row>
    <row r="13">
      <c r="A13">
        <f>IF(ISNA(VLOOKUP(B13,Definitions!B$2:B$1839,1,FALSE)),"Not listed","")</f>
        <v/>
      </c>
    </row>
    <row r="14">
      <c r="A14">
        <f>IF(ISNA(VLOOKUP(B14,Definitions!B$2:B$1839,1,FALSE)),"Not listed","")</f>
        <v/>
      </c>
    </row>
    <row r="15">
      <c r="A15">
        <f>IF(ISNA(VLOOKUP(B15,Definitions!B$2:B$1839,1,FALSE)),"Not listed","")</f>
        <v/>
      </c>
    </row>
    <row r="16">
      <c r="A16">
        <f>IF(ISNA(VLOOKUP(B16,Definitions!B$2:B$1839,1,FALSE)),"Not listed","")</f>
        <v/>
      </c>
    </row>
    <row r="17">
      <c r="A17">
        <f>IF(ISNA(VLOOKUP(B17,Definitions!B$2:B$1839,1,FALSE)),"Not listed","")</f>
        <v/>
      </c>
    </row>
    <row r="18">
      <c r="A18">
        <f>IF(ISNA(VLOOKUP(B18,Definitions!B$2:B$1839,1,FALSE)),"Not listed","")</f>
        <v/>
      </c>
    </row>
    <row r="19">
      <c r="A19">
        <f>IF(ISNA(VLOOKUP(B19,Definitions!B$2:B$1839,1,FALSE)),"Not listed","")</f>
        <v/>
      </c>
    </row>
    <row r="20">
      <c r="A20">
        <f>IF(ISNA(VLOOKUP(B20,Definitions!B$2:B$1839,1,FALSE)),"Not listed","")</f>
        <v/>
      </c>
    </row>
    <row r="21">
      <c r="A21">
        <f>IF(ISNA(VLOOKUP(B21,Definitions!B$2:B$1839,1,FALSE)),"Not listed","")</f>
        <v/>
      </c>
    </row>
    <row r="22">
      <c r="A22">
        <f>IF(ISNA(VLOOKUP(B22,Definitions!B$2:B$1839,1,FALSE)),"Not listed","")</f>
        <v/>
      </c>
    </row>
    <row r="23">
      <c r="A23">
        <f>IF(ISNA(VLOOKUP(B23,Definitions!B$2:B$1839,1,FALSE)),"Not listed","")</f>
        <v/>
      </c>
    </row>
    <row r="24">
      <c r="A24">
        <f>IF(ISNA(VLOOKUP(B24,Definitions!B$2:B$1839,1,FALSE)),"Not listed","")</f>
        <v/>
      </c>
    </row>
    <row r="25">
      <c r="A25">
        <f>IF(ISNA(VLOOKUP(B25,Definitions!B$2:B$1839,1,FALSE)),"Not listed","")</f>
        <v/>
      </c>
    </row>
    <row r="26">
      <c r="A26">
        <f>IF(ISNA(VLOOKUP(B26,Definitions!B$2:B$1839,1,FALSE)),"Not listed","")</f>
        <v/>
      </c>
    </row>
    <row r="27">
      <c r="A27">
        <f>IF(ISNA(VLOOKUP(B27,Definitions!B$2:B$1839,1,FALSE)),"Not listed","")</f>
        <v/>
      </c>
    </row>
    <row r="28">
      <c r="A28">
        <f>IF(ISNA(VLOOKUP(B28,Definitions!B$2:B$1839,1,FALSE)),"Not listed","")</f>
        <v/>
      </c>
    </row>
    <row r="29">
      <c r="A29">
        <f>IF(ISNA(VLOOKUP(B29,Definitions!B$2:B$1839,1,FALSE)),"Not listed","")</f>
        <v/>
      </c>
    </row>
    <row r="30">
      <c r="A30">
        <f>IF(ISNA(VLOOKUP(B30,Definitions!B$2:B$1839,1,FALSE)),"Not listed","")</f>
        <v/>
      </c>
    </row>
    <row r="31">
      <c r="A31">
        <f>IF(ISNA(VLOOKUP(B31,Definitions!B$2:B$1839,1,FALSE)),"Not listed","")</f>
        <v/>
      </c>
    </row>
  </sheetData>
  <dataValidations count="3">
    <dataValidation sqref="D2:D31" showDropDown="0" showInputMessage="0" showErrorMessage="0" allowBlank="1" type="list">
      <formula1>"direct,horizontal offset,difference,reverse difference,angular difference,containment,sequence between,value at,rate,rate per log cycle,within envelope,frequency"</formula1>
    </dataValidation>
    <dataValidation sqref="G2:G31" showDropDown="0" showInputMessage="0" showErrorMessage="0" allowBlank="1" type="list">
      <formula1>"design,evidence"</formula1>
    </dataValidation>
    <dataValidation sqref="H2:H31" showDropDown="0" showInputMessage="0" showErrorMessage="0" allowBlank="1" type="list">
      <formula1>"value,vertical intersection,volume top,volume base"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2018-10-28T20:07:54Z</dcterms:created>
  <dcterms:modified xmlns:dcterms="http://purl.org/dc/terms/" xmlns:xsi="http://www.w3.org/2001/XMLSchema-instance" xsi:type="dcterms:W3CDTF">2026-10-07T07:39:11Z</dcterms:modified>
  <cp:lastModifiedBy>Ponti, Daniel J</cp:lastModifiedBy>
</cp:coreProperties>
</file>