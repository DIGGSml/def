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propertyClass</t>
        </is>
      </c>
      <c r="C3" s="12" t="inlineStr">
        <is>
          <t>ri_design_properties</t>
        </is>
      </c>
      <c r="D3" s="12" t="inlineStr">
        <is>
          <t>DIGGS Rigid Inclusion Design Properties</t>
        </is>
      </c>
      <c r="E3" s="2" t="inlineStr">
        <is>
          <t>This dictionary defines quantities produced or consumed by a rigid inclusion design that are carried as parameters rather than as schema elements. Two kinds of entry are present. The first are the method-specific arching coefficients, which exist only inside one named arching model and are carried in the coefficient property of a diggs:ArchingCoefficients object; each is conditioned on the arching model that defines it, so a file reporting a Hewlett-Randolph efficiency under a Zaeske design does not validate. The second are design quantities that are common to several practices and are carried in the otherProperty escape hatch of diggs:RIColumnDesignType or diggs:RILTPDesignType, whichever the quantity belongs to. Quantities that every arching practice ultimately produces - the stress delivered to the column head and the stress reaching the soil between heads - are deliberately NOT here: they are typed elements on diggs:RILTPDesignType, because they are the two values on which designs prepared under different standards can actually be compared.</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arching_coefficient_marston</t>
        </is>
      </c>
      <c r="C2" s="13" t="inlineStr">
        <is>
          <t>Marston arching coefficient</t>
        </is>
      </c>
      <c r="D2" s="14" t="inlineStr">
        <is>
          <t>The Marston arching coefficient Cc,arch used in the BS 8006-1 arching formulation to express the proportion of embankment load transferred onto the inclusion caps. Defined only within the Marston/BS arching model; it has no meaning under a dome-arching or load-displacement-compatibility formulation, which is why this entry is conditioned on the arching model rather than offered unconditionally.</t>
        </is>
      </c>
      <c r="E2" s="13" t="inlineStr">
        <is>
          <t>double</t>
        </is>
      </c>
      <c r="F2" s="13" t="inlineStr">
        <is>
          <t>dimensionless</t>
        </is>
      </c>
      <c r="G2" s="9" t="inlineStr">
        <is>
          <t>BS 8006-1:2010+A1:2016</t>
        </is>
      </c>
    </row>
    <row r="3">
      <c r="A3" s="2">
        <f>IF(ISNA(VLOOKUP(B3,AssociatedElements!B$2:B2941,1,FALSE)),"Not used","")</f>
        <v/>
      </c>
      <c r="B3" s="13" t="inlineStr">
        <is>
          <t>cap_stress_ratio</t>
        </is>
      </c>
      <c r="C3" s="13" t="inlineStr">
        <is>
          <t>Cap stress ratio</t>
        </is>
      </c>
      <c r="D3" s="14" t="inlineStr">
        <is>
          <t>The ratio p'c/sigma'v of the vertical stress carried on the inclusion cap to the average vertical stress at the base of the embankment, as computed by the BS 8006-1 arching formulation. A ratio of two pressures rather than a bare dimensionless number: stating the quantity class forces both quantities to be pressures and prevents the value being read as a load fraction, which is a different quantity (see arching_efficiency_cap).</t>
        </is>
      </c>
      <c r="E3" s="13" t="inlineStr">
        <is>
          <t>double</t>
        </is>
      </c>
      <c r="F3" s="13" t="inlineStr">
        <is>
          <t>pressure per pressure</t>
        </is>
      </c>
      <c r="G3" s="9" t="inlineStr">
        <is>
          <t>BS 8006-1:2010+A1:2016</t>
        </is>
      </c>
    </row>
    <row r="4">
      <c r="A4" s="2">
        <f>IF(ISNA(VLOOKUP(B4,AssociatedElements!B$2:B2942,1,FALSE)),"Not used","")</f>
        <v/>
      </c>
      <c r="B4" t="inlineStr">
        <is>
          <t>arching_efficiency_crown</t>
        </is>
      </c>
      <c r="C4" t="inlineStr">
        <is>
          <t>Crown arching efficiency</t>
        </is>
      </c>
      <c r="D4" t="inlineStr">
        <is>
          <t>The arching efficiency Ecrown evaluated at the crown of the soil dome in the Hewlett-Randolph model - the proportion of embankment weight carried by the inclusions when the crown of the arch governs. Hewlett-Randolph evaluates efficiency at two locations and adopts the lesser; this is one of the two. See arching_efficiency_minimum for the adopted value.</t>
        </is>
      </c>
      <c r="E4" t="inlineStr">
        <is>
          <t>double</t>
        </is>
      </c>
      <c r="F4" t="inlineStr">
        <is>
          <t>force per force</t>
        </is>
      </c>
      <c r="G4" s="9" t="inlineStr">
        <is>
          <t>Hewlett, W.J. and Randolph, M.F. (1988), Ground Engineering 21(3)</t>
        </is>
      </c>
    </row>
    <row r="5">
      <c r="A5" s="2">
        <f>IF(ISNA(VLOOKUP(B5,AssociatedElements!B$2:B2943,1,FALSE)),"Not used","")</f>
        <v/>
      </c>
      <c r="B5" s="13" t="inlineStr">
        <is>
          <t>arching_efficiency_cap</t>
        </is>
      </c>
      <c r="C5" s="13" t="inlineStr">
        <is>
          <t>Cap arching efficiency</t>
        </is>
      </c>
      <c r="D5" s="14" t="inlineStr">
        <is>
          <t>The arching efficiency Ecap evaluated at the inclusion cap in the Hewlett-Randolph model - the proportion of embankment weight carried by the inclusions when the cap governs. The second of the two locations at which Hewlett-Randolph evaluates efficiency.</t>
        </is>
      </c>
      <c r="E5" s="13" t="inlineStr">
        <is>
          <t>double</t>
        </is>
      </c>
      <c r="F5" s="13" t="inlineStr">
        <is>
          <t>force per force</t>
        </is>
      </c>
      <c r="G5" s="9" t="inlineStr">
        <is>
          <t>Hewlett, W.J. and Randolph, M.F. (1988), Ground Engineering 21(3)</t>
        </is>
      </c>
    </row>
    <row r="6">
      <c r="A6" s="2">
        <f>IF(ISNA(VLOOKUP(B6,AssociatedElements!B$2:B2944,1,FALSE)),"Not used","")</f>
        <v/>
      </c>
      <c r="B6" t="inlineStr">
        <is>
          <t>arching_efficiency_minimum</t>
        </is>
      </c>
      <c r="C6" s="16" t="inlineStr">
        <is>
          <t>Minimum arching efficiency</t>
        </is>
      </c>
      <c r="D6" s="16" t="inlineStr">
        <is>
          <t>The governing arching efficiency Emin adopted by the Hewlett-Randolph model, being the lesser of the crown and cap efficiencies. This is the value the design carries forward; the two component efficiencies are reported alongside it so that a reviewer can see which location governed.</t>
        </is>
      </c>
      <c r="E6" s="17" t="inlineStr">
        <is>
          <t>double</t>
        </is>
      </c>
      <c r="F6" t="inlineStr">
        <is>
          <t>force per force</t>
        </is>
      </c>
      <c r="G6" s="9" t="inlineStr">
        <is>
          <t>Hewlett, W.J. and Randolph, M.F. (1988), Ground Engineering 21(3)</t>
        </is>
      </c>
    </row>
    <row r="7">
      <c r="A7" s="2">
        <f>IF(ISNA(VLOOKUP(B7,AssociatedElements!B$2:B2945,1,FALSE)),"Not used","")</f>
        <v/>
      </c>
      <c r="B7" t="inlineStr">
        <is>
          <t>passive_earth_pressure_coefficient</t>
        </is>
      </c>
      <c r="C7" t="inlineStr">
        <is>
          <t>Passive earth pressure coefficient</t>
        </is>
      </c>
      <c r="D7" t="inlineStr">
        <is>
          <t>The passive earth pressure coefficient Kp = (1 + sin phi'p) / (1 - sin phi'p) of the platform or embankment fill, as used in the Hewlett-Randolph dome-arching solution. Note that this is a PEAK friction angle quantity in that formulation, whereas the friction angle adopted for arching is often a critical-state value; the two are not interchangeable and the design should state which was used.</t>
        </is>
      </c>
      <c r="E7" t="inlineStr">
        <is>
          <t>double</t>
        </is>
      </c>
      <c r="F7" t="inlineStr">
        <is>
          <t>pressure per pressure</t>
        </is>
      </c>
      <c r="G7" s="9" t="inlineStr">
        <is>
          <t>Hewlett, W.J. and Randolph, M.F. (1988), Ground Engineering 21(3)</t>
        </is>
      </c>
    </row>
    <row r="8">
      <c r="A8" s="2">
        <f>IF(ISNA(VLOOKUP(B8,AssociatedElements!B$2:B2946,1,FALSE)),"Not used","")</f>
        <v/>
      </c>
      <c r="B8" t="inlineStr">
        <is>
          <t>critical_stress_ratio</t>
        </is>
      </c>
      <c r="C8" t="inlineStr">
        <is>
          <t>Critical stress ratio</t>
        </is>
      </c>
      <c r="D8" t="inlineStr">
        <is>
          <t>The critical stress ratio Kcrit = tan^2(45 deg + phi'/2) governing the vertical stress distribution in the Zaeske multi-shell arching model adopted by EBGEO. Numerically this is the Rankine passive coefficient, but it is a distinct entry from passive_earth_pressure_coefficient because it enters a different formulation and is conditioned on a different arching model; merging them would let a file report an EBGEO quantity under a Hewlett-Randolph design and validate.</t>
        </is>
      </c>
      <c r="E8" t="inlineStr">
        <is>
          <t>double</t>
        </is>
      </c>
      <c r="F8" t="inlineStr">
        <is>
          <t>pressure per pressure</t>
        </is>
      </c>
      <c r="G8" s="9" t="inlineStr">
        <is>
          <t>EBGEO (DGGT), Chapter 6.9</t>
        </is>
      </c>
    </row>
    <row r="9">
      <c r="A9" s="2">
        <f>IF(ISNA(VLOOKUP(B9,AssociatedElements!B$2:B2947,1,FALSE)),"Not used","")</f>
        <v/>
      </c>
      <c r="B9" t="inlineStr">
        <is>
          <t>lateral_earth_pressure_coefficient_ldc</t>
        </is>
      </c>
      <c r="C9" s="16" t="inlineStr">
        <is>
          <t>Adapted-Terzaghi lateral earth pressure coefficient</t>
        </is>
      </c>
      <c r="D9" s="16" t="inlineStr">
        <is>
          <t>The lateral earth pressure coefficient K used in the adapted-Terzaghi formulation of the load-displacement-compatibility method. A RECOMMENDED CONSTANT RATHER THAN A PROJECT-SPECIFIC QUANTITY: the method carries a recommended value of 0.75, which is one of the reasons it is a dictionary entry - the recommendation and its provenance can be recorded here in a way a schema element could not. State the value actually adopted; a design departing from 0.75 should say so.</t>
        </is>
      </c>
      <c r="E9" s="17" t="inlineStr">
        <is>
          <t>double</t>
        </is>
      </c>
      <c r="F9" t="inlineStr">
        <is>
          <t>pressure per pressure</t>
        </is>
      </c>
      <c r="G9" s="9" t="inlineStr">
        <is>
          <t>FHWA GEC-13 (Ground Modification Methods Reference Manual)</t>
        </is>
      </c>
    </row>
    <row r="10">
      <c r="A10" s="2">
        <f>IF(ISNA(VLOOKUP(B10,AssociatedElements!B$2:B2948,1,FALSE)),"Not used","")</f>
        <v/>
      </c>
      <c r="B10" s="13" t="inlineStr">
        <is>
          <t>punching_bearing_factor</t>
        </is>
      </c>
      <c r="C10" s="13" t="inlineStr">
        <is>
          <t>Head punching bearing factor</t>
        </is>
      </c>
      <c r="D10" s="14" t="inlineStr">
        <is>
          <t>The Prandtl bearing capacity factor Nq applied at the inclusion head in the ASIRI punching check, evaluated at the critical-state friction angle of the platform fill. Governs the stress that can be delivered to the head before the fill punches around it.</t>
        </is>
      </c>
      <c r="E10" s="13" t="inlineStr">
        <is>
          <t>double</t>
        </is>
      </c>
      <c r="F10" s="13" t="inlineStr">
        <is>
          <t>dimensionless</t>
        </is>
      </c>
      <c r="G10" s="9" t="inlineStr">
        <is>
          <t>ASIRI National Project Recommendations (IREX)</t>
        </is>
      </c>
    </row>
    <row r="11">
      <c r="A11" s="2">
        <f>IF(ISNA(VLOOKUP(B11,AssociatedElements!B$2:B2949,1,FALSE)),"Not used","")</f>
        <v/>
      </c>
      <c r="B11" s="13" t="inlineStr">
        <is>
          <t>active_earth_pressure_coefficient</t>
        </is>
      </c>
      <c r="C11" s="13" t="inlineStr">
        <is>
          <t>Active earth pressure coefficient</t>
        </is>
      </c>
      <c r="D11" s="14" t="inlineStr">
        <is>
          <t>The active earth pressure coefficient Ka = tan^2(45 deg - phi'/2) of the embankment fill, used in the lateral thrust and lateral spreading checks. Unlike the arching coefficients in this dictionary it is not tied to any one arching model, so it is carried as a general design property rather than inside a diggs:ArchingCoefficients object.</t>
        </is>
      </c>
      <c r="E11" s="13" t="inlineStr">
        <is>
          <t>double</t>
        </is>
      </c>
      <c r="F11" s="13" t="inlineStr">
        <is>
          <t>pressure per pressure</t>
        </is>
      </c>
      <c r="G11" s="9" t="inlineStr">
        <is>
          <t>BS 8006-1:2010+A1:2016</t>
        </is>
      </c>
    </row>
    <row r="12">
      <c r="A12" s="2">
        <f>IF(ISNA(VLOOKUP(B12,AssociatedElements!B$2:B2950,1,FALSE)),"Not used","")</f>
        <v/>
      </c>
      <c r="B12" s="13" t="inlineStr">
        <is>
          <t>equivalent_diameter</t>
        </is>
      </c>
      <c r="C12" s="13" t="inlineStr">
        <is>
          <t>Equivalent tributary diameter</t>
        </is>
      </c>
      <c r="D12" s="14" t="inlineStr">
        <is>
          <t>The diameter dErs (EBGEO) or De (FHWA) of the equivalent circular unit cell assigned to one inclusion - the circle of equal area to the tributary area the inclusion supports. Derived from the spacing and grid pattern, and reported because the unit-cell radius rather than the centre-to-centre spacing is what enters most arching and settlement formulations.</t>
        </is>
      </c>
      <c r="E12" s="13" t="inlineStr">
        <is>
          <t>double</t>
        </is>
      </c>
      <c r="F12" s="13" t="inlineStr">
        <is>
          <t>length</t>
        </is>
      </c>
      <c r="G12" s="9" t="inlineStr">
        <is>
          <t>EBGEO (DGGT), Chapter 6.9</t>
        </is>
      </c>
    </row>
    <row r="13">
      <c r="A13" s="2">
        <f>IF(ISNA(VLOOKUP(B13,AssociatedElements!B$2:B2951,1,FALSE)),"Not used","")</f>
        <v/>
      </c>
      <c r="B13" s="13" t="inlineStr">
        <is>
          <t>column_axial_utilization</t>
        </is>
      </c>
      <c r="C13" s="13" t="inlineStr">
        <is>
          <t>Column axial utilization</t>
        </is>
      </c>
      <c r="D13" s="14" t="inlineStr">
        <is>
          <t>The ratio N/Rc of axial demand on an inclusion to its structural axial resistance. Reported as a ratio of two forces rather than as a dimensionless number so that the quantity class records what is being compared; a utilization above unity is a failed check, which is why the quantity is worth carrying explicitly rather than leaving a reader to divide two other reported values.</t>
        </is>
      </c>
      <c r="E13" s="13" t="inlineStr">
        <is>
          <t>double</t>
        </is>
      </c>
      <c r="F13" s="13" t="inlineStr">
        <is>
          <t>force per force</t>
        </is>
      </c>
      <c r="G13" s="9" t="inlineStr">
        <is>
          <t>ASIRI National Project Recommendations (IREX)</t>
        </is>
      </c>
    </row>
    <row r="14">
      <c r="A14" s="2">
        <f>IF(ISNA(VLOOKUP(B14,AssociatedElements!B$2:B2952,1,FALSE)),"Not used","")</f>
        <v/>
      </c>
      <c r="B14" s="13" t="inlineStr">
        <is>
          <t>arching_height_ratio</t>
        </is>
      </c>
      <c r="C14" s="13" t="inlineStr">
        <is>
          <t>Arching height ratio</t>
        </is>
      </c>
      <c r="D14" s="14" t="inlineStr">
        <is>
          <t>The geometric ratio h/(s-d) of platform or embankment height above the inclusion heads to the clear spacing between inclusions. One of the geometric limits that determine whether a given arching method is applicable to a given layout; a method used outside the ratio range it was validated over is not defensible, which is what makes this worth stating rather than leaving to be recomputed.</t>
        </is>
      </c>
      <c r="E14" s="13" t="inlineStr">
        <is>
          <t>double</t>
        </is>
      </c>
      <c r="F14" s="13" t="inlineStr">
        <is>
          <t>length per length</t>
        </is>
      </c>
      <c r="G14" s="9" t="inlineStr">
        <is>
          <t>EBGEO (DGGT), Chapter 6.9</t>
        </is>
      </c>
    </row>
    <row r="15">
      <c r="A15" s="2">
        <f>IF(ISNA(VLOOKUP(B15,AssociatedElements!B$2:B2953,1,FALSE)),"Not used","")</f>
        <v/>
      </c>
      <c r="B15" s="13" t="inlineStr">
        <is>
          <t>diameter_spacing_ratio</t>
        </is>
      </c>
      <c r="C15" s="18" t="inlineStr">
        <is>
          <t>Diameter to spacing ratio</t>
        </is>
      </c>
      <c r="D15" s="19" t="inlineStr">
        <is>
          <t>The geometric ratio d/s of inclusion diameter to centre-to-centre spacing. A second method-applicability limit, and the quantity most directly related to the area replacement ratio; carry both rather than either alone, since practices state their limits against different ones of the two.</t>
        </is>
      </c>
      <c r="E15" s="18" t="inlineStr">
        <is>
          <t>double</t>
        </is>
      </c>
      <c r="F15" s="18" t="inlineStr">
        <is>
          <t>length per length</t>
        </is>
      </c>
      <c r="G15" s="9" t="inlineStr">
        <is>
          <t>EBGEO (DGGT), Chapter 6.9</t>
        </is>
      </c>
    </row>
    <row r="16">
      <c r="A16" s="2">
        <f>IF(ISNA(VLOOKUP(B16,AssociatedElements!B$2:B2954,1,FALSE)),"Not used","")</f>
        <v/>
      </c>
      <c r="B16" s="13" t="inlineStr">
        <is>
          <t>spacing_aspect_ratio</t>
        </is>
      </c>
      <c r="C16" s="18" t="inlineStr">
        <is>
          <t>Spacing aspect ratio</t>
        </is>
      </c>
      <c r="D16" s="19" t="inlineStr">
        <is>
          <t>The ratio sx/sy of the two orthogonal centre-to-centre spacings of a rectangular grid. Unity for a square grid. Methods derived for square or triangular layouts carry limits on how far from unity this may go before the unit-cell idealisation stops holding.</t>
        </is>
      </c>
      <c r="E16" s="18" t="inlineStr">
        <is>
          <t>double</t>
        </is>
      </c>
      <c r="F16" s="18" t="inlineStr">
        <is>
          <t>length per length</t>
        </is>
      </c>
      <c r="G16" s="9" t="inlineStr">
        <is>
          <t>EBGEO (DGGT), Chapter 6.9</t>
        </is>
      </c>
    </row>
    <row r="17">
      <c r="A17" s="2">
        <f>IF(ISNA(VLOOKUP(B17,AssociatedElements!B$2:B2955,1,FALSE)),"Not used","")</f>
        <v/>
      </c>
      <c r="B17" s="13" t="inlineStr">
        <is>
          <t>stiffness_ratio</t>
        </is>
      </c>
      <c r="C17" s="18" t="inlineStr">
        <is>
          <t>Subgrade stiffness ratio</t>
        </is>
      </c>
      <c r="D17" s="19" t="inlineStr">
        <is>
          <t>The ratio ks,T/ks of the stiffness of the improved composite ground to that of the untreated ground, used by EBGEO as a gate on whether its method may be applied. THE GATE VALUE IS NOT STATED HERE. The threshold this ratio must exceed is a pass/fail requirement on method validity, not a design value, and belongs in a diggs:DesignConformanceCriterion that names this property. That keeps the requirement where a reviewer looks for requirements and lets it differ by project or edition. The commonly cited threshold has not been verified against a retrievable clause; the criterion carrying it should cite its own source.</t>
        </is>
      </c>
      <c r="E17" s="18" t="inlineStr">
        <is>
          <t>double</t>
        </is>
      </c>
      <c r="F17" s="18" t="inlineStr">
        <is>
          <t>dimensionless</t>
        </is>
      </c>
      <c r="G17" s="9" t="inlineStr">
        <is>
          <t>EBGEO (DGGT), Chapter 6.9</t>
        </is>
      </c>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arching_coefficient_marston</t>
        </is>
      </c>
      <c r="C2" t="inlineStr">
        <is>
          <t>//diggs:parameterName</t>
        </is>
      </c>
      <c r="D2" t="inlineStr">
        <is>
          <t>ancestor::diggs:ArchingCoefficients/diggs:archingModel[.='marston']</t>
        </is>
      </c>
    </row>
    <row r="3">
      <c r="A3">
        <f>IF(ISNA(VLOOKUP(B3,Definitions!B$2:B$1839,1,FALSE)),"Not listed","")</f>
        <v/>
      </c>
      <c r="B3" s="20" t="inlineStr">
        <is>
          <t>cap_stress_ratio</t>
        </is>
      </c>
      <c r="C3" t="inlineStr">
        <is>
          <t>//diggs:parameterName</t>
        </is>
      </c>
      <c r="D3" t="inlineStr">
        <is>
          <t>ancestor::diggs:ArchingCoefficients/diggs:archingModel[.='marston']</t>
        </is>
      </c>
    </row>
    <row r="4">
      <c r="A4">
        <f>IF(ISNA(VLOOKUP(B4,Definitions!B$2:B$1839,1,FALSE)),"Not listed","")</f>
        <v/>
      </c>
      <c r="B4" s="2" t="inlineStr">
        <is>
          <t>arching_efficiency_crown</t>
        </is>
      </c>
      <c r="C4" t="inlineStr">
        <is>
          <t>//diggs:parameterName</t>
        </is>
      </c>
      <c r="D4" t="inlineStr">
        <is>
          <t>ancestor::diggs:ArchingCoefficients/diggs:archingModel[.='hewlett_randolph']</t>
        </is>
      </c>
    </row>
    <row r="5">
      <c r="A5">
        <f>IF(ISNA(VLOOKUP(B5,Definitions!B$2:B$1839,1,FALSE)),"Not listed","")</f>
        <v/>
      </c>
      <c r="B5" s="2" t="inlineStr">
        <is>
          <t>arching_efficiency_cap</t>
        </is>
      </c>
      <c r="C5" t="inlineStr">
        <is>
          <t>//diggs:parameterName</t>
        </is>
      </c>
      <c r="D5" t="inlineStr">
        <is>
          <t>ancestor::diggs:ArchingCoefficients/diggs:archingModel[.='hewlett_randolph']</t>
        </is>
      </c>
    </row>
    <row r="6">
      <c r="A6">
        <f>IF(ISNA(VLOOKUP(B6,Definitions!B$2:B$1839,1,FALSE)),"Not listed","")</f>
        <v/>
      </c>
      <c r="B6" s="2" t="inlineStr">
        <is>
          <t>arching_efficiency_minimum</t>
        </is>
      </c>
      <c r="C6" t="inlineStr">
        <is>
          <t>//diggs:parameterName</t>
        </is>
      </c>
      <c r="D6" t="inlineStr">
        <is>
          <t>ancestor::diggs:ArchingCoefficients/diggs:archingModel[.='hewlett_randolph']</t>
        </is>
      </c>
    </row>
    <row r="7">
      <c r="A7">
        <f>IF(ISNA(VLOOKUP(B7,Definitions!B$2:B$1839,1,FALSE)),"Not listed","")</f>
        <v/>
      </c>
      <c r="B7" s="2" t="inlineStr">
        <is>
          <t>passive_earth_pressure_coefficient</t>
        </is>
      </c>
      <c r="C7" t="inlineStr">
        <is>
          <t>//diggs:parameterName</t>
        </is>
      </c>
      <c r="D7" t="inlineStr">
        <is>
          <t>ancestor::diggs:ArchingCoefficients/diggs:archingModel[.='hewlett_randolph']</t>
        </is>
      </c>
    </row>
    <row r="8">
      <c r="A8">
        <f>IF(ISNA(VLOOKUP(B8,Definitions!B$2:B$1839,1,FALSE)),"Not listed","")</f>
        <v/>
      </c>
      <c r="B8" s="2" t="inlineStr">
        <is>
          <t>critical_stress_ratio</t>
        </is>
      </c>
      <c r="C8" t="inlineStr">
        <is>
          <t>//diggs:parameterName</t>
        </is>
      </c>
      <c r="D8" t="inlineStr">
        <is>
          <t>ancestor::diggs:ArchingCoefficients/diggs:archingModel[.='zaeske']</t>
        </is>
      </c>
    </row>
    <row r="9">
      <c r="A9">
        <f>IF(ISNA(VLOOKUP(B9,Definitions!B$2:B$1839,1,FALSE)),"Not listed","")</f>
        <v/>
      </c>
      <c r="B9" s="2" t="inlineStr">
        <is>
          <t>lateral_earth_pressure_coefficient_ldc</t>
        </is>
      </c>
      <c r="C9" t="inlineStr">
        <is>
          <t>//diggs:parameterName</t>
        </is>
      </c>
      <c r="D9" t="inlineStr">
        <is>
          <t>ancestor::diggs:ArchingCoefficients/diggs:archingModel[.='adapted_terzaghi']</t>
        </is>
      </c>
    </row>
    <row r="10">
      <c r="A10">
        <f>IF(ISNA(VLOOKUP(B10,Definitions!B$2:B$1839,1,FALSE)),"Not listed","")</f>
        <v/>
      </c>
      <c r="B10" s="20" t="inlineStr">
        <is>
          <t>punching_bearing_factor</t>
        </is>
      </c>
      <c r="C10" t="inlineStr">
        <is>
          <t>//diggs:parameterName</t>
        </is>
      </c>
      <c r="D10" t="inlineStr">
        <is>
          <t>ancestor::diggs:ArchingCoefficients/diggs:archingModel[.='prandtl']</t>
        </is>
      </c>
    </row>
    <row r="11">
      <c r="A11">
        <f>IF(ISNA(VLOOKUP(B11,Definitions!B$2:B$1839,1,FALSE)),"Not listed","")</f>
        <v/>
      </c>
      <c r="B11" s="20" t="inlineStr">
        <is>
          <t>active_earth_pressure_coefficient</t>
        </is>
      </c>
      <c r="C11" t="inlineStr">
        <is>
          <t>//diggs:parameterName</t>
        </is>
      </c>
      <c r="D11" t="inlineStr">
        <is>
          <t>ancestor::diggs:RILTPDesign</t>
        </is>
      </c>
    </row>
    <row r="12">
      <c r="A12">
        <f>IF(ISNA(VLOOKUP(B12,Definitions!B$2:B$1839,1,FALSE)),"Not listed","")</f>
        <v/>
      </c>
      <c r="B12" s="20" t="inlineStr">
        <is>
          <t>equivalent_diameter</t>
        </is>
      </c>
      <c r="C12" t="inlineStr">
        <is>
          <t>//diggs:parameterName</t>
        </is>
      </c>
      <c r="D12" t="inlineStr">
        <is>
          <t>ancestor::diggs:RIColumnDesign</t>
        </is>
      </c>
    </row>
    <row r="13">
      <c r="A13">
        <f>IF(ISNA(VLOOKUP(B13,Definitions!B$2:B$1839,1,FALSE)),"Not listed","")</f>
        <v/>
      </c>
      <c r="B13" s="20" t="inlineStr">
        <is>
          <t>column_axial_utilization</t>
        </is>
      </c>
      <c r="C13" t="inlineStr">
        <is>
          <t>//diggs:parameterName</t>
        </is>
      </c>
      <c r="D13" t="inlineStr">
        <is>
          <t>ancestor::diggs:RIColumnDesign</t>
        </is>
      </c>
    </row>
    <row r="14">
      <c r="A14">
        <f>IF(ISNA(VLOOKUP(B14,Definitions!B$2:B$1839,1,FALSE)),"Not listed","")</f>
        <v/>
      </c>
      <c r="B14" s="20" t="inlineStr">
        <is>
          <t>arching_height_ratio</t>
        </is>
      </c>
      <c r="C14" t="inlineStr">
        <is>
          <t>//diggs:parameterName</t>
        </is>
      </c>
      <c r="D14" t="inlineStr">
        <is>
          <t>ancestor::diggs:RIColumnDesign</t>
        </is>
      </c>
    </row>
    <row r="15">
      <c r="A15">
        <f>IF(ISNA(VLOOKUP(B15,Definitions!B$2:B$1839,1,FALSE)),"Not listed","")</f>
        <v/>
      </c>
      <c r="B15" s="2" t="inlineStr">
        <is>
          <t>diameter_spacing_ratio</t>
        </is>
      </c>
      <c r="C15" t="inlineStr">
        <is>
          <t>//diggs:parameterName</t>
        </is>
      </c>
      <c r="D15" t="inlineStr">
        <is>
          <t>ancestor::diggs:RIColumnDesign</t>
        </is>
      </c>
    </row>
    <row r="16">
      <c r="A16">
        <f>IF(ISNA(VLOOKUP(B16,Definitions!B$2:B$1839,1,FALSE)),"Not listed","")</f>
        <v/>
      </c>
      <c r="B16" s="2" t="inlineStr">
        <is>
          <t>spacing_aspect_ratio</t>
        </is>
      </c>
      <c r="C16" t="inlineStr">
        <is>
          <t>//diggs:parameterName</t>
        </is>
      </c>
      <c r="D16" t="inlineStr">
        <is>
          <t>ancestor::diggs:RIColumnDesign</t>
        </is>
      </c>
    </row>
    <row r="17">
      <c r="A17">
        <f>IF(ISNA(VLOOKUP(B17,Definitions!B$2:B$1839,1,FALSE)),"Not listed","")</f>
        <v/>
      </c>
      <c r="B17" s="2" t="inlineStr">
        <is>
          <t>stiffness_ratio</t>
        </is>
      </c>
      <c r="C17" t="inlineStr">
        <is>
          <t>//diggs:parameterName</t>
        </is>
      </c>
      <c r="D17" t="inlineStr">
        <is>
          <t>ancestor::diggs:RIColumnDesign</t>
        </is>
      </c>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2026-08-17T01:42:13Z</dcterms:modified>
  <cp:lastModifiedBy>Ponti, Daniel J</cp:lastModifiedBy>
</cp:coreProperties>
</file>