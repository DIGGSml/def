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propertyClass</t>
        </is>
      </c>
      <c r="C3" s="12" t="inlineStr">
        <is>
          <t>ri_design_properties</t>
        </is>
      </c>
      <c r="D3" s="12" t="inlineStr">
        <is>
          <t>DIGGS Rigid Inclusion Design Properties</t>
        </is>
      </c>
      <c r="E3" s="2" t="inlineStr">
        <is>
          <t>This dictionary defines quantities produced or consumed by a rigid inclusion design that are carried as parameters rather than as fixed schema elements. Two kinds of entry are present. The first are the method-specific arching coefficients, which exist only inside one named arching model and are carried in the coefficient property of a diggs:ArchingCoefficients object; each is conditioned on the arching model that defines it, so a file reporting a Hewlett-Randolph efficiency under a Zaeske design does not validate. The second are design quantities that are common to several practices or vary too freely to justify a fixed schema element - the geometry and stiffness ratios that gate whether an arching method's unit-cell idealisation applies to a given layout, open-ended since a future method may add its own - carried in diggs:DesignRITreatedAreaType/methodApplicabilityRatio. The active earth pressure coefficient, once considered for this dictionary, turned out not to need it: a single, always-the-same-formula quantity, now the typed element diggs:DesignRILTPType/activeEarthPressureCoefficient instead. Quantities that every arching practice ultimately produces - the stress delivered to the column head and the stress reaching the soil between heads - are deliberately NOT here: they are typed elements on diggs:DesignRILTPType, because they are the two values on which designs prepared under different standards can actually be compared.</t>
        </is>
      </c>
    </row>
    <row r="4" ht="17" customHeight="1">
      <c r="A4" s="2" t="n"/>
      <c r="B4" s="2" t="n"/>
      <c r="D4" s="2" t="n"/>
      <c r="E4" s="2" t="n"/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3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arching_coefficient_marston</t>
        </is>
      </c>
      <c r="C2" s="13" t="inlineStr">
        <is>
          <t>Marston arching coefficient</t>
        </is>
      </c>
      <c r="D2" s="14" t="inlineStr">
        <is>
          <t>The Marston arching coefficient Cc,arch used in the BS 8006-1 arching formulation to express the proportion of embankment load transferred onto the inclusion caps. Defined only within the Marston/BS arching model; it has no meaning under a dome-arching or load-displacement-compatibility formulation, which is why this entry is conditioned on the arching model rather than offered unconditionally.</t>
        </is>
      </c>
      <c r="E2" s="13" t="inlineStr">
        <is>
          <t>double</t>
        </is>
      </c>
      <c r="F2" s="13" t="inlineStr">
        <is>
          <t>dimensionless</t>
        </is>
      </c>
      <c r="G2" s="9" t="inlineStr">
        <is>
          <t>BS 8006-1:2010+A1:2016</t>
        </is>
      </c>
    </row>
    <row r="3">
      <c r="A3" s="2">
        <f>IF(ISNA(VLOOKUP(B3,AssociatedElements!B$2:B2941,1,FALSE)),"Not used","")</f>
        <v/>
      </c>
      <c r="B3" s="13" t="inlineStr">
        <is>
          <t>cap_stress_ratio</t>
        </is>
      </c>
      <c r="C3" s="13" t="inlineStr">
        <is>
          <t>Cap stress ratio</t>
        </is>
      </c>
      <c r="D3" s="14" t="inlineStr">
        <is>
          <t>The ratio p'c/sigma'v of the vertical stress carried on the inclusion cap to the average vertical stress at the base of the embankment, as computed by the BS 8006-1 arching formulation. A ratio of two pressures rather than a bare dimensionless number: stating the quantity class forces both quantities to be pressures and prevents the value being read as a load fraction, which is a different quantity (see arching_efficiency_cap).</t>
        </is>
      </c>
      <c r="E3" s="13" t="inlineStr">
        <is>
          <t>double</t>
        </is>
      </c>
      <c r="F3" s="13" t="inlineStr">
        <is>
          <t>pressure per pressure</t>
        </is>
      </c>
      <c r="G3" s="9" t="inlineStr">
        <is>
          <t>BS 8006-1:2010+A1:2016</t>
        </is>
      </c>
    </row>
    <row r="4">
      <c r="A4" s="2">
        <f>IF(ISNA(VLOOKUP(B4,AssociatedElements!B$2:B2942,1,FALSE)),"Not used","")</f>
        <v/>
      </c>
      <c r="B4" t="inlineStr">
        <is>
          <t>arching_efficiency_crown</t>
        </is>
      </c>
      <c r="C4" t="inlineStr">
        <is>
          <t>Crown arching efficiency</t>
        </is>
      </c>
      <c r="D4" t="inlineStr">
        <is>
          <t>The arching efficiency Ecrown evaluated at the crown of the soil dome in the Hewlett-Randolph model - the proportion of embankment weight carried by the inclusions when the crown of the arch governs. Hewlett-Randolph evaluates efficiency at two locations and adopts the lesser; this is one of the two. See arching_efficiency_minimum for the adopted value.</t>
        </is>
      </c>
      <c r="E4" t="inlineStr">
        <is>
          <t>double</t>
        </is>
      </c>
      <c r="F4" t="inlineStr">
        <is>
          <t>force per force</t>
        </is>
      </c>
      <c r="G4" s="9" t="inlineStr">
        <is>
          <t>Hewlett, W.J. and Randolph, M.F. (1988), Ground Engineering 21(3)</t>
        </is>
      </c>
    </row>
    <row r="5">
      <c r="A5" s="2">
        <f>IF(ISNA(VLOOKUP(B5,AssociatedElements!B$2:B2943,1,FALSE)),"Not used","")</f>
        <v/>
      </c>
      <c r="B5" s="13" t="inlineStr">
        <is>
          <t>arching_efficiency_cap</t>
        </is>
      </c>
      <c r="C5" s="13" t="inlineStr">
        <is>
          <t>Cap arching efficiency</t>
        </is>
      </c>
      <c r="D5" s="14" t="inlineStr">
        <is>
          <t>The arching efficiency Ecap evaluated at the inclusion cap in the Hewlett-Randolph model - the proportion of embankment weight carried by the inclusions when the cap governs. The second of the two locations at which Hewlett-Randolph evaluates efficiency.</t>
        </is>
      </c>
      <c r="E5" s="13" t="inlineStr">
        <is>
          <t>double</t>
        </is>
      </c>
      <c r="F5" s="13" t="inlineStr">
        <is>
          <t>force per force</t>
        </is>
      </c>
      <c r="G5" s="9" t="inlineStr">
        <is>
          <t>Hewlett, W.J. and Randolph, M.F. (1988), Ground Engineering 21(3)</t>
        </is>
      </c>
    </row>
    <row r="6">
      <c r="A6" s="2">
        <f>IF(ISNA(VLOOKUP(B6,AssociatedElements!B$2:B2944,1,FALSE)),"Not used","")</f>
        <v/>
      </c>
      <c r="B6" t="inlineStr">
        <is>
          <t>arching_efficiency_minimum</t>
        </is>
      </c>
      <c r="C6" s="16" t="inlineStr">
        <is>
          <t>Minimum arching efficiency</t>
        </is>
      </c>
      <c r="D6" s="16" t="inlineStr">
        <is>
          <t>The governing arching efficiency Emin adopted by the Hewlett-Randolph model, being the lesser of the crown and cap efficiencies. This is the value the design carries forward; the two component efficiencies are reported alongside it so that a reviewer can see which location governed.</t>
        </is>
      </c>
      <c r="E6" s="17" t="inlineStr">
        <is>
          <t>double</t>
        </is>
      </c>
      <c r="F6" t="inlineStr">
        <is>
          <t>force per force</t>
        </is>
      </c>
      <c r="G6" s="9" t="inlineStr">
        <is>
          <t>Hewlett, W.J. and Randolph, M.F. (1988), Ground Engineering 21(3)</t>
        </is>
      </c>
    </row>
    <row r="7">
      <c r="A7" s="2">
        <f>IF(ISNA(VLOOKUP(B7,AssociatedElements!B$2:B2945,1,FALSE)),"Not used","")</f>
        <v/>
      </c>
      <c r="B7" t="inlineStr">
        <is>
          <t>passive_earth_pressure_coefficient</t>
        </is>
      </c>
      <c r="C7" t="inlineStr">
        <is>
          <t>Passive earth pressure coefficient</t>
        </is>
      </c>
      <c r="D7" t="inlineStr">
        <is>
          <t>The passive earth pressure coefficient Kp = (1 + sin phi'p) / (1 - sin phi'p) of the platform or embankment fill, as used in the Hewlett-Randolph dome-arching solution. Note that this is a PEAK friction angle quantity in that formulation, whereas the friction angle adopted for arching is often a critical-state value; the two are not interchangeable and the design should state which was used.</t>
        </is>
      </c>
      <c r="E7" t="inlineStr">
        <is>
          <t>double</t>
        </is>
      </c>
      <c r="F7" t="inlineStr">
        <is>
          <t>pressure per pressure</t>
        </is>
      </c>
      <c r="G7" s="9" t="inlineStr">
        <is>
          <t>Hewlett, W.J. and Randolph, M.F. (1988), Ground Engineering 21(3)</t>
        </is>
      </c>
    </row>
    <row r="8">
      <c r="A8" s="2">
        <f>IF(ISNA(VLOOKUP(B8,AssociatedElements!B$2:B2946,1,FALSE)),"Not used","")</f>
        <v/>
      </c>
      <c r="B8" t="inlineStr">
        <is>
          <t>critical_stress_ratio</t>
        </is>
      </c>
      <c r="C8" t="inlineStr">
        <is>
          <t>Critical stress ratio</t>
        </is>
      </c>
      <c r="D8" t="inlineStr">
        <is>
          <t>The critical stress ratio Kcrit = tan^2(45 deg + phi'/2) governing the vertical stress distribution in the Zaeske multi-shell arching model adopted by EBGEO. Numerically this is the Rankine passive coefficient, but it is a distinct entry from passive_earth_pressure_coefficient because it enters a different formulation and is conditioned on a different arching model; merging them would let a file report an EBGEO quantity under a Hewlett-Randolph design and validate.</t>
        </is>
      </c>
      <c r="E8" t="inlineStr">
        <is>
          <t>double</t>
        </is>
      </c>
      <c r="F8" t="inlineStr">
        <is>
          <t>pressure per pressure</t>
        </is>
      </c>
      <c r="G8" s="9" t="inlineStr">
        <is>
          <t>EBGEO (DGGT), Chapter 6.9</t>
        </is>
      </c>
    </row>
    <row r="9">
      <c r="A9" s="2">
        <f>IF(ISNA(VLOOKUP(B9,AssociatedElements!B$2:B2947,1,FALSE)),"Not used","")</f>
        <v/>
      </c>
      <c r="B9" t="inlineStr">
        <is>
          <t>lateral_earth_pressure_coefficient_ldc</t>
        </is>
      </c>
      <c r="C9" s="16" t="inlineStr">
        <is>
          <t>Adapted-Terzaghi lateral earth pressure coefficient</t>
        </is>
      </c>
      <c r="D9" s="16" t="inlineStr">
        <is>
          <t>The lateral earth pressure coefficient K used in the adapted-Terzaghi formulation of the load-displacement-compatibility method. A RECOMMENDED CONSTANT RATHER THAN A PROJECT-SPECIFIC QUANTITY: the method carries a recommended value of 0.75, which is one of the reasons it is a dictionary entry - the recommendation and its provenance can be recorded here in a way a schema element could not. State the value actually adopted; a design departing from 0.75 should say so.</t>
        </is>
      </c>
      <c r="E9" s="17" t="inlineStr">
        <is>
          <t>double</t>
        </is>
      </c>
      <c r="F9" t="inlineStr">
        <is>
          <t>pressure per pressure</t>
        </is>
      </c>
      <c r="G9" s="9" t="inlineStr">
        <is>
          <t>FHWA GEC-13 (Ground Modification Methods Reference Manual)</t>
        </is>
      </c>
    </row>
    <row r="10">
      <c r="A10" s="2">
        <f>IF(ISNA(VLOOKUP(B10,AssociatedElements!B$2:B2948,1,FALSE)),"Not used","")</f>
        <v/>
      </c>
      <c r="B10" s="13" t="inlineStr">
        <is>
          <t>punching_bearing_factor</t>
        </is>
      </c>
      <c r="C10" s="13" t="inlineStr">
        <is>
          <t>Head punching bearing factor</t>
        </is>
      </c>
      <c r="D10" s="14" t="inlineStr">
        <is>
          <t>The Prandtl bearing capacity factor Nq applied at the inclusion head in the ASIRI punching check, evaluated at the critical-state friction angle of the platform fill. Governs the stress that can be delivered to the head before the fill punches around it.</t>
        </is>
      </c>
      <c r="E10" s="13" t="inlineStr">
        <is>
          <t>double</t>
        </is>
      </c>
      <c r="F10" s="13" t="inlineStr">
        <is>
          <t>dimensionless</t>
        </is>
      </c>
      <c r="G10" s="9" t="inlineStr">
        <is>
          <t>ASIRI National Project Recommendations (IREX)</t>
        </is>
      </c>
    </row>
    <row r="11">
      <c r="A11" s="2">
        <f>IF(ISNA(VLOOKUP(B14,AssociatedElements!B$2:B2952,1,FALSE)),"Not used","")</f>
        <v/>
      </c>
      <c r="B11" s="13" t="inlineStr">
        <is>
          <t>arching_height_ratio</t>
        </is>
      </c>
      <c r="C11" s="13" t="inlineStr">
        <is>
          <t>Arching height ratio</t>
        </is>
      </c>
      <c r="D11" s="14" t="inlineStr">
        <is>
          <t>The geometric ratio h/(s-d) of platform or embankment height above the inclusion heads to the clear spacing between inclusions. One of the geometric limits that determine whether a given arching method is applicable to a given layout; a method used outside the ratio range it was validated over is not defensible, which is what makes this worth stating rather than leaving to be recomputed.</t>
        </is>
      </c>
      <c r="E11" s="13" t="inlineStr">
        <is>
          <t>double</t>
        </is>
      </c>
      <c r="F11" s="13" t="inlineStr">
        <is>
          <t>length per length</t>
        </is>
      </c>
      <c r="G11" s="9" t="inlineStr">
        <is>
          <t>EBGEO (DGGT), Chapter 6.9</t>
        </is>
      </c>
    </row>
    <row r="12">
      <c r="A12" s="2">
        <f>IF(ISNA(VLOOKUP(B15,AssociatedElements!B$2:B2953,1,FALSE)),"Not used","")</f>
        <v/>
      </c>
      <c r="B12" s="13" t="inlineStr">
        <is>
          <t>diameter_spacing_ratio</t>
        </is>
      </c>
      <c r="C12" s="18" t="inlineStr">
        <is>
          <t>Diameter to spacing ratio</t>
        </is>
      </c>
      <c r="D12" s="19" t="inlineStr">
        <is>
          <t>The geometric ratio d/s of inclusion diameter to centre-to-centre spacing. A second method-applicability limit, and the quantity most directly related to the area replacement ratio; carry both rather than either alone, since practices state their limits against different ones of the two.</t>
        </is>
      </c>
      <c r="E12" s="18" t="inlineStr">
        <is>
          <t>double</t>
        </is>
      </c>
      <c r="F12" s="18" t="inlineStr">
        <is>
          <t>length per length</t>
        </is>
      </c>
      <c r="G12" s="9" t="inlineStr">
        <is>
          <t>EBGEO (DGGT), Chapter 6.9</t>
        </is>
      </c>
    </row>
    <row r="13">
      <c r="A13" s="2">
        <f>IF(ISNA(VLOOKUP(B16,AssociatedElements!B$2:B2954,1,FALSE)),"Not used","")</f>
        <v/>
      </c>
      <c r="B13" s="13" t="inlineStr">
        <is>
          <t>spacing_aspect_ratio</t>
        </is>
      </c>
      <c r="C13" s="18" t="inlineStr">
        <is>
          <t>Spacing aspect ratio</t>
        </is>
      </c>
      <c r="D13" s="19" t="inlineStr">
        <is>
          <t>The ratio sx/sy of the two orthogonal centre-to-centre spacings of a rectangular grid. Unity for a square grid. Methods derived for square or triangular layouts carry limits on how far from unity this may go before the unit-cell idealisation stops holding.</t>
        </is>
      </c>
      <c r="E13" s="18" t="inlineStr">
        <is>
          <t>double</t>
        </is>
      </c>
      <c r="F13" s="18" t="inlineStr">
        <is>
          <t>length per length</t>
        </is>
      </c>
      <c r="G13" s="9" t="inlineStr">
        <is>
          <t>EBGEO (DGGT), Chapter 6.9</t>
        </is>
      </c>
    </row>
    <row r="14">
      <c r="A14" s="2">
        <f>IF(ISNA(VLOOKUP(B17,AssociatedElements!B$2:B2955,1,FALSE)),"Not used","")</f>
        <v/>
      </c>
      <c r="B14" s="13" t="inlineStr">
        <is>
          <t>stiffness_ratio</t>
        </is>
      </c>
      <c r="C14" s="18" t="inlineStr">
        <is>
          <t>Subgrade stiffness ratio</t>
        </is>
      </c>
      <c r="D14" s="19" t="inlineStr">
        <is>
          <t>The ratio ks,T/ks of the stiffness of the improved composite ground to that of the untreated ground, used by EBGEO as a gate on whether its method may be applied. THE GATE VALUE IS NOT STATED HERE. The threshold this ratio must exceed is a pass/fail requirement on method validity, not a design value, and belongs in a diggs:DesignConformanceCriterion that names this property. That keeps the requirement where a reviewer looks for requirements and lets it differ by project or edition. The commonly cited threshold has not been verified against a retrievable clause; the criterion carrying it should cite its own source.</t>
        </is>
      </c>
      <c r="E14" s="18" t="inlineStr">
        <is>
          <t>double</t>
        </is>
      </c>
      <c r="F14" s="18" t="inlineStr">
        <is>
          <t>dimensionless</t>
        </is>
      </c>
      <c r="G14" s="9" t="inlineStr">
        <is>
          <t>EBGEO (DGGT), Chapter 6.9</t>
        </is>
      </c>
    </row>
    <row r="15">
      <c r="A15" s="2">
        <f>IF(ISNA(VLOOKUP(B18,AssociatedElements!B$2:B2956,1,FALSE)),"Not used","")</f>
        <v/>
      </c>
      <c r="B15" s="13" t="inlineStr">
        <is>
          <t>stress_reduction_ratio</t>
        </is>
      </c>
      <c r="C15" s="18" t="inlineStr">
        <is>
          <t>Stress reduction ratio (SRR)</t>
        </is>
      </c>
      <c r="D15" s="19" t="inlineStr">
        <is>
          <t>The ratio of the vertical stress carried by the soft soil between inclusion heads to the vertical stress that would act there without arching. FHWA GEC-13 Eq 3-23.</t>
        </is>
      </c>
      <c r="E15" s="18" t="inlineStr">
        <is>
          <t>double</t>
        </is>
      </c>
      <c r="F15" s="18" t="inlineStr">
        <is>
          <t>dimensionless</t>
        </is>
      </c>
      <c r="G15" s="9" t="inlineStr">
        <is>
          <t>FHWA GEC-13 (FHWA-NHI-16-028)</t>
        </is>
      </c>
    </row>
    <row r="16">
      <c r="A16" s="2">
        <f>IF(ISNA(VLOOKUP(B20,AssociatedElements!B$2:B2958,1,FALSE)),"Not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IF(ISNA(VLOOKUP(B21,AssociatedElements!B$2:B2959,1,FALSE)),"Not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IF(ISNA(VLOOKUP(B22,AssociatedElements!B$2:B2960,1,FALSE)),"Not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IF(ISNA(VLOOKUP(B23,AssociatedElements!B$2:B2961,1,FALSE)),"Not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IF(ISNA(VLOOKUP(B24,AssociatedElements!B$2:B2962,1,FALSE)),"Not used","")</f>
        <v/>
      </c>
      <c r="D20" s="16" t="n"/>
      <c r="G20" s="9" t="n"/>
    </row>
    <row r="21">
      <c r="A21" s="2">
        <f>IF(ISNA(VLOOKUP(B25,AssociatedElements!B$2:B2963,1,FALSE)),"Not used","")</f>
        <v/>
      </c>
      <c r="B21" s="13" t="n"/>
      <c r="C21" s="13" t="n"/>
      <c r="E21" s="13" t="n"/>
      <c r="F21" s="13" t="n"/>
      <c r="G21" s="9" t="n"/>
    </row>
    <row r="22">
      <c r="A22" s="2">
        <f>IF(ISNA(VLOOKUP(B26,AssociatedElements!B$2:B2964,1,FALSE)),"Not used","")</f>
        <v/>
      </c>
      <c r="B22" s="13" t="n"/>
      <c r="C22" s="13" t="n"/>
      <c r="E22" s="13" t="n"/>
      <c r="F22" s="13" t="n"/>
      <c r="G22" s="9" t="n"/>
    </row>
    <row r="23">
      <c r="A23" s="2">
        <f>IF(ISNA(VLOOKUP(B27,AssociatedElements!B$2:B2965,1,FALSE)),"Not used","")</f>
        <v/>
      </c>
      <c r="B23" s="13" t="n"/>
      <c r="C23" s="13" t="n"/>
      <c r="D23" s="15" t="n"/>
      <c r="E23" s="13" t="n"/>
      <c r="F23" s="13" t="n"/>
      <c r="G23" s="9" t="n"/>
    </row>
    <row r="24">
      <c r="A24" s="2">
        <f>IF(ISNA(VLOOKUP(B28,AssociatedElements!B$2:B2966,1,FALSE)),"Not used","")</f>
        <v/>
      </c>
      <c r="B24" s="13" t="n"/>
      <c r="C24" s="13" t="n"/>
      <c r="D24" s="14" t="n"/>
      <c r="E24" s="13" t="n"/>
      <c r="F24" s="13" t="n"/>
      <c r="G24" s="9" t="n"/>
    </row>
    <row r="25">
      <c r="A25" s="2">
        <f>IF(ISNA(VLOOKUP(B29,AssociatedElements!B$2:B2967,1,FALSE)),"Not used","")</f>
        <v/>
      </c>
      <c r="B25" s="13" t="n"/>
      <c r="C25" s="13" t="n"/>
      <c r="D25" s="14" t="n"/>
      <c r="E25" s="13" t="n"/>
      <c r="F25" s="13" t="n"/>
      <c r="G25" s="9" t="n"/>
    </row>
    <row r="26">
      <c r="A26" s="2">
        <f>IF(ISNA(VLOOKUP(B30,AssociatedElements!B$2:B2968,1,FALSE)),"Not used","")</f>
        <v/>
      </c>
      <c r="B26" s="13" t="n"/>
      <c r="C26" s="13" t="n"/>
      <c r="D26" s="14" t="n"/>
      <c r="E26" s="13" t="n"/>
      <c r="F26" s="13" t="n"/>
      <c r="G26" s="9" t="n"/>
    </row>
    <row r="27">
      <c r="A27" s="2">
        <f>IF(ISNA(VLOOKUP(B31,AssociatedElements!B$2:B2969,1,FALSE)),"Not used","")</f>
        <v/>
      </c>
      <c r="B27" s="13" t="n"/>
      <c r="C27" s="18" t="n"/>
      <c r="D27" s="19" t="n"/>
      <c r="E27" s="18" t="n"/>
      <c r="F27" s="18" t="n"/>
      <c r="G27" s="9" t="n"/>
    </row>
    <row r="28">
      <c r="A28" s="2">
        <f>IF(ISNA(VLOOKUP(B32,AssociatedElements!B$2:B2970,1,FALSE)),"Not used","")</f>
        <v/>
      </c>
      <c r="B28" s="13" t="n"/>
      <c r="C28" s="18" t="n"/>
      <c r="D28" s="19" t="n"/>
      <c r="E28" s="18" t="n"/>
      <c r="F28" s="18" t="n"/>
      <c r="G28" s="9" t="n"/>
    </row>
    <row r="29">
      <c r="A29" s="2">
        <f>IF(ISNA(VLOOKUP(B33,AssociatedElements!B$2:B2971,1,FALSE)),"Not used","")</f>
        <v/>
      </c>
      <c r="B29" s="13" t="n"/>
      <c r="C29" s="18" t="n"/>
      <c r="D29" s="19" t="n"/>
      <c r="E29" s="18" t="n"/>
      <c r="F29" s="18" t="n"/>
      <c r="G29" s="9" t="n"/>
    </row>
    <row r="30">
      <c r="A30" s="2">
        <f>IF(ISNA(VLOOKUP(B34,AssociatedElements!B$2:B2972,1,FALSE)),"Not used","")</f>
        <v/>
      </c>
      <c r="B30" s="13" t="n"/>
      <c r="C30" s="18" t="n"/>
      <c r="D30" s="19" t="n"/>
      <c r="E30" s="18" t="n"/>
      <c r="F30" s="18" t="n"/>
      <c r="G30" s="9" t="n"/>
    </row>
    <row r="31">
      <c r="A31" s="2">
        <f>IF(ISNA(VLOOKUP(B35,AssociatedElements!B$2:B2973,1,FALSE)),"Not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IF(ISNA(VLOOKUP(B36,AssociatedElements!B$2:B2974,1,FALSE)),"Not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IF(ISNA(VLOOKUP(B37,AssociatedElements!B$2:B2975,1,FALSE)),"Not used","")</f>
        <v/>
      </c>
      <c r="G33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3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arching_coefficient_marston</t>
        </is>
      </c>
      <c r="C2" t="inlineStr">
        <is>
          <t>//diggs:parameterName</t>
        </is>
      </c>
      <c r="D2" t="inlineStr">
        <is>
          <t>ancestor::diggs:ArchingCoefficient/diggs:archingModel[.='marston']</t>
        </is>
      </c>
    </row>
    <row r="3">
      <c r="A3">
        <f>IF(ISNA(VLOOKUP(B3,Definitions!B$2:B$1839,1,FALSE)),"Not listed","")</f>
        <v/>
      </c>
      <c r="B3" s="20" t="inlineStr">
        <is>
          <t>cap_stress_ratio</t>
        </is>
      </c>
      <c r="C3" t="inlineStr">
        <is>
          <t>//diggs:parameterName</t>
        </is>
      </c>
      <c r="D3" t="inlineStr">
        <is>
          <t>ancestor::diggs:ArchingCoefficient/diggs:archingModel[.='marston']</t>
        </is>
      </c>
    </row>
    <row r="4">
      <c r="A4">
        <f>IF(ISNA(VLOOKUP(B4,Definitions!B$2:B$1839,1,FALSE)),"Not listed","")</f>
        <v/>
      </c>
      <c r="B4" s="2" t="inlineStr">
        <is>
          <t>arching_efficiency_crown</t>
        </is>
      </c>
      <c r="C4" t="inlineStr">
        <is>
          <t>//diggs:parameterName</t>
        </is>
      </c>
      <c r="D4" t="inlineStr">
        <is>
          <t>ancestor::diggs:ArchingCoefficient/diggs:archingModel[.='hewlett_randolph']</t>
        </is>
      </c>
    </row>
    <row r="5">
      <c r="A5">
        <f>IF(ISNA(VLOOKUP(B5,Definitions!B$2:B$1839,1,FALSE)),"Not listed","")</f>
        <v/>
      </c>
      <c r="B5" s="2" t="inlineStr">
        <is>
          <t>arching_efficiency_cap</t>
        </is>
      </c>
      <c r="C5" t="inlineStr">
        <is>
          <t>//diggs:parameterName</t>
        </is>
      </c>
      <c r="D5" t="inlineStr">
        <is>
          <t>ancestor::diggs:ArchingCoefficient/diggs:archingModel[.='hewlett_randolph']</t>
        </is>
      </c>
    </row>
    <row r="6">
      <c r="A6">
        <f>IF(ISNA(VLOOKUP(B6,Definitions!B$2:B$1839,1,FALSE)),"Not listed","")</f>
        <v/>
      </c>
      <c r="B6" s="2" t="inlineStr">
        <is>
          <t>arching_efficiency_minimum</t>
        </is>
      </c>
      <c r="C6" t="inlineStr">
        <is>
          <t>//diggs:parameterName</t>
        </is>
      </c>
      <c r="D6" t="inlineStr">
        <is>
          <t>ancestor::diggs:ArchingCoefficient/diggs:archingModel[.='hewlett_randolph']</t>
        </is>
      </c>
    </row>
    <row r="7">
      <c r="A7">
        <f>IF(ISNA(VLOOKUP(B7,Definitions!B$2:B$1839,1,FALSE)),"Not listed","")</f>
        <v/>
      </c>
      <c r="B7" s="2" t="inlineStr">
        <is>
          <t>passive_earth_pressure_coefficient</t>
        </is>
      </c>
      <c r="C7" t="inlineStr">
        <is>
          <t>//diggs:parameterName</t>
        </is>
      </c>
      <c r="D7" t="inlineStr">
        <is>
          <t>ancestor::diggs:ArchingCoefficient/diggs:archingModel[.='hewlett_randolph']</t>
        </is>
      </c>
    </row>
    <row r="8">
      <c r="A8">
        <f>IF(ISNA(VLOOKUP(B8,Definitions!B$2:B$1839,1,FALSE)),"Not listed","")</f>
        <v/>
      </c>
      <c r="B8" s="2" t="inlineStr">
        <is>
          <t>critical_stress_ratio</t>
        </is>
      </c>
      <c r="C8" t="inlineStr">
        <is>
          <t>//diggs:parameterName</t>
        </is>
      </c>
      <c r="D8" t="inlineStr">
        <is>
          <t>ancestor::diggs:ArchingCoefficient/diggs:archingModel[.='zaeske']</t>
        </is>
      </c>
    </row>
    <row r="9">
      <c r="A9">
        <f>IF(ISNA(VLOOKUP(B9,Definitions!B$2:B$1839,1,FALSE)),"Not listed","")</f>
        <v/>
      </c>
      <c r="B9" s="2" t="inlineStr">
        <is>
          <t>lateral_earth_pressure_coefficient_ldc</t>
        </is>
      </c>
      <c r="C9" t="inlineStr">
        <is>
          <t>//diggs:parameterName</t>
        </is>
      </c>
      <c r="D9" t="inlineStr">
        <is>
          <t>ancestor::diggs:ArchingCoefficient/diggs:archingModel[.='adapted_terzaghi']</t>
        </is>
      </c>
    </row>
    <row r="10">
      <c r="A10">
        <f>IF(ISNA(VLOOKUP(B10,Definitions!B$2:B$1839,1,FALSE)),"Not listed","")</f>
        <v/>
      </c>
      <c r="B10" s="20" t="inlineStr">
        <is>
          <t>punching_bearing_factor</t>
        </is>
      </c>
      <c r="C10" t="inlineStr">
        <is>
          <t>//diggs:parameterName</t>
        </is>
      </c>
      <c r="D10" t="inlineStr">
        <is>
          <t>ancestor::diggs:ArchingCoefficient/diggs:archingModel[.='prandtl']</t>
        </is>
      </c>
    </row>
    <row r="11">
      <c r="A11">
        <f>IF(ISNA(VLOOKUP(B14,Definitions!B$2:B$1839,1,FALSE)),"Not listed","")</f>
        <v/>
      </c>
      <c r="B11" s="20" t="inlineStr">
        <is>
          <t>arching_height_ratio</t>
        </is>
      </c>
      <c r="C11" t="inlineStr">
        <is>
          <t>//diggs:parameterName</t>
        </is>
      </c>
      <c r="D11" t="inlineStr">
        <is>
          <t>ancestor::diggs:methodApplicabilityRatio</t>
        </is>
      </c>
    </row>
    <row r="12">
      <c r="A12">
        <f>IF(ISNA(VLOOKUP(B15,Definitions!B$2:B$1839,1,FALSE)),"Not listed","")</f>
        <v/>
      </c>
      <c r="B12" s="2" t="inlineStr">
        <is>
          <t>diameter_spacing_ratio</t>
        </is>
      </c>
      <c r="C12" t="inlineStr">
        <is>
          <t>//diggs:parameterName</t>
        </is>
      </c>
      <c r="D12" t="inlineStr">
        <is>
          <t>ancestor::diggs:methodApplicabilityRatio</t>
        </is>
      </c>
    </row>
    <row r="13">
      <c r="A13">
        <f>IF(ISNA(VLOOKUP(B16,Definitions!B$2:B$1839,1,FALSE)),"Not listed","")</f>
        <v/>
      </c>
      <c r="B13" s="2" t="inlineStr">
        <is>
          <t>spacing_aspect_ratio</t>
        </is>
      </c>
      <c r="C13" t="inlineStr">
        <is>
          <t>//diggs:parameterName</t>
        </is>
      </c>
      <c r="D13" t="inlineStr">
        <is>
          <t>ancestor::diggs:methodApplicabilityRatio</t>
        </is>
      </c>
    </row>
    <row r="14">
      <c r="A14">
        <f>IF(ISNA(VLOOKUP(B17,Definitions!B$2:B$1839,1,FALSE)),"Not listed","")</f>
        <v/>
      </c>
      <c r="B14" s="2" t="inlineStr">
        <is>
          <t>stiffness_ratio</t>
        </is>
      </c>
      <c r="C14" t="inlineStr">
        <is>
          <t>//diggs:parameterName</t>
        </is>
      </c>
      <c r="D14" t="inlineStr">
        <is>
          <t>ancestor::diggs:methodApplicabilityRatio</t>
        </is>
      </c>
    </row>
    <row r="15">
      <c r="A15">
        <f>IF(ISNA(VLOOKUP(B18,Definitions!B$2:B$1839,1,FALSE)),"Not listed","")</f>
        <v/>
      </c>
      <c r="B15" s="2" t="inlineStr">
        <is>
          <t>stress_reduction_ratio</t>
        </is>
      </c>
      <c r="C15" t="inlineStr">
        <is>
          <t>//diggs:parameterName</t>
        </is>
      </c>
      <c r="D15" t="inlineStr">
        <is>
          <t>ancestor::diggs:ArchingCoefficient/diggs:archingModel[.='fhwa_parabolic']</t>
        </is>
      </c>
    </row>
    <row r="16">
      <c r="A16">
        <f>IF(ISNA(VLOOKUP(B20,Definitions!B$2:B$1839,1,FALSE)),"Not listed","")</f>
        <v/>
      </c>
      <c r="B16" s="20" t="n"/>
    </row>
    <row r="17">
      <c r="A17">
        <f>IF(ISNA(VLOOKUP(B21,Definitions!B$2:B$1839,1,FALSE)),"Not listed","")</f>
        <v/>
      </c>
      <c r="B17" s="20" t="n"/>
    </row>
    <row r="18">
      <c r="A18">
        <f>IF(ISNA(VLOOKUP(B22,Definitions!B$2:B$1839,1,FALSE)),"Not listed","")</f>
        <v/>
      </c>
      <c r="B18" s="20" t="n"/>
    </row>
    <row r="19">
      <c r="A19">
        <f>IF(ISNA(VLOOKUP(B23,Definitions!B$2:B$1839,1,FALSE)),"Not listed","")</f>
        <v/>
      </c>
      <c r="B19" s="20" t="n"/>
    </row>
    <row r="20">
      <c r="A20">
        <f>IF(ISNA(VLOOKUP(B24,Definitions!B$2:B$1839,1,FALSE)),"Not listed","")</f>
        <v/>
      </c>
      <c r="B20" s="2" t="n"/>
    </row>
    <row r="21">
      <c r="A21">
        <f>IF(ISNA(VLOOKUP(B25,Definitions!B$2:B$1839,1,FALSE)),"Not listed","")</f>
        <v/>
      </c>
      <c r="B21" s="2" t="n"/>
    </row>
    <row r="22">
      <c r="A22">
        <f>IF(ISNA(VLOOKUP(B26,Definitions!B$2:B$1839,1,FALSE)),"Not listed","")</f>
        <v/>
      </c>
      <c r="B22" s="2" t="n"/>
    </row>
    <row r="23">
      <c r="A23">
        <f>IF(ISNA(VLOOKUP(B27,Definitions!B$2:B$1839,1,FALSE)),"Not listed","")</f>
        <v/>
      </c>
      <c r="B23" s="13" t="n"/>
    </row>
    <row r="24">
      <c r="A24">
        <f>IF(ISNA(VLOOKUP(B28,Definitions!B$2:B$1839,1,FALSE)),"Not listed","")</f>
        <v/>
      </c>
      <c r="B24" s="13" t="n"/>
    </row>
    <row r="25">
      <c r="A25">
        <f>IF(ISNA(VLOOKUP(B29,Definitions!B$2:B$1839,1,FALSE)),"Not listed","")</f>
        <v/>
      </c>
      <c r="B25" s="13" t="n"/>
    </row>
    <row r="26">
      <c r="A26">
        <f>IF(ISNA(VLOOKUP(B30,Definitions!B$2:B$1839,1,FALSE)),"Not listed","")</f>
        <v/>
      </c>
      <c r="B26" s="13" t="n"/>
    </row>
    <row r="27">
      <c r="A27">
        <f>IF(ISNA(VLOOKUP(B31,Definitions!B$2:B$1839,1,FALSE)),"Not listed","")</f>
        <v/>
      </c>
      <c r="B27" s="13" t="n"/>
    </row>
    <row r="28">
      <c r="A28">
        <f>IF(ISNA(VLOOKUP(B32,Definitions!B$2:B$1839,1,FALSE)),"Not listed","")</f>
        <v/>
      </c>
      <c r="B28" s="13" t="n"/>
    </row>
    <row r="29">
      <c r="A29">
        <f>IF(ISNA(VLOOKUP(B33,Definitions!B$2:B$1839,1,FALSE)),"Not listed","")</f>
        <v/>
      </c>
      <c r="B29" s="13" t="n"/>
    </row>
    <row r="30">
      <c r="A30">
        <f>IF(ISNA(VLOOKUP(B34,Definitions!B$2:B$1839,1,FALSE)),"Not listed","")</f>
        <v/>
      </c>
      <c r="B30" s="13" t="n"/>
    </row>
    <row r="31">
      <c r="A31">
        <f>IF(ISNA(VLOOKUP(B35,Definitions!B$2:B$1839,1,FALSE)),"Not listed","")</f>
        <v/>
      </c>
      <c r="B31" s="13" t="n"/>
    </row>
    <row r="32">
      <c r="A32">
        <f>IF(ISNA(VLOOKUP(B36,Definitions!B$2:B$1839,1,FALSE)),"Not listed","")</f>
        <v/>
      </c>
      <c r="B32" s="13" t="n"/>
    </row>
    <row r="33">
      <c r="A33">
        <f>IF(ISNA(VLOOKUP(B37,Definitions!B$2:B$1839,1,FALSE)),"Not listed","")</f>
        <v/>
      </c>
      <c r="B33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C2" s="3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2026-09-28T04:13:23Z</dcterms:modified>
  <cp:lastModifiedBy>Ponti, Daniel J</cp:lastModifiedBy>
</cp:coreProperties>
</file>