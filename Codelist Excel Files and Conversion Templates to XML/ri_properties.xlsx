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200" yWindow="3280" windowWidth="39400" windowHeight="24940" tabRatio="500" firstSheet="0" activeTab="4" autoFilterDateGrouping="1"/>
  </bookViews>
  <sheets>
    <sheet name="DictionaryName" sheetId="1" state="visible" r:id="rId1"/>
    <sheet name="Definitions" sheetId="2" state="visible" r:id="rId2"/>
    <sheet name="AssociatedElements" sheetId="3" state="visible" r:id="rId3"/>
    <sheet name="AlternateNames" sheetId="4" state="visible" r:id="rId4"/>
    <sheet name="Lists" sheetId="5" state="visible" r:id="rId5"/>
  </sheets>
  <definedNames/>
  <calcPr calcId="191029" fullCalcOnLoad="1"/>
</workbook>
</file>

<file path=xl/styles.xml><?xml version="1.0" encoding="utf-8"?>
<styleSheet xmlns="http://schemas.openxmlformats.org/spreadsheetml/2006/main">
  <numFmts count="0"/>
  <fonts count="15">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Calibri"/>
      <family val="2"/>
      <color theme="1"/>
      <sz val="12"/>
      <scheme val="minor"/>
    </font>
    <font>
      <name val="Calibri"/>
      <family val="2"/>
      <color rgb="FF000000"/>
      <sz val="12"/>
      <scheme val="minor"/>
    </font>
    <font>
      <name val="Aptos Narrow"/>
      <family val="2"/>
      <color rgb="FF000000"/>
      <sz val="12"/>
    </font>
    <font>
      <name val="Calibri"/>
      <family val="2"/>
      <color theme="3"/>
      <sz val="12"/>
      <scheme val="minor"/>
    </font>
    <font>
      <name val="Calibri"/>
      <family val="2"/>
      <sz val="8"/>
      <scheme val="minor"/>
    </font>
  </fonts>
  <fills count="4">
    <fill>
      <patternFill/>
    </fill>
    <fill>
      <patternFill patternType="gray125"/>
    </fill>
    <fill>
      <patternFill patternType="solid">
        <fgColor rgb="FF4472C4"/>
        <bgColor rgb="FF4472C4"/>
      </patternFill>
    </fill>
    <fill>
      <patternFill patternType="solid">
        <fgColor rgb="FFDBE5F1"/>
        <bgColor indexed="64"/>
      </patternFill>
    </fill>
  </fills>
  <borders count="3">
    <border>
      <left/>
      <right/>
      <top/>
      <bottom/>
      <diagonal/>
    </border>
    <border>
      <left style="thin">
        <color rgb="FFFFFFFF"/>
      </left>
      <right style="thin">
        <color rgb="FFFFFFFF"/>
      </right>
      <top/>
      <bottom style="thick">
        <color rgb="FFFFFFFF"/>
      </bottom>
      <diagonal/>
    </border>
    <border>
      <left style="thin">
        <color rgb="FFFFFFFF"/>
      </left>
      <right style="thin">
        <color rgb="FFFFFFFF"/>
      </right>
      <top style="thin">
        <color rgb="FFFFFFFF"/>
      </top>
      <bottom style="thin">
        <color rgb="FFFFFFFF"/>
      </bottom>
      <diagonal/>
    </border>
  </borders>
  <cellStyleXfs count="3">
    <xf numFmtId="0" fontId="10" fillId="0" borderId="0"/>
    <xf numFmtId="0" fontId="2" fillId="0" borderId="0"/>
    <xf numFmtId="0" fontId="3" fillId="0" borderId="0"/>
  </cellStyleXfs>
  <cellXfs count="21">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8" fillId="2" borderId="1" applyAlignment="1" pivotButton="0" quotePrefix="0" xfId="0">
      <alignment wrapText="1"/>
    </xf>
    <xf numFmtId="0" fontId="0" fillId="0" borderId="0" applyAlignment="1" pivotButton="0" quotePrefix="0" xfId="0">
      <alignment vertical="center"/>
    </xf>
    <xf numFmtId="0" fontId="12" fillId="0" borderId="0" applyAlignment="1" pivotButton="0" quotePrefix="0" xfId="0">
      <alignment vertical="center" wrapText="1"/>
    </xf>
    <xf numFmtId="0" fontId="11" fillId="0" borderId="0" applyAlignment="1" pivotButton="0" quotePrefix="0" xfId="0">
      <alignment vertical="center" wrapText="1"/>
    </xf>
    <xf numFmtId="0" fontId="11" fillId="0" borderId="2" applyAlignment="1" pivotButton="0" quotePrefix="0" xfId="0">
      <alignment vertical="center" wrapText="1"/>
    </xf>
    <xf numFmtId="0" fontId="4" fillId="3" borderId="0" applyAlignment="1" pivotButton="0" quotePrefix="0" xfId="0">
      <alignment vertical="center" wrapText="1"/>
    </xf>
    <xf numFmtId="0" fontId="4" fillId="0" borderId="0" applyAlignment="1" pivotButton="0" quotePrefix="0" xfId="0">
      <alignment vertical="center" wrapText="1"/>
    </xf>
    <xf numFmtId="0" fontId="12" fillId="0" borderId="0"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vertical="center" wrapText="1"/>
    </xf>
  </cellXfs>
  <cellStyles count="3">
    <cellStyle name="Normal" xfId="0" builtinId="0"/>
    <cellStyle name="Hyperlink" xfId="1" builtinId="8" hidden="1"/>
    <cellStyle name="Followed Hyperlink" xfId="2" builtinId="9" hidden="1"/>
  </cellStyles>
  <dxfs count="25">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bottom" wrapText="1"/>
    </dxf>
    <dxf>
      <numFmt numFmtId="0" formatCode="General"/>
      <fill>
        <patternFill>
          <fgColor indexed="64"/>
          <bgColor indexed="65"/>
        </patternFill>
      </fill>
      <alignment horizontal="general" vertical="bottom"/>
    </dxf>
    <dxf>
      <font>
        <strike val="0"/>
        <outline val="0"/>
        <shadow val="0"/>
        <color theme="0"/>
        <vertAlign val="baseline"/>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font>
        <color auto="1"/>
      </font>
      <alignment horizontal="left" vertical="center"/>
    </dxf>
    <dxf>
      <font>
        <name val="Aptos Narrow"/>
        <family val="2"/>
        <color rgb="FF000000"/>
      </font>
      <alignment horizontal="general" vertical="center"/>
    </dxf>
    <dxf>
      <font>
        <name val="Aptos Narrow"/>
        <family val="2"/>
        <color rgb="FF000000"/>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general" vertical="bottom" wrapText="1"/>
      <border outline="0">
        <left/>
        <right style="thin">
          <color rgb="FFFFFFFF"/>
        </right>
        <top/>
        <bottom style="thin">
          <color rgb="FFFFFFFF"/>
        </bottom>
      </border>
    </dxf>
    <dxf>
      <font>
        <color auto="1"/>
      </font>
      <fill>
        <patternFill patternType="solid">
          <fgColor indexed="64"/>
          <bgColor rgb="FFDBE5F1"/>
        </patternFill>
      </fill>
      <alignment horizontal="general" vertical="center"/>
      <border outline="0">
        <left/>
        <right style="thin">
          <color rgb="FFFFFFFF"/>
        </right>
        <top/>
        <bottom style="thin">
          <color rgb="FFFFFFFF"/>
        </bottom>
      </border>
    </dxf>
    <dxf>
      <font>
        <name val="Aptos Narrow"/>
        <family val="2"/>
        <color rgb="FF000000"/>
      </font>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DictionaryName" displayName="DictionaryName" ref="A1:E4" headerRowCount="1" totalsRowShown="0" headerRowDxfId="24" dataDxfId="23">
  <autoFilter ref="A1:E4"/>
  <tableColumns count="5">
    <tableColumn id="1" name="Start" dataDxfId="22"/>
    <tableColumn id="4" name="Dictionary ID" dataDxfId="21"/>
    <tableColumn id="5" name="DictionaryFile" dataDxfId="20"/>
    <tableColumn id="2" name="DictionaryName" dataDxfId="19"/>
    <tableColumn id="3" name="Description" dataDxfId="18"/>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17" dataDxfId="16">
  <autoFilter ref="A1:H37"/>
  <sortState ref="A2:H37">
    <sortCondition ref="A1:A37"/>
  </sortState>
  <tableColumns count="8">
    <tableColumn id="1" name="Start" dataDxfId="15">
      <calculatedColumnFormula>IF(ISNA(VLOOKUP(B2,AssociatedElements!B$2:B2940,1,FALSE)),"Not used","")</calculatedColumnFormula>
    </tableColumn>
    <tableColumn id="10" name="ID" dataDxfId="14"/>
    <tableColumn id="7" name="Name" dataDxfId="13"/>
    <tableColumn id="3" name="Description" dataDxfId="12"/>
    <tableColumn id="4" name="DataType" dataDxfId="11"/>
    <tableColumn id="5" name="QuantityClass" dataDxfId="10"/>
    <tableColumn id="6" name="Authority" dataDxfId="9"/>
    <tableColumn id="9" name="Reference" dataDxfId="8"/>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7" headerRowCount="1" totalsRowShown="0" headerRowDxfId="7">
  <autoFilter ref="A1:D37"/>
  <sortState ref="A2:C2">
    <sortCondition ref="C1:C2"/>
  </sortState>
  <tableColumns count="4">
    <tableColumn id="1" name="Start" dataDxfId="6">
      <calculatedColumnFormula>IF(ISNA(VLOOKUP(B2,Definitions!B$2:B$1839,1,FALSE)),"Not listed","")</calculatedColumnFormula>
    </tableColumn>
    <tableColumn id="4" name="ID" dataDxfId="5"/>
    <tableColumn id="2" name="SourceElement" dataDxfId="4"/>
    <tableColumn id="3" name="ConditionalElement"/>
  </tableColumns>
  <tableStyleInfo name="TableStyleMedium9" showFirstColumn="0" showLastColumn="0" showRowStripes="1" showColumnStripes="0"/>
</table>
</file>

<file path=xl/tables/table4.xml><?xml version="1.0" encoding="utf-8"?>
<table xmlns="http://schemas.openxmlformats.org/spreadsheetml/2006/main" id="4" name="AssociatedElements5" displayName="AssociatedElements5" ref="A1:D2" headerRowCount="1" totalsRowShown="0" headerRowDxfId="3">
  <autoFilter ref="A1:D2"/>
  <sortState ref="A2:C2">
    <sortCondition ref="C1:C2"/>
  </sortState>
  <tableColumns count="4">
    <tableColumn id="1" name="Start" dataDxfId="2">
      <calculatedColumnFormula>IF(ISNA(VLOOKUP(B2,Definitions!B$2:B$1839,1,FALSE)),"Not listed","")</calculatedColumnFormula>
    </tableColumn>
    <tableColumn id="4" name="ID" dataDxfId="1"/>
    <tableColumn id="2" name="Name" dataDxfId="0"/>
    <tableColumn id="3" name="codeSpace"/>
  </tableColumns>
  <tableStyleInfo name="TableStyleMedium9" showFirstColumn="0" showLastColumn="0" showRowStripes="1" showColumnStripes="0"/>
</table>
</file>

<file path=xl/tables/table5.xml><?xml version="1.0" encoding="utf-8"?>
<table xmlns="http://schemas.openxmlformats.org/spreadsheetml/2006/main" id="5" name="Table6" displayName="Table6" ref="A1:E188" headerRowCount="1" totalsRowShown="0">
  <autoFilter ref="A1:E188"/>
  <sortState ref="A2:C187">
    <sortCondition ref="C1:C187"/>
  </sortState>
  <tableColumns count="5">
    <tableColumn id="1" name="DataType"/>
    <tableColumn id="2" name="DataType2"/>
    <tableColumn id="3" name="QuantityClass"/>
    <tableColumn id="5" name="Column2"/>
    <tableColumn id="4" name="Column3"/>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eet1">
    <outlinePr summaryBelow="1" summaryRight="1"/>
    <pageSetUpPr/>
  </sheetPr>
  <dimension ref="A1:E4"/>
  <sheetViews>
    <sheetView workbookViewId="0">
      <selection activeCell="E3" sqref="E3"/>
    </sheetView>
  </sheetViews>
  <sheetFormatPr baseColWidth="10" defaultColWidth="11" defaultRowHeight="16"/>
  <cols>
    <col width="7.5" customWidth="1" style="8" min="1" max="1"/>
    <col width="41.33203125" customWidth="1" style="8" min="2" max="2"/>
    <col width="26.33203125" customWidth="1" style="8" min="3" max="3"/>
    <col width="35.6640625" customWidth="1" style="8" min="4" max="4"/>
    <col width="76" customWidth="1" style="8" min="5" max="5"/>
    <col width="11" customWidth="1" style="8" min="6" max="16384"/>
  </cols>
  <sheetData>
    <row r="1" ht="18" customFormat="1" customHeight="1" s="10" thickBot="1">
      <c r="A1" s="10" t="inlineStr">
        <is>
          <t>Start</t>
        </is>
      </c>
      <c r="B1" s="10" t="inlineStr">
        <is>
          <t>Dictionary ID</t>
        </is>
      </c>
      <c r="C1" s="11" t="inlineStr">
        <is>
          <t>DictionaryFile</t>
        </is>
      </c>
      <c r="D1" s="10" t="inlineStr">
        <is>
          <t>DictionaryName</t>
        </is>
      </c>
      <c r="E1" s="10" t="inlineStr">
        <is>
          <t>Description</t>
        </is>
      </c>
    </row>
    <row r="2" ht="18" customFormat="1" customHeight="1" s="10" thickTop="1">
      <c r="A2" s="1" t="n"/>
      <c r="B2" s="1" t="n"/>
      <c r="C2" s="1" t="n"/>
      <c r="D2" s="1" t="n"/>
      <c r="E2" s="1" t="inlineStr">
        <is>
          <t>Leave this line blank</t>
        </is>
      </c>
    </row>
    <row r="3" ht="154" customFormat="1" customHeight="1" s="2">
      <c r="B3" s="2" t="inlineStr">
        <is>
          <t>propertyClass</t>
        </is>
      </c>
      <c r="C3" s="12" t="inlineStr">
        <is>
          <t>ri_properties</t>
        </is>
      </c>
      <c r="D3" s="12" t="inlineStr">
        <is>
          <t>DIGGS Properties for Rigid Inclusion Programs</t>
        </is>
      </c>
      <c r="E3" s="2" t="inlineStr">
        <is>
          <t>This dictionary contains values for properties of rigid inclusion ground improvement programs that are carried as parameters rather than as schema elements - principally the measurement-plan properties of diggs:TargetMeasurement and diggs:TargetSamplingFeature objects within a diggs:RigidInclusionProgram.</t>
        </is>
      </c>
    </row>
    <row r="4" ht="17" customHeight="1">
      <c r="A4" s="2" t="n"/>
      <c r="B4" s="2" t="n"/>
      <c r="D4" s="2" t="n"/>
      <c r="E4" s="2" t="n"/>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7"/>
  <sheetViews>
    <sheetView zoomScale="150" zoomScaleNormal="150" workbookViewId="0">
      <selection activeCell="B7" sqref="B7"/>
    </sheetView>
  </sheetViews>
  <sheetFormatPr baseColWidth="10" defaultColWidth="10.83203125" defaultRowHeight="16"/>
  <cols>
    <col width="7"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c r="A2" s="2">
        <f>IF(ISNA(VLOOKUP(B2,AssociatedElements!B$2:B2940,1,FALSE)),"Not used","")</f>
        <v/>
      </c>
      <c r="B2" s="13" t="inlineStr">
        <is>
          <t>element_class</t>
        </is>
      </c>
      <c r="C2" s="13" t="inlineStr">
        <is>
          <t>Element class</t>
        </is>
      </c>
      <c r="D2" s="14" t="inlineStr">
        <is>
          <t>The role a planned or constructed rigid inclusion plays in the works, as distinct from what it is made of or how it is built. A trial element is installed before production to prove the method or calibrate the design and is normally not part of the permanent works; a test element is a production element selected for verification testing; a production element carries permanent load and is not tested destructively; a sacrificial element is installed to be tested to failure. The distinction governs which acceptance criteria apply and how a test result may be extrapolated, which is why it needs to be stated rather than inferred from whether a test happens to be attached.</t>
        </is>
      </c>
      <c r="E2" s="13" t="inlineStr">
        <is>
          <t>string</t>
        </is>
      </c>
      <c r="F2" s="13" t="n"/>
      <c r="G2" s="9" t="n"/>
    </row>
    <row r="3">
      <c r="A3" s="2">
        <f>IF(ISNA(VLOOKUP(B3,AssociatedElements!B$2:B2941,1,FALSE)),"Not used","")</f>
        <v/>
      </c>
      <c r="B3" s="13" t="inlineStr">
        <is>
          <t>tested_fraction</t>
        </is>
      </c>
      <c r="C3" s="13" t="inlineStr">
        <is>
          <t>Tested fraction of population</t>
        </is>
      </c>
      <c r="D3" s="14" t="inlineStr">
        <is>
          <t>The proportion of a planned population of elements that is to be tested, where a testing provision is scoped to a population rather than to named elements - "5 percent of production rigid inclusions". A FRACTION OF A POPULATION, NOT A RATE IN TIME: it answers "how many of them" and not "how often", and it is deliberately named to keep it distinct from the temporal reading frequency carried by diggs:TargetMeasurementType/readingFrequency. diggs:ProgramScopeType states WHICH features a provision governs, by geometry, layout or feature type, and has no fraction concept by design; this parameter states what share of that scoped population is sampled. The two are complementary and both are normally needed.</t>
        </is>
      </c>
      <c r="E3" s="13" t="inlineStr">
        <is>
          <t>double</t>
        </is>
      </c>
      <c r="F3" s="13" t="inlineStr">
        <is>
          <t>dimensionless</t>
        </is>
      </c>
      <c r="G3" s="9" t="n"/>
    </row>
    <row r="4">
      <c r="A4" s="2">
        <f>IF(ISNA(VLOOKUP(B4,AssociatedElements!B$2:B2942,1,FALSE)),"Not used","")</f>
        <v/>
      </c>
      <c r="B4" t="inlineStr">
        <is>
          <t>test_load_pct_design_load</t>
        </is>
      </c>
      <c r="C4" t="inlineStr">
        <is>
          <t>Test load as percentage of design load</t>
        </is>
      </c>
      <c r="D4" t="inlineStr">
        <is>
          <t>The maximum load a planned load test is to reach, expressed as a percentage of the design working load of the element being tested. Stated as a ratio rather than as a force because the test requirement is written that way in practice and because the absolute value differs per element while the ratio does not, which is what lets one population-scoped test provision govern a whole zone. Where the provision is adopted from a standard or a published recommendation rather than derived for the project, carry it as a diggs:ProvenancedParameter and state that in the derivation property.</t>
        </is>
      </c>
      <c r="E4" t="inlineStr">
        <is>
          <t>double</t>
        </is>
      </c>
      <c r="F4" t="inlineStr">
        <is>
          <t>dimensionless</t>
        </is>
      </c>
      <c r="G4" s="9" t="n"/>
    </row>
    <row r="5">
      <c r="A5" s="2">
        <f>IF(ISNA(VLOOKUP(B5,AssociatedElements!B$2:B2943,1,FALSE)),"Not used","")</f>
        <v/>
      </c>
      <c r="B5" s="13" t="inlineStr">
        <is>
          <t>instrument_type</t>
        </is>
      </c>
      <c r="C5" s="13" t="inlineStr">
        <is>
          <t>Instrument type</t>
        </is>
      </c>
      <c r="D5" s="14" t="inlineStr">
        <is>
          <t>The kind of instrument a planned monitoring measurement is to be taken with.
THE PROPERTY IS DEFINED HERE; ITS VALUES COME FROM equipmentClass.xml. The two are not competing and neither is redundant. This entry declares that a planned measurement may state which instrument it is to be taken with, and that the value is a string; equipmentClass.xml declares what the permitted instrument names are. Take the value from https://diggsml.org/def/codes/DIGGS/0.1/equipmentClass.xml - piezometer, inclinometer, extensometer, earth_pressure_cell and the rest.
Why the property stays here rather than moving wholesale. The vocabulary is entirely generic - a piezometer is a piezometer on any project - and it now lives in the generic codelist accordingly. But the PROPERTY is a parameter on a planned measurement, and there is no equipment reference on diggs:TargetMeasurementType for it to become instead: a plan cannot cite an Equipment feature that will not exist until the instrument is installed, and a plan-to-realized reference is forbidden outright. So the instrument kind is stated as a parameter, with its value governed by the equipment codelist. If a planned equipment object is ever added to the Target family, this entry becomes redundant and should be deprecated in favour of it.
Superseded the earlier plan to promote this entry out of the RI dictionary (2026-08-16): promoting the VOCABULARY was right and has been done; promoting the property had nowhere to go.</t>
        </is>
      </c>
      <c r="E5" s="13" t="inlineStr">
        <is>
          <t>string</t>
        </is>
      </c>
      <c r="F5" s="13" t="n"/>
      <c r="G5" s="9" t="n"/>
    </row>
    <row r="6">
      <c r="A6" s="2">
        <f>IF(ISNA(VLOOKUP(B6,AssociatedElements!B$2:B2944,1,FALSE)),"Not used","")</f>
        <v/>
      </c>
      <c r="C6" s="16" t="n"/>
      <c r="D6" s="16" t="n"/>
      <c r="E6" s="17" t="n"/>
      <c r="G6" s="9" t="n"/>
    </row>
    <row r="7">
      <c r="A7" s="2">
        <f>IF(ISNA(VLOOKUP(B7,AssociatedElements!B$2:B2945,1,FALSE)),"Not used","")</f>
        <v/>
      </c>
      <c r="G7" s="9" t="n"/>
    </row>
    <row r="8">
      <c r="A8" s="2">
        <f>IF(ISNA(VLOOKUP(B8,AssociatedElements!B$2:B2946,1,FALSE)),"Not used","")</f>
        <v/>
      </c>
      <c r="G8" s="9" t="n"/>
    </row>
    <row r="9">
      <c r="A9" s="2">
        <f>IF(ISNA(VLOOKUP(B9,AssociatedElements!B$2:B2947,1,FALSE)),"Not used","")</f>
        <v/>
      </c>
      <c r="C9" s="16" t="n"/>
      <c r="D9" s="16" t="n"/>
      <c r="E9" s="17" t="n"/>
      <c r="G9" s="9" t="n"/>
    </row>
    <row r="10">
      <c r="A10" s="2">
        <f>IF(ISNA(VLOOKUP(B10,AssociatedElements!B$2:B2948,1,FALSE)),"Not used","")</f>
        <v/>
      </c>
      <c r="B10" s="13" t="n"/>
      <c r="C10" s="13" t="n"/>
      <c r="D10" s="14" t="n"/>
      <c r="E10" s="13" t="n"/>
      <c r="F10" s="13" t="n"/>
      <c r="G10" s="9" t="n"/>
    </row>
    <row r="11">
      <c r="A11" s="2">
        <f>IF(ISNA(VLOOKUP(B11,AssociatedElements!B$2:B2949,1,FALSE)),"Not used","")</f>
        <v/>
      </c>
      <c r="B11" s="13" t="n"/>
      <c r="C11" s="13" t="n"/>
      <c r="D11" s="14" t="n"/>
      <c r="E11" s="13" t="n"/>
      <c r="F11" s="13" t="n"/>
      <c r="G11" s="9" t="n"/>
    </row>
    <row r="12">
      <c r="A12" s="2">
        <f>IF(ISNA(VLOOKUP(B12,AssociatedElements!B$2:B2950,1,FALSE)),"Not used","")</f>
        <v/>
      </c>
      <c r="B12" s="13" t="n"/>
      <c r="C12" s="13" t="n"/>
      <c r="D12" s="14" t="n"/>
      <c r="E12" s="13" t="n"/>
      <c r="F12" s="13" t="n"/>
      <c r="G12" s="9" t="n"/>
    </row>
    <row r="13">
      <c r="A13" s="2">
        <f>IF(ISNA(VLOOKUP(B13,AssociatedElements!B$2:B2951,1,FALSE)),"Not used","")</f>
        <v/>
      </c>
      <c r="B13" s="13" t="n"/>
      <c r="C13" s="13" t="n"/>
      <c r="D13" s="14" t="n"/>
      <c r="E13" s="13" t="n"/>
      <c r="F13" s="13" t="n"/>
      <c r="G13" s="9" t="n"/>
    </row>
    <row r="14">
      <c r="A14" s="2">
        <f>IF(ISNA(VLOOKUP(B14,AssociatedElements!B$2:B2952,1,FALSE)),"Not used","")</f>
        <v/>
      </c>
      <c r="B14" s="13" t="n"/>
      <c r="C14" s="13" t="n"/>
      <c r="D14" s="14" t="n"/>
      <c r="E14" s="13" t="n"/>
      <c r="F14" s="13" t="n"/>
      <c r="G14" s="9" t="n"/>
    </row>
    <row r="15">
      <c r="A15" s="2">
        <f>IF(ISNA(VLOOKUP(B15,AssociatedElements!B$2:B2953,1,FALSE)),"Not used","")</f>
        <v/>
      </c>
      <c r="B15" s="13" t="n"/>
      <c r="C15" s="18" t="n"/>
      <c r="D15" s="19" t="n"/>
      <c r="E15" s="18" t="n"/>
      <c r="F15" s="18" t="n"/>
      <c r="G15" s="9" t="n"/>
    </row>
    <row r="16">
      <c r="A16" s="2">
        <f>IF(ISNA(VLOOKUP(B16,AssociatedElements!B$2:B2954,1,FALSE)),"Not used","")</f>
        <v/>
      </c>
      <c r="B16" s="13" t="n"/>
      <c r="C16" s="18" t="n"/>
      <c r="D16" s="19" t="n"/>
      <c r="E16" s="18" t="n"/>
      <c r="F16" s="18" t="n"/>
      <c r="G16" s="9" t="n"/>
    </row>
    <row r="17">
      <c r="A17" s="2">
        <f>IF(ISNA(VLOOKUP(B17,AssociatedElements!B$2:B2955,1,FALSE)),"Not used","")</f>
        <v/>
      </c>
      <c r="B17" s="13" t="n"/>
      <c r="C17" s="18" t="n"/>
      <c r="D17" s="19" t="n"/>
      <c r="E17" s="18" t="n"/>
      <c r="F17" s="18" t="n"/>
      <c r="G17" s="9" t="n"/>
    </row>
    <row r="18">
      <c r="A18" s="2">
        <f>IF(ISNA(VLOOKUP(B18,AssociatedElements!B$2:B2956,1,FALSE)),"Not used","")</f>
        <v/>
      </c>
      <c r="B18" s="13" t="n"/>
      <c r="C18" s="18" t="n"/>
      <c r="D18" s="19" t="n"/>
      <c r="E18" s="18" t="n"/>
      <c r="F18" s="18" t="n"/>
      <c r="G18" s="9" t="n"/>
    </row>
    <row r="19">
      <c r="A19" s="2">
        <f>IF(ISNA(VLOOKUP(B19,AssociatedElements!B$2:B2957,1,FALSE)),"Not used","")</f>
        <v/>
      </c>
      <c r="B19" s="13" t="n"/>
      <c r="C19" s="18" t="n"/>
      <c r="D19" s="19" t="n"/>
      <c r="E19" s="18" t="n"/>
      <c r="F19" s="18" t="n"/>
      <c r="G19" s="9" t="n"/>
    </row>
    <row r="20">
      <c r="A20" s="2">
        <f>IF(ISNA(VLOOKUP(B20,AssociatedElements!B$2:B2958,1,FALSE)),"Not used","")</f>
        <v/>
      </c>
      <c r="B20" s="13" t="n"/>
      <c r="C20" s="18" t="n"/>
      <c r="D20" s="19" t="n"/>
      <c r="E20" s="18" t="n"/>
      <c r="F20" s="18" t="n"/>
      <c r="G20" s="9" t="n"/>
    </row>
    <row r="21">
      <c r="A21" s="2">
        <f>IF(ISNA(VLOOKUP(B21,AssociatedElements!B$2:B2959,1,FALSE)),"Not used","")</f>
        <v/>
      </c>
      <c r="B21" s="13" t="n"/>
      <c r="C21" s="18" t="n"/>
      <c r="D21" s="19" t="n"/>
      <c r="E21" s="18" t="n"/>
      <c r="F21" s="18" t="n"/>
      <c r="G21" s="9" t="n"/>
    </row>
    <row r="22">
      <c r="A22" s="2">
        <f>IF(ISNA(VLOOKUP(B22,AssociatedElements!B$2:B2960,1,FALSE)),"Not used","")</f>
        <v/>
      </c>
      <c r="B22" s="13" t="n"/>
      <c r="C22" s="18" t="n"/>
      <c r="D22" s="19" t="n"/>
      <c r="E22" s="18" t="n"/>
      <c r="F22" s="18" t="n"/>
      <c r="G22" s="9" t="n"/>
    </row>
    <row r="23">
      <c r="A23" s="2">
        <f>IF(ISNA(VLOOKUP(B23,AssociatedElements!B$2:B2961,1,FALSE)),"Not used","")</f>
        <v/>
      </c>
      <c r="B23" s="13" t="n"/>
      <c r="C23" s="18" t="n"/>
      <c r="D23" s="19" t="n"/>
      <c r="E23" s="18" t="n"/>
      <c r="F23" s="18" t="n"/>
      <c r="G23" s="9" t="n"/>
    </row>
    <row r="24">
      <c r="A24" s="2">
        <f>IF(ISNA(VLOOKUP(B24,AssociatedElements!B$2:B2962,1,FALSE)),"Not used","")</f>
        <v/>
      </c>
      <c r="D24" s="16" t="n"/>
      <c r="G24" s="9" t="n"/>
    </row>
    <row r="25">
      <c r="A25" s="2">
        <f>IF(ISNA(VLOOKUP(B25,AssociatedElements!B$2:B2963,1,FALSE)),"Not used","")</f>
        <v/>
      </c>
      <c r="B25" s="13" t="n"/>
      <c r="C25" s="13" t="n"/>
      <c r="E25" s="13" t="n"/>
      <c r="F25" s="13" t="n"/>
      <c r="G25" s="9" t="n"/>
    </row>
    <row r="26">
      <c r="A26" s="2">
        <f>IF(ISNA(VLOOKUP(B26,AssociatedElements!B$2:B2964,1,FALSE)),"Not used","")</f>
        <v/>
      </c>
      <c r="B26" s="13" t="n"/>
      <c r="C26" s="13" t="n"/>
      <c r="E26" s="13" t="n"/>
      <c r="F26" s="13" t="n"/>
      <c r="G26" s="9" t="n"/>
    </row>
    <row r="27">
      <c r="A27" s="2">
        <f>IF(ISNA(VLOOKUP(B27,AssociatedElements!B$2:B2965,1,FALSE)),"Not used","")</f>
        <v/>
      </c>
      <c r="B27" s="13" t="n"/>
      <c r="C27" s="13" t="n"/>
      <c r="D27" s="15" t="n"/>
      <c r="E27" s="13" t="n"/>
      <c r="F27" s="13" t="n"/>
      <c r="G27" s="9" t="n"/>
    </row>
    <row r="28">
      <c r="A28" s="2">
        <f>IF(ISNA(VLOOKUP(B28,AssociatedElements!B$2:B2966,1,FALSE)),"Not used","")</f>
        <v/>
      </c>
      <c r="B28" s="13" t="n"/>
      <c r="C28" s="13" t="n"/>
      <c r="D28" s="14" t="n"/>
      <c r="E28" s="13" t="n"/>
      <c r="F28" s="13" t="n"/>
      <c r="G28" s="9" t="n"/>
    </row>
    <row r="29">
      <c r="A29" s="2">
        <f>IF(ISNA(VLOOKUP(B29,AssociatedElements!B$2:B2967,1,FALSE)),"Not used","")</f>
        <v/>
      </c>
      <c r="B29" s="13" t="n"/>
      <c r="C29" s="13" t="n"/>
      <c r="D29" s="14" t="n"/>
      <c r="E29" s="13" t="n"/>
      <c r="F29" s="13" t="n"/>
      <c r="G29" s="9" t="n"/>
    </row>
    <row r="30">
      <c r="A30" s="2">
        <f>IF(ISNA(VLOOKUP(B30,AssociatedElements!B$2:B2968,1,FALSE)),"Not used","")</f>
        <v/>
      </c>
      <c r="B30" s="13" t="n"/>
      <c r="C30" s="13" t="n"/>
      <c r="D30" s="14" t="n"/>
      <c r="E30" s="13" t="n"/>
      <c r="F30" s="13" t="n"/>
      <c r="G30" s="9" t="n"/>
    </row>
    <row r="31">
      <c r="A31" s="2">
        <f>IF(ISNA(VLOOKUP(B31,AssociatedElements!B$2:B2969,1,FALSE)),"Not used","")</f>
        <v/>
      </c>
      <c r="B31" s="13" t="n"/>
      <c r="C31" s="18" t="n"/>
      <c r="D31" s="19" t="n"/>
      <c r="E31" s="18" t="n"/>
      <c r="F31" s="18" t="n"/>
      <c r="G31" s="9" t="n"/>
    </row>
    <row r="32">
      <c r="A32" s="2">
        <f>IF(ISNA(VLOOKUP(B32,AssociatedElements!B$2:B2970,1,FALSE)),"Not used","")</f>
        <v/>
      </c>
      <c r="B32" s="13" t="n"/>
      <c r="C32" s="18" t="n"/>
      <c r="D32" s="19" t="n"/>
      <c r="E32" s="18" t="n"/>
      <c r="F32" s="18" t="n"/>
      <c r="G32" s="9" t="n"/>
    </row>
    <row r="33">
      <c r="A33" s="2">
        <f>IF(ISNA(VLOOKUP(B33,AssociatedElements!B$2:B2971,1,FALSE)),"Not used","")</f>
        <v/>
      </c>
      <c r="B33" s="13" t="n"/>
      <c r="C33" s="18" t="n"/>
      <c r="D33" s="19" t="n"/>
      <c r="E33" s="18" t="n"/>
      <c r="F33" s="18" t="n"/>
      <c r="G33" s="9" t="n"/>
    </row>
    <row r="34">
      <c r="A34" s="2">
        <f>IF(ISNA(VLOOKUP(B34,AssociatedElements!B$2:B2972,1,FALSE)),"Not used","")</f>
        <v/>
      </c>
      <c r="B34" s="13" t="n"/>
      <c r="C34" s="18" t="n"/>
      <c r="D34" s="19" t="n"/>
      <c r="E34" s="18" t="n"/>
      <c r="F34" s="18" t="n"/>
      <c r="G34" s="9" t="n"/>
    </row>
    <row r="35">
      <c r="A35" s="2">
        <f>IF(ISNA(VLOOKUP(B35,AssociatedElements!B$2:B2973,1,FALSE)),"Not used","")</f>
        <v/>
      </c>
      <c r="B35" s="13" t="n"/>
      <c r="C35" s="18" t="n"/>
      <c r="D35" s="19" t="n"/>
      <c r="E35" s="18" t="n"/>
      <c r="F35" s="18" t="n"/>
      <c r="G35" s="9" t="n"/>
    </row>
    <row r="36">
      <c r="A36" s="2">
        <f>IF(ISNA(VLOOKUP(B36,AssociatedElements!B$2:B2974,1,FALSE)),"Not used","")</f>
        <v/>
      </c>
      <c r="B36" s="13" t="n"/>
      <c r="C36" s="18" t="n"/>
      <c r="D36" s="19" t="n"/>
      <c r="E36" s="18" t="n"/>
      <c r="F36" s="18" t="n"/>
      <c r="G36" s="9" t="n"/>
    </row>
    <row r="37">
      <c r="A37" s="2">
        <f>IF(ISNA(VLOOKUP(B37,AssociatedElements!B$2:B2975,1,FALSE)),"Not used","")</f>
        <v/>
      </c>
      <c r="G37" s="9" t="n"/>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7"/>
  <sheetViews>
    <sheetView zoomScale="120" zoomScaleNormal="120" workbookViewId="0">
      <pane ySplit="1" topLeftCell="A2" activePane="bottomLeft" state="frozen"/>
      <selection pane="bottomLeft" activeCell="C19" sqref="C19"/>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SourceElement</t>
        </is>
      </c>
      <c r="D1" s="6" t="inlineStr">
        <is>
          <t>ConditionalElement</t>
        </is>
      </c>
    </row>
    <row r="2">
      <c r="A2">
        <f>IF(ISNA(VLOOKUP(#REF!,Definitions!B$2:B$1839,1,FALSE)),"Not listed","")</f>
        <v/>
      </c>
      <c r="B2" s="2" t="inlineStr">
        <is>
          <t>element_class</t>
        </is>
      </c>
      <c r="C2" t="inlineStr">
        <is>
          <t>//diggs:parameterName</t>
        </is>
      </c>
    </row>
    <row r="3">
      <c r="A3">
        <f>IF(ISNA(VLOOKUP(B3,Definitions!B$2:B$1839,1,FALSE)),"Not listed","")</f>
        <v/>
      </c>
      <c r="B3" s="20" t="inlineStr">
        <is>
          <t>tested_fraction</t>
        </is>
      </c>
      <c r="C3" t="inlineStr">
        <is>
          <t>//diggs:parameterName</t>
        </is>
      </c>
    </row>
    <row r="4">
      <c r="A4">
        <f>IF(ISNA(VLOOKUP(B4,Definitions!B$2:B$1839,1,FALSE)),"Not listed","")</f>
        <v/>
      </c>
      <c r="B4" s="2" t="inlineStr">
        <is>
          <t>test_load_pct_design_load</t>
        </is>
      </c>
      <c r="C4" t="inlineStr">
        <is>
          <t>//diggs:parameterName</t>
        </is>
      </c>
    </row>
    <row r="5">
      <c r="A5">
        <f>IF(ISNA(VLOOKUP(B5,Definitions!B$2:B$1839,1,FALSE)),"Not listed","")</f>
        <v/>
      </c>
      <c r="B5" s="2" t="inlineStr">
        <is>
          <t>instrument_type</t>
        </is>
      </c>
      <c r="C5" t="inlineStr">
        <is>
          <t>//diggs:parameterName</t>
        </is>
      </c>
    </row>
    <row r="6">
      <c r="A6">
        <f>IF(ISNA(VLOOKUP(B6,Definitions!B$2:B$1839,1,FALSE)),"Not listed","")</f>
        <v/>
      </c>
      <c r="B6" s="2" t="n"/>
    </row>
    <row r="7">
      <c r="A7">
        <f>IF(ISNA(VLOOKUP(B7,Definitions!B$2:B$1839,1,FALSE)),"Not listed","")</f>
        <v/>
      </c>
      <c r="B7" s="2" t="n"/>
    </row>
    <row r="8">
      <c r="A8">
        <f>IF(ISNA(VLOOKUP(B8,Definitions!B$2:B$1839,1,FALSE)),"Not listed","")</f>
        <v/>
      </c>
      <c r="B8" s="2" t="n"/>
    </row>
    <row r="9">
      <c r="A9">
        <f>IF(ISNA(VLOOKUP(B9,Definitions!B$2:B$1839,1,FALSE)),"Not listed","")</f>
        <v/>
      </c>
      <c r="B9" s="2" t="n"/>
    </row>
    <row r="10">
      <c r="A10">
        <f>IF(ISNA(VLOOKUP(B10,Definitions!B$2:B$1839,1,FALSE)),"Not listed","")</f>
        <v/>
      </c>
      <c r="B10" s="20" t="n"/>
    </row>
    <row r="11">
      <c r="A11">
        <f>IF(ISNA(VLOOKUP(B11,Definitions!B$2:B$1839,1,FALSE)),"Not listed","")</f>
        <v/>
      </c>
      <c r="B11" s="20" t="n"/>
    </row>
    <row r="12">
      <c r="A12">
        <f>IF(ISNA(VLOOKUP(B12,Definitions!B$2:B$1839,1,FALSE)),"Not listed","")</f>
        <v/>
      </c>
      <c r="B12" s="20" t="n"/>
    </row>
    <row r="13">
      <c r="A13">
        <f>IF(ISNA(VLOOKUP(B13,Definitions!B$2:B$1839,1,FALSE)),"Not listed","")</f>
        <v/>
      </c>
      <c r="B13" s="20" t="n"/>
    </row>
    <row r="14">
      <c r="A14">
        <f>IF(ISNA(VLOOKUP(B14,Definitions!B$2:B$1839,1,FALSE)),"Not listed","")</f>
        <v/>
      </c>
      <c r="B14" s="20" t="n"/>
    </row>
    <row r="15">
      <c r="A15">
        <f>IF(ISNA(VLOOKUP(B15,Definitions!B$2:B$1839,1,FALSE)),"Not listed","")</f>
        <v/>
      </c>
      <c r="B15" s="2" t="n"/>
    </row>
    <row r="16">
      <c r="A16">
        <f>IF(ISNA(VLOOKUP(B16,Definitions!B$2:B$1839,1,FALSE)),"Not listed","")</f>
        <v/>
      </c>
      <c r="B16" s="2" t="n"/>
    </row>
    <row r="17">
      <c r="A17">
        <f>IF(ISNA(VLOOKUP(B17,Definitions!B$2:B$1839,1,FALSE)),"Not listed","")</f>
        <v/>
      </c>
      <c r="B17" s="2" t="n"/>
    </row>
    <row r="18">
      <c r="A18">
        <f>IF(ISNA(VLOOKUP(B18,Definitions!B$2:B$1839,1,FALSE)),"Not listed","")</f>
        <v/>
      </c>
      <c r="B18" s="2" t="n"/>
    </row>
    <row r="19">
      <c r="A19">
        <f>IF(ISNA(VLOOKUP(B19,Definitions!B$2:B$1839,1,FALSE)),"Not listed","")</f>
        <v/>
      </c>
      <c r="B19" s="20" t="n"/>
    </row>
    <row r="20">
      <c r="A20">
        <f>IF(ISNA(VLOOKUP(B20,Definitions!B$2:B$1839,1,FALSE)),"Not listed","")</f>
        <v/>
      </c>
      <c r="B20" s="20" t="n"/>
    </row>
    <row r="21">
      <c r="A21">
        <f>IF(ISNA(VLOOKUP(B21,Definitions!B$2:B$1839,1,FALSE)),"Not listed","")</f>
        <v/>
      </c>
      <c r="B21" s="20" t="n"/>
    </row>
    <row r="22">
      <c r="A22">
        <f>IF(ISNA(VLOOKUP(B22,Definitions!B$2:B$1839,1,FALSE)),"Not listed","")</f>
        <v/>
      </c>
      <c r="B22" s="20" t="n"/>
    </row>
    <row r="23">
      <c r="A23">
        <f>IF(ISNA(VLOOKUP(B23,Definitions!B$2:B$1839,1,FALSE)),"Not listed","")</f>
        <v/>
      </c>
      <c r="B23" s="20" t="n"/>
    </row>
    <row r="24">
      <c r="A24">
        <f>IF(ISNA(VLOOKUP(B24,Definitions!B$2:B$1839,1,FALSE)),"Not listed","")</f>
        <v/>
      </c>
      <c r="B24" s="2" t="n"/>
    </row>
    <row r="25">
      <c r="A25">
        <f>IF(ISNA(VLOOKUP(B25,Definitions!B$2:B$1839,1,FALSE)),"Not listed","")</f>
        <v/>
      </c>
      <c r="B25" s="2" t="n"/>
    </row>
    <row r="26">
      <c r="A26">
        <f>IF(ISNA(VLOOKUP(B26,Definitions!B$2:B$1839,1,FALSE)),"Not listed","")</f>
        <v/>
      </c>
      <c r="B26" s="2" t="n"/>
    </row>
    <row r="27">
      <c r="A27">
        <f>IF(ISNA(VLOOKUP(B27,Definitions!B$2:B$1839,1,FALSE)),"Not listed","")</f>
        <v/>
      </c>
      <c r="B27" s="13" t="n"/>
    </row>
    <row r="28">
      <c r="A28">
        <f>IF(ISNA(VLOOKUP(B28,Definitions!B$2:B$1839,1,FALSE)),"Not listed","")</f>
        <v/>
      </c>
      <c r="B28" s="13" t="n"/>
    </row>
    <row r="29">
      <c r="A29">
        <f>IF(ISNA(VLOOKUP(B29,Definitions!B$2:B$1839,1,FALSE)),"Not listed","")</f>
        <v/>
      </c>
      <c r="B29" s="13" t="n"/>
    </row>
    <row r="30">
      <c r="A30">
        <f>IF(ISNA(VLOOKUP(B30,Definitions!B$2:B$1839,1,FALSE)),"Not listed","")</f>
        <v/>
      </c>
      <c r="B30" s="13" t="n"/>
    </row>
    <row r="31">
      <c r="A31">
        <f>IF(ISNA(VLOOKUP(B31,Definitions!B$2:B$1839,1,FALSE)),"Not listed","")</f>
        <v/>
      </c>
      <c r="B31" s="13" t="n"/>
    </row>
    <row r="32">
      <c r="A32">
        <f>IF(ISNA(VLOOKUP(B32,Definitions!B$2:B$1839,1,FALSE)),"Not listed","")</f>
        <v/>
      </c>
      <c r="B32" s="13" t="n"/>
    </row>
    <row r="33">
      <c r="A33">
        <f>IF(ISNA(VLOOKUP(B33,Definitions!B$2:B$1839,1,FALSE)),"Not listed","")</f>
        <v/>
      </c>
      <c r="B33" s="13" t="n"/>
    </row>
    <row r="34">
      <c r="A34">
        <f>IF(ISNA(VLOOKUP(B34,Definitions!B$2:B$1839,1,FALSE)),"Not listed","")</f>
        <v/>
      </c>
      <c r="B34" s="13" t="n"/>
    </row>
    <row r="35">
      <c r="A35">
        <f>IF(ISNA(VLOOKUP(B35,Definitions!B$2:B$1839,1,FALSE)),"Not listed","")</f>
        <v/>
      </c>
      <c r="B35" s="13" t="n"/>
    </row>
    <row r="36">
      <c r="A36">
        <f>IF(ISNA(VLOOKUP(B36,Definitions!B$2:B$1839,1,FALSE)),"Not listed","")</f>
        <v/>
      </c>
      <c r="B36" s="13" t="n"/>
    </row>
    <row r="37">
      <c r="A37">
        <f>IF(ISNA(VLOOKUP(B37,Definitions!B$2:B$1839,1,FALSE)),"Not listed","")</f>
        <v/>
      </c>
      <c r="B37" s="2" t="n"/>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2"/>
  <sheetViews>
    <sheetView zoomScale="120" zoomScaleNormal="120" workbookViewId="0">
      <pane ySplit="1" topLeftCell="A2" activePane="bottomLeft" state="frozen"/>
      <selection pane="bottomLeft" activeCell="B8" sqref="B8"/>
    </sheetView>
  </sheetViews>
  <sheetFormatPr baseColWidth="10" defaultColWidth="10.83203125" defaultRowHeight="16"/>
  <cols>
    <col width="6.83203125" customWidth="1" min="1" max="1"/>
    <col width="31.6640625" customWidth="1" min="2" max="2"/>
    <col width="86.1640625" customWidth="1" style="3" min="3" max="3"/>
    <col width="93" customWidth="1" min="4" max="4"/>
  </cols>
  <sheetData>
    <row r="1" customFormat="1" s="6">
      <c r="A1" s="4" t="inlineStr">
        <is>
          <t>Start</t>
        </is>
      </c>
      <c r="B1" s="4" t="inlineStr">
        <is>
          <t>ID</t>
        </is>
      </c>
      <c r="C1" s="5" t="inlineStr">
        <is>
          <t>Name</t>
        </is>
      </c>
      <c r="D1" s="6" t="inlineStr">
        <is>
          <t>codeSpace</t>
        </is>
      </c>
    </row>
    <row r="2">
      <c r="A2">
        <f>IF(ISNA(VLOOKUP(B2,Definitions!B$2:B$1839,1,FALSE)),"Not listed","")</f>
        <v/>
      </c>
      <c r="C2" s="3" t="n"/>
    </row>
  </sheetData>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88"/>
  <sheetViews>
    <sheetView tabSelected="1" topLeftCell="A9" zoomScale="130" zoomScaleNormal="130" workbookViewId="0">
      <selection activeCell="E60" sqref="E60"/>
    </sheetView>
  </sheetViews>
  <sheetFormatPr baseColWidth="10" defaultColWidth="11" defaultRowHeight="16"/>
  <cols>
    <col width="21.1640625" customWidth="1" min="2" max="2"/>
    <col width="54.1640625" customWidth="1" min="3" max="3"/>
    <col width="39" customWidth="1" min="4" max="4"/>
    <col width="21.33203125" customWidth="1" min="5" max="5"/>
  </cols>
  <sheetData>
    <row r="1">
      <c r="A1" t="inlineStr">
        <is>
          <t>DataType</t>
        </is>
      </c>
      <c r="B1" t="inlineStr">
        <is>
          <t>DataType2</t>
        </is>
      </c>
      <c r="C1" t="inlineStr">
        <is>
          <t>QuantityClass</t>
        </is>
      </c>
      <c r="D1" t="inlineStr">
        <is>
          <t>Column2</t>
        </is>
      </c>
      <c r="E1" t="inlineStr">
        <is>
          <t>Column3</t>
        </is>
      </c>
    </row>
    <row r="2">
      <c r="B2" t="inlineStr">
        <is>
          <t>anyURI</t>
        </is>
      </c>
      <c r="C2" t="inlineStr">
        <is>
          <t>absorbed dose</t>
        </is>
      </c>
    </row>
    <row r="3">
      <c r="B3" t="inlineStr">
        <is>
          <t>base64binary</t>
        </is>
      </c>
      <c r="C3" t="inlineStr">
        <is>
          <t>activity [of radioactivity]</t>
        </is>
      </c>
    </row>
    <row r="4">
      <c r="B4" s="7" t="inlineStr">
        <is>
          <t>boolean</t>
        </is>
      </c>
      <c r="C4" t="inlineStr">
        <is>
          <t>amount of substance</t>
        </is>
      </c>
    </row>
    <row r="5">
      <c r="B5" s="7" t="inlineStr">
        <is>
          <t>byte</t>
        </is>
      </c>
      <c r="C5" t="inlineStr">
        <is>
          <t>amount of substance per amount of substance</t>
        </is>
      </c>
    </row>
    <row r="6">
      <c r="B6" t="inlineStr">
        <is>
          <t>date</t>
        </is>
      </c>
      <c r="C6" t="inlineStr">
        <is>
          <t>amount of substance per area</t>
        </is>
      </c>
    </row>
    <row r="7">
      <c r="B7" t="inlineStr">
        <is>
          <t>dateTime</t>
        </is>
      </c>
      <c r="C7" t="inlineStr">
        <is>
          <t>amount of substance per mass</t>
        </is>
      </c>
      <c r="D7" t="inlineStr">
        <is>
          <t>use for cation exchange capacity</t>
        </is>
      </c>
      <c r="E7" t="inlineStr">
        <is>
          <t>not yet used nor in EML Dictionary</t>
        </is>
      </c>
    </row>
    <row r="8">
      <c r="B8" t="inlineStr">
        <is>
          <t>decimal</t>
        </is>
      </c>
      <c r="C8" t="inlineStr">
        <is>
          <t>amount of substance per time</t>
        </is>
      </c>
    </row>
    <row r="9">
      <c r="B9" s="7" t="inlineStr">
        <is>
          <t>double</t>
        </is>
      </c>
      <c r="C9" t="inlineStr">
        <is>
          <t>(amount of substance per time) per area</t>
        </is>
      </c>
    </row>
    <row r="10">
      <c r="B10" t="inlineStr">
        <is>
          <t>duration</t>
        </is>
      </c>
      <c r="C10" t="inlineStr">
        <is>
          <t>amount of substance per volume</t>
        </is>
      </c>
    </row>
    <row r="11">
      <c r="B11" s="7" t="inlineStr">
        <is>
          <t>float</t>
        </is>
      </c>
      <c r="C11" t="inlineStr">
        <is>
          <t>angle per length</t>
        </is>
      </c>
    </row>
    <row r="12">
      <c r="B12" t="inlineStr">
        <is>
          <t>gDay</t>
        </is>
      </c>
      <c r="C12" t="inlineStr">
        <is>
          <t>angle per volume</t>
        </is>
      </c>
    </row>
    <row r="13">
      <c r="B13" t="inlineStr">
        <is>
          <t>gMonth</t>
        </is>
      </c>
      <c r="C13" t="inlineStr">
        <is>
          <t>angular acceleration</t>
        </is>
      </c>
    </row>
    <row r="14">
      <c r="B14" t="inlineStr">
        <is>
          <t>gMonthDay</t>
        </is>
      </c>
      <c r="C14" t="inlineStr">
        <is>
          <t>angular velocity</t>
        </is>
      </c>
    </row>
    <row r="15">
      <c r="B15" t="inlineStr">
        <is>
          <t>gYear</t>
        </is>
      </c>
      <c r="C15" t="inlineStr">
        <is>
          <t>api gamma ray</t>
        </is>
      </c>
    </row>
    <row r="16">
      <c r="B16" t="inlineStr">
        <is>
          <t>gYearMonth</t>
        </is>
      </c>
      <c r="C16" t="inlineStr">
        <is>
          <t>api gravity</t>
        </is>
      </c>
    </row>
    <row r="17">
      <c r="B17" t="inlineStr">
        <is>
          <t>hexBinary</t>
        </is>
      </c>
      <c r="C17" t="inlineStr">
        <is>
          <t>api neutron</t>
        </is>
      </c>
    </row>
    <row r="18">
      <c r="B18" t="inlineStr">
        <is>
          <t>integer</t>
        </is>
      </c>
      <c r="C18" t="inlineStr">
        <is>
          <t>area</t>
        </is>
      </c>
    </row>
    <row r="19">
      <c r="B19" t="inlineStr">
        <is>
          <t>language</t>
        </is>
      </c>
      <c r="C19" t="inlineStr">
        <is>
          <t>area per amount of substance</t>
        </is>
      </c>
    </row>
    <row r="20">
      <c r="B20" s="7" t="inlineStr">
        <is>
          <t>long</t>
        </is>
      </c>
      <c r="C20" t="inlineStr">
        <is>
          <t>area per area</t>
        </is>
      </c>
    </row>
    <row r="21">
      <c r="B21" t="inlineStr">
        <is>
          <t>negativeInteger</t>
        </is>
      </c>
      <c r="C21" t="inlineStr">
        <is>
          <t>area per count</t>
        </is>
      </c>
      <c r="D21" t="inlineStr">
        <is>
          <t>In EML schema but not in EML dictionary</t>
        </is>
      </c>
    </row>
    <row r="22">
      <c r="B22" t="inlineStr">
        <is>
          <t>nonNegativeInteger</t>
        </is>
      </c>
      <c r="C22" t="inlineStr">
        <is>
          <t>area per mass</t>
        </is>
      </c>
    </row>
    <row r="23">
      <c r="B23" t="inlineStr">
        <is>
          <t>nonPositiveInteger</t>
        </is>
      </c>
      <c r="C23" t="inlineStr">
        <is>
          <t>area per time</t>
        </is>
      </c>
    </row>
    <row r="24">
      <c r="B24" t="inlineStr">
        <is>
          <t>normalizedString</t>
        </is>
      </c>
      <c r="C24" t="inlineStr">
        <is>
          <t>area per volume</t>
        </is>
      </c>
    </row>
    <row r="25">
      <c r="B25" t="inlineStr">
        <is>
          <t>positiveInteger</t>
        </is>
      </c>
      <c r="C25" t="inlineStr">
        <is>
          <t>attenuation per frequency interval</t>
        </is>
      </c>
    </row>
    <row r="26">
      <c r="B26" t="inlineStr">
        <is>
          <t>short</t>
        </is>
      </c>
      <c r="C26" t="inlineStr">
        <is>
          <t>capacitance</t>
        </is>
      </c>
    </row>
    <row r="27">
      <c r="B27" s="7" t="inlineStr">
        <is>
          <t>string</t>
        </is>
      </c>
      <c r="C27" t="inlineStr">
        <is>
          <t>data transfer speed</t>
        </is>
      </c>
    </row>
    <row r="28">
      <c r="B28" s="7" t="inlineStr">
        <is>
          <t>string</t>
        </is>
      </c>
      <c r="C28" t="inlineStr">
        <is>
          <t>diffusion coefficient</t>
        </is>
      </c>
    </row>
    <row r="29">
      <c r="B29" t="inlineStr">
        <is>
          <t>time</t>
        </is>
      </c>
      <c r="C29" t="inlineStr">
        <is>
          <t>diffusive time of flight</t>
        </is>
      </c>
      <c r="D29" t="inlineStr">
        <is>
          <t>In EML schema but not in EML dictionary</t>
        </is>
      </c>
    </row>
    <row r="30">
      <c r="B30" t="inlineStr">
        <is>
          <t>token</t>
        </is>
      </c>
      <c r="C30" t="inlineStr">
        <is>
          <t>digital storage</t>
        </is>
      </c>
    </row>
    <row r="31">
      <c r="B31" t="inlineStr">
        <is>
          <t>unsignedByte</t>
        </is>
      </c>
      <c r="C31" t="inlineStr">
        <is>
          <t>dimensionless</t>
        </is>
      </c>
    </row>
    <row r="32">
      <c r="B32" t="inlineStr">
        <is>
          <t>unsignedInt</t>
        </is>
      </c>
      <c r="C32" t="inlineStr">
        <is>
          <t>dipole moment</t>
        </is>
      </c>
    </row>
    <row r="33">
      <c r="B33" t="inlineStr">
        <is>
          <t>unsignedLong</t>
        </is>
      </c>
      <c r="C33" t="inlineStr">
        <is>
          <t>dose equivalent</t>
        </is>
      </c>
    </row>
    <row r="34">
      <c r="B34" t="inlineStr">
        <is>
          <t>unsignedShort</t>
        </is>
      </c>
      <c r="C34" t="inlineStr">
        <is>
          <t>dynamic viscosity</t>
        </is>
      </c>
    </row>
    <row r="35">
      <c r="B35" s="7" t="inlineStr">
        <is>
          <t>vector</t>
        </is>
      </c>
      <c r="C35" t="inlineStr">
        <is>
          <t>electric charge</t>
        </is>
      </c>
    </row>
    <row r="36">
      <c r="C36" t="inlineStr">
        <is>
          <t>electric charge per area</t>
        </is>
      </c>
    </row>
    <row r="37">
      <c r="C37" t="inlineStr">
        <is>
          <t>electric charge per mass</t>
        </is>
      </c>
    </row>
    <row r="38">
      <c r="C38" t="inlineStr">
        <is>
          <t>electric charge per volume</t>
        </is>
      </c>
    </row>
    <row r="39">
      <c r="C39" t="inlineStr">
        <is>
          <t>electric conductance</t>
        </is>
      </c>
    </row>
    <row r="40">
      <c r="C40" t="inlineStr">
        <is>
          <t>electric conductivity</t>
        </is>
      </c>
    </row>
    <row r="41">
      <c r="C41" t="inlineStr">
        <is>
          <t>electric current</t>
        </is>
      </c>
    </row>
    <row r="42">
      <c r="C42" t="inlineStr">
        <is>
          <t>electric current density</t>
        </is>
      </c>
    </row>
    <row r="43">
      <c r="C43" t="inlineStr">
        <is>
          <t>electric field strength</t>
        </is>
      </c>
    </row>
    <row r="44">
      <c r="C44" t="inlineStr">
        <is>
          <t>electric potential difference</t>
        </is>
      </c>
    </row>
    <row r="45">
      <c r="C45" t="inlineStr">
        <is>
          <t>electric resistance</t>
        </is>
      </c>
    </row>
    <row r="46">
      <c r="C46" t="inlineStr">
        <is>
          <t>electric resistance per length</t>
        </is>
      </c>
    </row>
    <row r="47">
      <c r="C47" t="inlineStr">
        <is>
          <t>electrical resistivity</t>
        </is>
      </c>
    </row>
    <row r="48">
      <c r="C48" t="inlineStr">
        <is>
          <t>electromagnetic moment</t>
        </is>
      </c>
    </row>
    <row r="49">
      <c r="C49" t="inlineStr">
        <is>
          <t>energy</t>
        </is>
      </c>
    </row>
    <row r="50">
      <c r="C50" t="inlineStr">
        <is>
          <t>energy length per area</t>
        </is>
      </c>
    </row>
    <row r="51">
      <c r="C51" t="inlineStr">
        <is>
          <t>energy length per time area temperature</t>
        </is>
      </c>
    </row>
    <row r="52">
      <c r="C52" t="inlineStr">
        <is>
          <t>energy per area</t>
        </is>
      </c>
    </row>
    <row r="53">
      <c r="C53" t="inlineStr">
        <is>
          <t>energy per length</t>
        </is>
      </c>
    </row>
    <row r="54">
      <c r="C54" t="inlineStr">
        <is>
          <t>energy per mass</t>
        </is>
      </c>
    </row>
    <row r="55">
      <c r="C55" t="inlineStr">
        <is>
          <t>(energy per mass) per time</t>
        </is>
      </c>
    </row>
    <row r="56">
      <c r="C56" t="inlineStr">
        <is>
          <t>energy per volume</t>
        </is>
      </c>
    </row>
    <row r="57">
      <c r="C57" t="inlineStr">
        <is>
          <t>force</t>
        </is>
      </c>
    </row>
    <row r="58">
      <c r="C58" t="inlineStr">
        <is>
          <t>force area</t>
        </is>
      </c>
    </row>
    <row r="59">
      <c r="C59" t="inlineStr">
        <is>
          <t>force length per length</t>
        </is>
      </c>
    </row>
    <row r="60">
      <c r="C60" t="inlineStr">
        <is>
          <t>force or mass per volume</t>
        </is>
      </c>
      <c r="D60" t="inlineStr">
        <is>
          <t>use for geotechnical densities</t>
        </is>
      </c>
    </row>
    <row r="61">
      <c r="C61" t="inlineStr">
        <is>
          <t>force per force</t>
        </is>
      </c>
    </row>
    <row r="62">
      <c r="C62" t="inlineStr">
        <is>
          <t>force per length</t>
        </is>
      </c>
    </row>
    <row r="63">
      <c r="C63" t="inlineStr">
        <is>
          <t>force per volume</t>
        </is>
      </c>
    </row>
    <row r="64">
      <c r="C64" t="inlineStr">
        <is>
          <t>frequency</t>
        </is>
      </c>
    </row>
    <row r="65">
      <c r="C65" t="inlineStr">
        <is>
          <t>frequency interval</t>
        </is>
      </c>
    </row>
    <row r="66">
      <c r="C66" t="inlineStr">
        <is>
          <t>gravitational gradient</t>
        </is>
      </c>
      <c r="D66" t="inlineStr">
        <is>
          <t>use for gravity gradients</t>
        </is>
      </c>
      <c r="E66" t="inlineStr">
        <is>
          <t>Inow in EML dictionary</t>
        </is>
      </c>
    </row>
    <row r="67">
      <c r="C67" t="inlineStr">
        <is>
          <t>heat capacity</t>
        </is>
      </c>
    </row>
    <row r="68">
      <c r="C68" t="inlineStr">
        <is>
          <t>heat flow rate</t>
        </is>
      </c>
    </row>
    <row r="69">
      <c r="C69" t="inlineStr">
        <is>
          <t>heat transfer coefficient</t>
        </is>
      </c>
    </row>
    <row r="70">
      <c r="C70" t="inlineStr">
        <is>
          <t>illuminance</t>
        </is>
      </c>
    </row>
    <row r="71">
      <c r="C71" t="inlineStr">
        <is>
          <t>inductance</t>
        </is>
      </c>
    </row>
    <row r="72">
      <c r="C72" t="inlineStr">
        <is>
          <t>isothermal compressibility</t>
        </is>
      </c>
    </row>
    <row r="73">
      <c r="C73" t="inlineStr">
        <is>
          <t>kinematic viscosity</t>
        </is>
      </c>
    </row>
    <row r="74">
      <c r="C74" t="inlineStr">
        <is>
          <t>length</t>
        </is>
      </c>
    </row>
    <row r="75">
      <c r="C75" t="inlineStr">
        <is>
          <t>length per length</t>
        </is>
      </c>
    </row>
    <row r="76">
      <c r="C76" t="inlineStr">
        <is>
          <t>length per mass</t>
        </is>
      </c>
    </row>
    <row r="77">
      <c r="C77" t="inlineStr">
        <is>
          <t>length per pressure</t>
        </is>
      </c>
    </row>
    <row r="78">
      <c r="C78" t="inlineStr">
        <is>
          <t>length per temperature</t>
        </is>
      </c>
    </row>
    <row r="79">
      <c r="C79" t="inlineStr">
        <is>
          <t>length per time</t>
        </is>
      </c>
    </row>
    <row r="80">
      <c r="C80" t="inlineStr">
        <is>
          <t>length per volume</t>
        </is>
      </c>
    </row>
    <row r="81">
      <c r="C81" t="inlineStr">
        <is>
          <t>light exposure</t>
        </is>
      </c>
    </row>
    <row r="82">
      <c r="C82" t="inlineStr">
        <is>
          <t>linear acceleration</t>
        </is>
      </c>
    </row>
    <row r="83">
      <c r="C83" t="inlineStr">
        <is>
          <t>linear thermal expansion</t>
        </is>
      </c>
    </row>
    <row r="84">
      <c r="C84" t="inlineStr">
        <is>
          <t>logarithmic power ratio</t>
        </is>
      </c>
    </row>
    <row r="85">
      <c r="C85" t="inlineStr">
        <is>
          <t>logarithmic power ratio per length</t>
        </is>
      </c>
    </row>
    <row r="86">
      <c r="C86" t="inlineStr">
        <is>
          <t>luminance</t>
        </is>
      </c>
    </row>
    <row r="87">
      <c r="C87" t="inlineStr">
        <is>
          <t>luminous efficacy</t>
        </is>
      </c>
    </row>
    <row r="88">
      <c r="C88" t="inlineStr">
        <is>
          <t>luminous flux</t>
        </is>
      </c>
    </row>
    <row r="89">
      <c r="C89" t="inlineStr">
        <is>
          <t>luminous intensity</t>
        </is>
      </c>
    </row>
    <row r="90">
      <c r="C90" t="inlineStr">
        <is>
          <t>magnetic dipole moment</t>
        </is>
      </c>
    </row>
    <row r="91">
      <c r="C91" t="inlineStr">
        <is>
          <t>magnetic field strength</t>
        </is>
      </c>
    </row>
    <row r="92">
      <c r="C92" t="inlineStr">
        <is>
          <t>magnetic flux</t>
        </is>
      </c>
    </row>
    <row r="93">
      <c r="C93" t="inlineStr">
        <is>
          <t>magnetic flux density</t>
        </is>
      </c>
    </row>
    <row r="94">
      <c r="C94" t="inlineStr">
        <is>
          <t>magnetic flux density per length</t>
        </is>
      </c>
    </row>
    <row r="95">
      <c r="C95" t="inlineStr">
        <is>
          <t>magnetic permeability</t>
        </is>
      </c>
    </row>
    <row r="96">
      <c r="C96" t="inlineStr">
        <is>
          <t>magnetic vector potential</t>
        </is>
      </c>
    </row>
    <row r="97">
      <c r="C97" t="inlineStr">
        <is>
          <t>mass</t>
        </is>
      </c>
    </row>
    <row r="98">
      <c r="C98" t="inlineStr">
        <is>
          <t>mass length</t>
        </is>
      </c>
    </row>
    <row r="99">
      <c r="C99" t="inlineStr">
        <is>
          <t>mass per area</t>
        </is>
      </c>
    </row>
    <row r="100">
      <c r="C100" t="inlineStr">
        <is>
          <t>mass per energy</t>
        </is>
      </c>
    </row>
    <row r="101">
      <c r="C101" t="inlineStr">
        <is>
          <t>mass per length</t>
        </is>
      </c>
    </row>
    <row r="102">
      <c r="C102" t="inlineStr">
        <is>
          <t>mass per mass</t>
        </is>
      </c>
    </row>
    <row r="103">
      <c r="C103" t="inlineStr">
        <is>
          <t>mass per time</t>
        </is>
      </c>
    </row>
    <row r="104">
      <c r="C104" t="inlineStr">
        <is>
          <t>(mass per time) per area</t>
        </is>
      </c>
    </row>
    <row r="105">
      <c r="C105" t="inlineStr">
        <is>
          <t>(mass per time) per length</t>
        </is>
      </c>
    </row>
    <row r="106">
      <c r="C106" t="inlineStr">
        <is>
          <t>mass per volume</t>
        </is>
      </c>
    </row>
    <row r="107">
      <c r="C107" t="inlineStr">
        <is>
          <t>(mass per volume) per length</t>
        </is>
      </c>
    </row>
    <row r="108">
      <c r="C108" t="inlineStr">
        <is>
          <t>(mass per volume) per pressure</t>
        </is>
      </c>
      <c r="D108" t="inlineStr">
        <is>
          <t>In EML schema but not in EML dictionary</t>
        </is>
      </c>
    </row>
    <row r="109">
      <c r="C109" t="inlineStr">
        <is>
          <t>(mass per volume) per temperature</t>
        </is>
      </c>
      <c r="D109" t="inlineStr">
        <is>
          <t>In EML schema but not in EML dictionary</t>
        </is>
      </c>
    </row>
    <row r="110">
      <c r="C110" t="inlineStr">
        <is>
          <t>mobility</t>
        </is>
      </c>
    </row>
    <row r="111">
      <c r="C111" t="inlineStr">
        <is>
          <t>molar energy</t>
        </is>
      </c>
    </row>
    <row r="112">
      <c r="C112" t="inlineStr">
        <is>
          <t>molar heat capacity</t>
        </is>
      </c>
    </row>
    <row r="113">
      <c r="C113" t="inlineStr">
        <is>
          <t>molar volume</t>
        </is>
      </c>
    </row>
    <row r="114">
      <c r="C114" t="inlineStr">
        <is>
          <t>molecular weight</t>
        </is>
      </c>
    </row>
    <row r="115">
      <c r="C115" t="inlineStr">
        <is>
          <t>moment of force</t>
        </is>
      </c>
    </row>
    <row r="116">
      <c r="C116" t="inlineStr">
        <is>
          <t>moment of inertia</t>
        </is>
      </c>
    </row>
    <row r="117">
      <c r="C117" t="inlineStr">
        <is>
          <t>momentum</t>
        </is>
      </c>
    </row>
    <row r="118">
      <c r="C118" t="inlineStr">
        <is>
          <t>normalized power</t>
        </is>
      </c>
    </row>
    <row r="119">
      <c r="C119" t="inlineStr">
        <is>
          <t>permeability length</t>
        </is>
      </c>
    </row>
    <row r="120">
      <c r="C120" t="inlineStr">
        <is>
          <t>permeability rock</t>
        </is>
      </c>
    </row>
    <row r="121">
      <c r="C121" t="inlineStr">
        <is>
          <t>permittivity</t>
        </is>
      </c>
    </row>
    <row r="122">
      <c r="C122" t="inlineStr">
        <is>
          <t>plane angle</t>
        </is>
      </c>
    </row>
    <row r="123">
      <c r="C123" t="inlineStr">
        <is>
          <t>potential difference per power drop</t>
        </is>
      </c>
    </row>
    <row r="124">
      <c r="C124" t="inlineStr">
        <is>
          <t>power</t>
        </is>
      </c>
    </row>
    <row r="125">
      <c r="C125" t="inlineStr">
        <is>
          <t>power per area</t>
        </is>
      </c>
    </row>
    <row r="126">
      <c r="C126" t="inlineStr">
        <is>
          <t>power per power</t>
        </is>
      </c>
    </row>
    <row r="127">
      <c r="C127" t="inlineStr">
        <is>
          <t>power per volume</t>
        </is>
      </c>
    </row>
    <row r="128">
      <c r="C128" t="inlineStr">
        <is>
          <t>pressure</t>
        </is>
      </c>
    </row>
    <row r="129">
      <c r="C129" t="inlineStr">
        <is>
          <t>pressure per pressure</t>
        </is>
      </c>
      <c r="E129" t="inlineStr">
        <is>
          <t>Now in dictonary</t>
        </is>
      </c>
    </row>
    <row r="130">
      <c r="C130" t="inlineStr">
        <is>
          <t>pressure per time</t>
        </is>
      </c>
    </row>
    <row r="131">
      <c r="C131" t="inlineStr">
        <is>
          <t>pressure per volume</t>
        </is>
      </c>
    </row>
    <row r="132">
      <c r="C132" t="inlineStr">
        <is>
          <t>pressure squared</t>
        </is>
      </c>
    </row>
    <row r="133">
      <c r="C133" t="inlineStr">
        <is>
          <t>pressure squared per (force time per area)</t>
        </is>
      </c>
    </row>
    <row r="134">
      <c r="C134" t="inlineStr">
        <is>
          <t>pressure time per volume</t>
        </is>
      </c>
    </row>
    <row r="135">
      <c r="C135" t="inlineStr">
        <is>
          <t>quantity of light</t>
        </is>
      </c>
    </row>
    <row r="136">
      <c r="C136" t="inlineStr">
        <is>
          <t>radiance</t>
        </is>
      </c>
    </row>
    <row r="137">
      <c r="C137" t="inlineStr">
        <is>
          <t>radiant intensity</t>
        </is>
      </c>
    </row>
    <row r="138">
      <c r="C138" t="inlineStr">
        <is>
          <t>reciprocal area</t>
        </is>
      </c>
    </row>
    <row r="139">
      <c r="C139" t="inlineStr">
        <is>
          <t>reciprocal electric potential difference</t>
        </is>
      </c>
    </row>
    <row r="140">
      <c r="C140" t="inlineStr">
        <is>
          <t>reciprocal force</t>
        </is>
      </c>
    </row>
    <row r="141">
      <c r="C141" t="inlineStr">
        <is>
          <t>reciprocal length</t>
        </is>
      </c>
    </row>
    <row r="142">
      <c r="C142" t="inlineStr">
        <is>
          <t>reciprocal mass</t>
        </is>
      </c>
    </row>
    <row r="143">
      <c r="C143" t="inlineStr">
        <is>
          <t>reciprocal (mass time)</t>
        </is>
      </c>
    </row>
    <row r="144">
      <c r="C144" t="inlineStr">
        <is>
          <t>reciprocal pressure</t>
        </is>
      </c>
    </row>
    <row r="145">
      <c r="C145" t="inlineStr">
        <is>
          <t>reciprocal time</t>
        </is>
      </c>
    </row>
    <row r="146">
      <c r="C146" t="inlineStr">
        <is>
          <t>reciprocal volume</t>
        </is>
      </c>
    </row>
    <row r="147">
      <c r="C147" t="inlineStr">
        <is>
          <t>relative rate</t>
        </is>
      </c>
      <c r="D147" t="inlineStr">
        <is>
          <t>use for strain rate</t>
        </is>
      </c>
    </row>
    <row r="148">
      <c r="C148" t="inlineStr">
        <is>
          <t>reluctance</t>
        </is>
      </c>
    </row>
    <row r="149">
      <c r="C149" t="inlineStr">
        <is>
          <t>second moment of area</t>
        </is>
      </c>
    </row>
    <row r="150">
      <c r="C150" t="inlineStr">
        <is>
          <t>signaling event per time</t>
        </is>
      </c>
    </row>
    <row r="151">
      <c r="C151" t="inlineStr">
        <is>
          <t>solid angle</t>
        </is>
      </c>
    </row>
    <row r="152">
      <c r="C152" t="inlineStr">
        <is>
          <t>specific heat capacity</t>
        </is>
      </c>
    </row>
    <row r="153">
      <c r="C153" t="inlineStr">
        <is>
          <t>temperature interval</t>
        </is>
      </c>
    </row>
    <row r="154">
      <c r="C154" t="inlineStr">
        <is>
          <t>temperature interval per length</t>
        </is>
      </c>
    </row>
    <row r="155">
      <c r="C155" t="inlineStr">
        <is>
          <t>temperature interval per pressure</t>
        </is>
      </c>
    </row>
    <row r="156">
      <c r="C156" t="inlineStr">
        <is>
          <t>temperature interval per time</t>
        </is>
      </c>
    </row>
    <row r="157">
      <c r="C157" t="inlineStr">
        <is>
          <t>thermal conductance</t>
        </is>
      </c>
    </row>
    <row r="158">
      <c r="C158" t="inlineStr">
        <is>
          <t>thermal conductivity</t>
        </is>
      </c>
    </row>
    <row r="159">
      <c r="C159" t="inlineStr">
        <is>
          <t>thermal diffusivity</t>
        </is>
      </c>
    </row>
    <row r="160">
      <c r="C160" t="inlineStr">
        <is>
          <t>thermal insulance</t>
        </is>
      </c>
    </row>
    <row r="161">
      <c r="C161" t="inlineStr">
        <is>
          <t>thermal resistance</t>
        </is>
      </c>
    </row>
    <row r="162">
      <c r="C162" t="inlineStr">
        <is>
          <t>thermodynamic temperature</t>
        </is>
      </c>
    </row>
    <row r="163">
      <c r="C163" t="inlineStr">
        <is>
          <t>thermodynamic temperature per thermodynamic temperature</t>
        </is>
      </c>
      <c r="D163" t="inlineStr">
        <is>
          <t>In EML schema but not in EML dictionary</t>
        </is>
      </c>
    </row>
    <row r="164">
      <c r="C164" t="inlineStr">
        <is>
          <t>time</t>
        </is>
      </c>
    </row>
    <row r="165">
      <c r="C165" t="inlineStr">
        <is>
          <t>time per length</t>
        </is>
      </c>
    </row>
    <row r="166">
      <c r="C166" t="inlineStr">
        <is>
          <t>time per mass</t>
        </is>
      </c>
    </row>
    <row r="167">
      <c r="C167" t="inlineStr">
        <is>
          <t>time per time</t>
        </is>
      </c>
    </row>
    <row r="168">
      <c r="C168" t="inlineStr">
        <is>
          <t>time per volume</t>
        </is>
      </c>
    </row>
    <row r="169">
      <c r="C169" t="inlineStr">
        <is>
          <t>volume</t>
        </is>
      </c>
    </row>
    <row r="170">
      <c r="C170" t="inlineStr">
        <is>
          <t>volume flow rate per volume flow rate</t>
        </is>
      </c>
    </row>
    <row r="171">
      <c r="C171" t="inlineStr">
        <is>
          <t>volume per area</t>
        </is>
      </c>
    </row>
    <row r="172">
      <c r="C172" t="inlineStr">
        <is>
          <t>volume per length</t>
        </is>
      </c>
    </row>
    <row r="173">
      <c r="C173" t="inlineStr">
        <is>
          <t>volume per mass</t>
        </is>
      </c>
    </row>
    <row r="174">
      <c r="C174" t="inlineStr">
        <is>
          <t>volume per pressure</t>
        </is>
      </c>
    </row>
    <row r="175">
      <c r="C175" t="inlineStr">
        <is>
          <t>volume per rotation</t>
        </is>
      </c>
    </row>
    <row r="176">
      <c r="C176" t="inlineStr">
        <is>
          <t>volume per time</t>
        </is>
      </c>
    </row>
    <row r="177">
      <c r="C177" t="inlineStr">
        <is>
          <t>(volume per time) length</t>
        </is>
      </c>
    </row>
    <row r="178">
      <c r="C178" t="inlineStr">
        <is>
          <t>(volume per time) per area</t>
        </is>
      </c>
    </row>
    <row r="179">
      <c r="C179" t="inlineStr">
        <is>
          <t>(volume per time) per length</t>
        </is>
      </c>
    </row>
    <row r="180">
      <c r="C180" t="inlineStr">
        <is>
          <t>(volume per time) per pressure</t>
        </is>
      </c>
    </row>
    <row r="181">
      <c r="C181" t="inlineStr">
        <is>
          <t>(volume per time) per (pressure length)</t>
        </is>
      </c>
    </row>
    <row r="182">
      <c r="C182" t="inlineStr">
        <is>
          <t>(volume per time) per time</t>
        </is>
      </c>
    </row>
    <row r="183">
      <c r="C183" t="inlineStr">
        <is>
          <t>(volume per time) per volume</t>
        </is>
      </c>
    </row>
    <row r="184">
      <c r="C184" t="inlineStr">
        <is>
          <t>volume per volume</t>
        </is>
      </c>
    </row>
    <row r="185">
      <c r="C185" t="inlineStr">
        <is>
          <t>volumetric heat transfer coefficient</t>
        </is>
      </c>
    </row>
    <row r="186">
      <c r="C186" t="inlineStr">
        <is>
          <t>volumetric thermal expansion</t>
        </is>
      </c>
    </row>
    <row r="187">
      <c r="C187" t="inlineStr">
        <is>
          <t>reciprocal time(0.5)</t>
        </is>
      </c>
      <c r="D187" t="inlineStr">
        <is>
          <t>used for pressure filtration</t>
        </is>
      </c>
    </row>
    <row r="188">
      <c r="C188" t="inlineStr">
        <is>
          <t>volume or mass loss</t>
        </is>
      </c>
      <c r="D188" t="inlineStr">
        <is>
          <t>used for pressure filtration</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2026-08-17T03:42:01Z</dcterms:modified>
  <cp:lastModifiedBy>Ponti, Daniel J</cp:lastModifiedBy>
</cp:coreProperties>
</file>