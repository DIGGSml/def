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name="DictionaryName" sheetId="1" state="visible" r:id="rId1"/>
    <sheet name="Definitions" sheetId="2" state="visible" r:id="rId2"/>
    <sheet name="AssociatedElements" sheetId="3" state="visible" r:id="rId3"/>
    <sheet name="AlternateNames" sheetId="4" state="visible" r:id="rId4"/>
    <sheet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propertyClass</t>
        </is>
      </c>
      <c r="C3" s="12" t="inlineStr">
        <is>
          <t>ri_properties</t>
        </is>
      </c>
      <c r="D3" s="12" t="inlineStr">
        <is>
          <t>DIGGS Properties for Rigid Inclusion Programs</t>
        </is>
      </c>
      <c r="E3" s="2" t="inlineStr">
        <is>
          <t>This dictionary contains values for properties of rigid inclusion ground improvement programs that are carried as parameters rather than as schema elements - principally the measurement-plan properties of diggs:TargetMeasurement and diggs:TargetSamplingFeature objects within a diggs:RigidInclusionProgram.</t>
        </is>
      </c>
    </row>
    <row r="4" ht="17" customHeight="1">
      <c r="A4" s="2" t="n"/>
      <c r="B4" s="2" t="n"/>
      <c r="D4" s="2" t="n"/>
      <c r="E4" s="2" t="n"/>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element_class</t>
        </is>
      </c>
      <c r="C2" s="13" t="inlineStr">
        <is>
          <t>Element class</t>
        </is>
      </c>
      <c r="D2" s="14" t="inlineStr">
        <is>
          <t>The role a planned or constructed rigid inclusion plays in the works, as distinct from what it is made of or how it is built. A trial element is installed before production to prove the method or calibrate the design and is normally not part of the permanent works; a test element is a production element selected for verification testing; a production element carries permanent load and is not tested destructively; a sacrificial element is installed to be tested to failure. The distinction governs which acceptance criteria apply and how a test result may be extrapolated, which is why it needs to be stated rather than inferred from whether a test happens to be attached.</t>
        </is>
      </c>
      <c r="E2" s="13" t="inlineStr">
        <is>
          <t>string</t>
        </is>
      </c>
      <c r="F2" s="13" t="n"/>
      <c r="G2" s="9" t="n"/>
    </row>
    <row r="3">
      <c r="A3" s="2">
        <f>IF(ISNA(VLOOKUP(B3,AssociatedElements!B$2:B2941,1,FALSE)),"Not used","")</f>
        <v/>
      </c>
      <c r="B3" s="13" t="inlineStr">
        <is>
          <t>tested_fraction</t>
        </is>
      </c>
      <c r="C3" s="13" t="inlineStr">
        <is>
          <t>Tested fraction of population</t>
        </is>
      </c>
      <c r="D3" s="14" t="inlineStr">
        <is>
          <t>The proportion of a planned population of elements that is to be tested, where a testing provision is scoped to a population rather than to named elements - "5 percent of production rigid inclusions". A FRACTION OF A POPULATION, NOT A RATE IN TIME: it answers "how many of them" and not "how often", and it is deliberately named to keep it distinct from the temporal reading frequency carried by diggs:TargetMeasurementType/readingFrequency. diggs:ProgramScopeType states WHICH features a provision governs, by geometry, layout or feature type, and has no fraction concept by design; this parameter states what share of that scoped population is sampled. The two are complementary and both are normally needed.</t>
        </is>
      </c>
      <c r="E3" s="13" t="inlineStr">
        <is>
          <t>double</t>
        </is>
      </c>
      <c r="F3" s="13" t="inlineStr">
        <is>
          <t>dimensionless</t>
        </is>
      </c>
      <c r="G3" s="9" t="n"/>
    </row>
    <row r="4">
      <c r="A4" s="2">
        <f>IF(ISNA(VLOOKUP(B4,AssociatedElements!B$2:B2942,1,FALSE)),"Not used","")</f>
        <v/>
      </c>
      <c r="B4" t="inlineStr">
        <is>
          <t>test_load_pct_design_load</t>
        </is>
      </c>
      <c r="C4" t="inlineStr">
        <is>
          <t>Test load as percentage of design load</t>
        </is>
      </c>
      <c r="D4" t="inlineStr">
        <is>
          <t>The maximum load a planned load test is to reach, expressed as a percentage of the design working load of the element being tested. Stated as a ratio rather than as a force because the test requirement is written that way in practice and because the absolute value differs per element while the ratio does not, which is what lets one population-scoped test provision govern a whole zone. Where the provision is adopted from a standard or a published recommendation rather than derived for the project, carry it as a diggs:ProvenancedParameter and state that in the derivation property.</t>
        </is>
      </c>
      <c r="E4" t="inlineStr">
        <is>
          <t>double</t>
        </is>
      </c>
      <c r="F4" t="inlineStr">
        <is>
          <t>dimensionless</t>
        </is>
      </c>
      <c r="G4" s="9" t="n"/>
    </row>
    <row r="5">
      <c r="A5" s="2">
        <f>IF(ISNA(VLOOKUP(B5,AssociatedElements!B$2:B2943,1,FALSE)),"Not used","")</f>
        <v/>
      </c>
      <c r="B5" s="13" t="inlineStr">
        <is>
          <t>instrument_type</t>
        </is>
      </c>
      <c r="C5" s="13" t="inlineStr">
        <is>
          <t>Instrument type</t>
        </is>
      </c>
      <c r="D5" s="14" t="inlineStr">
        <is>
          <t>The kind of instrument a planned monitoring measurement is to be taken with.
THE PROPERTY IS DEFINED HERE; ITS VALUES COME FROM equipmentClass.xml. The two are not competing and neither is redundant. This entry declares that a planned measurement may state which instrument it is to be taken with, and that the value is a string; equipmentClass.xml declares what the permitted instrument names are. Take the value from https://diggsml.org/def/codes/DIGGS/0.1/equipmentClass.xml - piezometer, inclinometer, extensometer, earth_pressure_cell and the rest.
Why the property stays here rather than moving wholesale. The vocabulary is entirely generic - a piezometer is a piezometer on any project - and it now lives in the generic codelist accordingly. But the PROPERTY is a parameter on a planned measurement, and there is no equipment reference on diggs:TargetMeasurementType for it to become instead: a plan cannot cite an Equipment feature that will not exist until the instrument is installed, and a plan-to-realized reference is forbidden outright. So the instrument kind is stated as a parameter, with its value governed by the equipment codelist. If a planned equipment object is ever added to the Target family, this entry becomes redundant and should be deprecated in favour of it.
Superseded the earlier plan to promote this entry out of the RI dictionary (2026-08-16): promoting the VOCABULARY was right and has been done; promoting the property had nowhere to go.</t>
        </is>
      </c>
      <c r="E5" s="13" t="inlineStr">
        <is>
          <t>string</t>
        </is>
      </c>
      <c r="F5" s="13" t="n"/>
      <c r="G5" s="9" t="n"/>
    </row>
    <row r="6">
      <c r="A6" s="2">
        <f>IF(ISNA(VLOOKUP(B6,AssociatedElements!B$2:B2944,1,FALSE)),"Not used","")</f>
        <v/>
      </c>
      <c r="B6" t="inlineStr">
        <is>
          <t>testing_density</t>
        </is>
      </c>
      <c r="C6" s="16" t="inlineStr">
        <is>
          <t>Testing density</t>
        </is>
      </c>
      <c r="D6" s="16" t="inlineStr">
        <is>
          <t>How densely a planned measurement is to be spaced across a population or an area, where the provision is a spatial or count-based density rather than a rate in time - one test per footing, one per linear foot of wall, one per unit area of slab (V2 Post-installation row 22: LTP special-inspection frequency/regime). DISTINCT FROM tested_fraction (what share of a population is tested) and from diggs:TargetMeasurementType/readingFrequency (a temporal rate): this states how closely spaced testing is in space or by count, which readingFrequency's reciprocal-time unit cannot express. The unit varies with what is being inspected - reciprocal length, reciprocal area, or a bare count per discrete element - so no single quantityClass is stated here; give the value with whatever unit fits the foundation type being described.</t>
        </is>
      </c>
      <c r="E6" s="17" t="inlineStr">
        <is>
          <t>double</t>
        </is>
      </c>
      <c r="G6" s="9" t="n"/>
    </row>
    <row r="7">
      <c r="A7" s="2">
        <f>IF(ISNA(VLOOKUP(B7,AssociatedElements!B$2:B2945,1,FALSE)),"Not used","")</f>
        <v/>
      </c>
      <c r="G7" s="9" t="n"/>
    </row>
    <row r="8">
      <c r="A8" s="2">
        <f>IF(ISNA(VLOOKUP(B8,AssociatedElements!B$2:B2946,1,FALSE)),"Not used","")</f>
        <v/>
      </c>
      <c r="G8" s="9" t="n"/>
    </row>
    <row r="9">
      <c r="A9" s="2">
        <f>IF(ISNA(VLOOKUP(B9,AssociatedElements!B$2:B2947,1,FALSE)),"Not used","")</f>
        <v/>
      </c>
      <c r="C9" s="16" t="n"/>
      <c r="D9" s="16" t="n"/>
      <c r="E9" s="17" t="n"/>
      <c r="G9" s="9" t="n"/>
    </row>
    <row r="10">
      <c r="A10" s="2">
        <f>IF(ISNA(VLOOKUP(B10,AssociatedElements!B$2:B2948,1,FALSE)),"Not used","")</f>
        <v/>
      </c>
      <c r="B10" s="13" t="n"/>
      <c r="C10" s="13" t="n"/>
      <c r="D10" s="14" t="n"/>
      <c r="E10" s="13" t="n"/>
      <c r="F10" s="13" t="n"/>
      <c r="G10" s="9" t="n"/>
    </row>
    <row r="11">
      <c r="A11" s="2">
        <f>IF(ISNA(VLOOKUP(B11,AssociatedElements!B$2:B2949,1,FALSE)),"Not used","")</f>
        <v/>
      </c>
      <c r="B11" s="13" t="n"/>
      <c r="C11" s="13" t="n"/>
      <c r="D11" s="14" t="n"/>
      <c r="E11" s="13" t="n"/>
      <c r="F11" s="13" t="n"/>
      <c r="G11" s="9" t="n"/>
    </row>
    <row r="12">
      <c r="A12" s="2">
        <f>IF(ISNA(VLOOKUP(B12,AssociatedElements!B$2:B2950,1,FALSE)),"Not used","")</f>
        <v/>
      </c>
      <c r="B12" s="13" t="n"/>
      <c r="C12" s="13" t="n"/>
      <c r="D12" s="14" t="n"/>
      <c r="E12" s="13" t="n"/>
      <c r="F12" s="13" t="n"/>
      <c r="G12" s="9" t="n"/>
    </row>
    <row r="13">
      <c r="A13" s="2">
        <f>IF(ISNA(VLOOKUP(B13,AssociatedElements!B$2:B2951,1,FALSE)),"Not used","")</f>
        <v/>
      </c>
      <c r="B13" s="13" t="n"/>
      <c r="C13" s="13" t="n"/>
      <c r="D13" s="14" t="n"/>
      <c r="E13" s="13" t="n"/>
      <c r="F13" s="13" t="n"/>
      <c r="G13" s="9" t="n"/>
    </row>
    <row r="14">
      <c r="A14" s="2">
        <f>IF(ISNA(VLOOKUP(B14,AssociatedElements!B$2:B2952,1,FALSE)),"Not used","")</f>
        <v/>
      </c>
      <c r="B14" s="13" t="n"/>
      <c r="C14" s="13" t="n"/>
      <c r="D14" s="14" t="n"/>
      <c r="E14" s="13" t="n"/>
      <c r="F14" s="13" t="n"/>
      <c r="G14" s="9" t="n"/>
    </row>
    <row r="15">
      <c r="A15" s="2">
        <f>IF(ISNA(VLOOKUP(B15,AssociatedElements!B$2:B2953,1,FALSE)),"Not used","")</f>
        <v/>
      </c>
      <c r="B15" s="13" t="n"/>
      <c r="C15" s="18" t="n"/>
      <c r="D15" s="19" t="n"/>
      <c r="E15" s="18" t="n"/>
      <c r="F15" s="18" t="n"/>
      <c r="G15" s="9" t="n"/>
    </row>
    <row r="16">
      <c r="A16" s="2">
        <f>IF(ISNA(VLOOKUP(B16,AssociatedElements!B$2:B2954,1,FALSE)),"Not used","")</f>
        <v/>
      </c>
      <c r="B16" s="13" t="n"/>
      <c r="C16" s="18" t="n"/>
      <c r="D16" s="19" t="n"/>
      <c r="E16" s="18" t="n"/>
      <c r="F16" s="18" t="n"/>
      <c r="G16" s="9" t="n"/>
    </row>
    <row r="17">
      <c r="A17" s="2">
        <f>IF(ISNA(VLOOKUP(B17,AssociatedElements!B$2:B2955,1,FALSE)),"Not used","")</f>
        <v/>
      </c>
      <c r="B17" s="13" t="n"/>
      <c r="C17" s="18" t="n"/>
      <c r="D17" s="19" t="n"/>
      <c r="E17" s="18" t="n"/>
      <c r="F17" s="18" t="n"/>
      <c r="G17" s="9" t="n"/>
    </row>
    <row r="18">
      <c r="A18" s="2">
        <f>IF(ISNA(VLOOKUP(B18,AssociatedElements!B$2:B2956,1,FALSE)),"Not used","")</f>
        <v/>
      </c>
      <c r="B18" s="13" t="n"/>
      <c r="C18" s="18" t="n"/>
      <c r="D18" s="19" t="n"/>
      <c r="E18" s="18" t="n"/>
      <c r="F18" s="18" t="n"/>
      <c r="G18" s="9" t="n"/>
    </row>
    <row r="19">
      <c r="A19" s="2">
        <f>IF(ISNA(VLOOKUP(B19,AssociatedElements!B$2:B2957,1,FALSE)),"Not used","")</f>
        <v/>
      </c>
      <c r="B19" s="13" t="n"/>
      <c r="C19" s="18" t="n"/>
      <c r="D19" s="19" t="n"/>
      <c r="E19" s="18" t="n"/>
      <c r="F19" s="18" t="n"/>
      <c r="G19" s="9" t="n"/>
    </row>
    <row r="20">
      <c r="A20" s="2">
        <f>IF(ISNA(VLOOKUP(B20,AssociatedElements!B$2:B2958,1,FALSE)),"Not used","")</f>
        <v/>
      </c>
      <c r="B20" s="13" t="n"/>
      <c r="C20" s="18" t="n"/>
      <c r="D20" s="19" t="n"/>
      <c r="E20" s="18" t="n"/>
      <c r="F20" s="18" t="n"/>
      <c r="G20" s="9" t="n"/>
    </row>
    <row r="21">
      <c r="A21" s="2">
        <f>IF(ISNA(VLOOKUP(B21,AssociatedElements!B$2:B2959,1,FALSE)),"Not used","")</f>
        <v/>
      </c>
      <c r="B21" s="13" t="n"/>
      <c r="C21" s="18" t="n"/>
      <c r="D21" s="19" t="n"/>
      <c r="E21" s="18" t="n"/>
      <c r="F21" s="18" t="n"/>
      <c r="G21" s="9" t="n"/>
    </row>
    <row r="22">
      <c r="A22" s="2">
        <f>IF(ISNA(VLOOKUP(B22,AssociatedElements!B$2:B2960,1,FALSE)),"Not used","")</f>
        <v/>
      </c>
      <c r="B22" s="13" t="n"/>
      <c r="C22" s="18" t="n"/>
      <c r="D22" s="19" t="n"/>
      <c r="E22" s="18" t="n"/>
      <c r="F22" s="18" t="n"/>
      <c r="G22" s="9" t="n"/>
    </row>
    <row r="23">
      <c r="A23" s="2">
        <f>IF(ISNA(VLOOKUP(B23,AssociatedElements!B$2:B2961,1,FALSE)),"Not used","")</f>
        <v/>
      </c>
      <c r="B23" s="13" t="n"/>
      <c r="C23" s="18" t="n"/>
      <c r="D23" s="19" t="n"/>
      <c r="E23" s="18" t="n"/>
      <c r="F23" s="18" t="n"/>
      <c r="G23" s="9" t="n"/>
    </row>
    <row r="24">
      <c r="A24" s="2">
        <f>IF(ISNA(VLOOKUP(B24,AssociatedElements!B$2:B2962,1,FALSE)),"Not used","")</f>
        <v/>
      </c>
      <c r="D24" s="16" t="n"/>
      <c r="G24" s="9" t="n"/>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element_class</t>
        </is>
      </c>
      <c r="C2" t="inlineStr">
        <is>
          <t>//diggs:parameterName</t>
        </is>
      </c>
    </row>
    <row r="3">
      <c r="A3">
        <f>IF(ISNA(VLOOKUP(B3,Definitions!B$2:B$1839,1,FALSE)),"Not listed","")</f>
        <v/>
      </c>
      <c r="B3" s="20" t="inlineStr">
        <is>
          <t>tested_fraction</t>
        </is>
      </c>
      <c r="C3" t="inlineStr">
        <is>
          <t>//diggs:parameterName</t>
        </is>
      </c>
    </row>
    <row r="4">
      <c r="A4">
        <f>IF(ISNA(VLOOKUP(B4,Definitions!B$2:B$1839,1,FALSE)),"Not listed","")</f>
        <v/>
      </c>
      <c r="B4" s="2" t="inlineStr">
        <is>
          <t>test_load_pct_design_load</t>
        </is>
      </c>
      <c r="C4" t="inlineStr">
        <is>
          <t>//diggs:parameterName</t>
        </is>
      </c>
    </row>
    <row r="5">
      <c r="A5">
        <f>IF(ISNA(VLOOKUP(B5,Definitions!B$2:B$1839,1,FALSE)),"Not listed","")</f>
        <v/>
      </c>
      <c r="B5" s="2" t="inlineStr">
        <is>
          <t>instrument_type</t>
        </is>
      </c>
      <c r="C5" t="inlineStr">
        <is>
          <t>//diggs:parameterName</t>
        </is>
      </c>
    </row>
    <row r="6">
      <c r="A6">
        <f>IF(ISNA(VLOOKUP(B6,Definitions!B$2:B$1839,1,FALSE)),"Not listed","")</f>
        <v/>
      </c>
      <c r="B6" s="2" t="inlineStr">
        <is>
          <t>testing_density</t>
        </is>
      </c>
      <c r="C6" t="inlineStr">
        <is>
          <t>//diggs:parameterName</t>
        </is>
      </c>
      <c r="D6" t="inlineStr">
        <is>
          <t>ancestor::diggs:testingDensity</t>
        </is>
      </c>
    </row>
    <row r="7">
      <c r="A7">
        <f>IF(ISNA(VLOOKUP(B7,Definitions!B$2:B$1839,1,FALSE)),"Not listed","")</f>
        <v/>
      </c>
      <c r="B7" s="2" t="n"/>
    </row>
    <row r="8">
      <c r="A8">
        <f>IF(ISNA(VLOOKUP(B8,Definitions!B$2:B$1839,1,FALSE)),"Not listed","")</f>
        <v/>
      </c>
      <c r="B8" s="2" t="n"/>
    </row>
    <row r="9">
      <c r="A9">
        <f>IF(ISNA(VLOOKUP(B9,Definitions!B$2:B$1839,1,FALSE)),"Not listed","")</f>
        <v/>
      </c>
      <c r="B9" s="2" t="n"/>
    </row>
    <row r="10">
      <c r="A10">
        <f>IF(ISNA(VLOOKUP(B10,Definitions!B$2:B$1839,1,FALSE)),"Not listed","")</f>
        <v/>
      </c>
      <c r="B10" s="20" t="n"/>
    </row>
    <row r="11">
      <c r="A11">
        <f>IF(ISNA(VLOOKUP(B11,Definitions!B$2:B$1839,1,FALSE)),"Not listed","")</f>
        <v/>
      </c>
      <c r="B11" s="20" t="n"/>
    </row>
    <row r="12">
      <c r="A12">
        <f>IF(ISNA(VLOOKUP(B12,Definitions!B$2:B$1839,1,FALSE)),"Not listed","")</f>
        <v/>
      </c>
      <c r="B12" s="20" t="n"/>
    </row>
    <row r="13">
      <c r="A13">
        <f>IF(ISNA(VLOOKUP(B13,Definitions!B$2:B$1839,1,FALSE)),"Not listed","")</f>
        <v/>
      </c>
      <c r="B13" s="20" t="n"/>
    </row>
    <row r="14">
      <c r="A14">
        <f>IF(ISNA(VLOOKUP(B14,Definitions!B$2:B$1839,1,FALSE)),"Not listed","")</f>
        <v/>
      </c>
      <c r="B14" s="20" t="n"/>
    </row>
    <row r="15">
      <c r="A15">
        <f>IF(ISNA(VLOOKUP(B15,Definitions!B$2:B$1839,1,FALSE)),"Not listed","")</f>
        <v/>
      </c>
      <c r="B15" s="2" t="n"/>
    </row>
    <row r="16">
      <c r="A16">
        <f>IF(ISNA(VLOOKUP(B16,Definitions!B$2:B$1839,1,FALSE)),"Not listed","")</f>
        <v/>
      </c>
      <c r="B16" s="2" t="n"/>
    </row>
    <row r="17">
      <c r="A17">
        <f>IF(ISNA(VLOOKUP(B17,Definitions!B$2:B$1839,1,FALSE)),"Not listed","")</f>
        <v/>
      </c>
      <c r="B17" s="2" t="n"/>
    </row>
    <row r="18">
      <c r="A18">
        <f>IF(ISNA(VLOOKUP(B18,Definitions!B$2:B$1839,1,FALSE)),"Not listed","")</f>
        <v/>
      </c>
      <c r="B18" s="2" t="n"/>
    </row>
    <row r="19">
      <c r="A19">
        <f>IF(ISNA(VLOOKUP(B19,Definitions!B$2:B$1839,1,FALSE)),"Not listed","")</f>
        <v/>
      </c>
      <c r="B19" s="20" t="n"/>
    </row>
    <row r="20">
      <c r="A20">
        <f>IF(ISNA(VLOOKUP(B20,Definitions!B$2:B$1839,1,FALSE)),"Not listed","")</f>
        <v/>
      </c>
      <c r="B20" s="20" t="n"/>
    </row>
    <row r="21">
      <c r="A21">
        <f>IF(ISNA(VLOOKUP(B21,Definitions!B$2:B$1839,1,FALSE)),"Not listed","")</f>
        <v/>
      </c>
      <c r="B21" s="20" t="n"/>
    </row>
    <row r="22">
      <c r="A22">
        <f>IF(ISNA(VLOOKUP(B22,Definitions!B$2:B$1839,1,FALSE)),"Not listed","")</f>
        <v/>
      </c>
      <c r="B22" s="20" t="n"/>
    </row>
    <row r="23">
      <c r="A23">
        <f>IF(ISNA(VLOOKUP(B23,Definitions!B$2:B$1839,1,FALSE)),"Not listed","")</f>
        <v/>
      </c>
      <c r="B23" s="20" t="n"/>
    </row>
    <row r="24">
      <c r="A24">
        <f>IF(ISNA(VLOOKUP(B24,Definitions!B$2:B$1839,1,FALSE)),"Not listed","")</f>
        <v/>
      </c>
      <c r="B24" s="2" t="n"/>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C2" s="3" t="n"/>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2018-10-28T20:07:54Z</dcterms:created>
  <dcterms:modified xsi:type="dcterms:W3CDTF">2026-08-19T06:21:34Z</dcterms:modified>
  <cp:lastModifiedBy>Ponti, Daniel J</cp:lastModifiedBy>
</cp:coreProperties>
</file>