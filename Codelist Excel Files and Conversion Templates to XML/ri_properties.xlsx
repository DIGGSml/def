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propertyClass</t>
        </is>
      </c>
      <c r="C3" s="12" t="inlineStr">
        <is>
          <t>ri_properties</t>
        </is>
      </c>
      <c r="D3" s="12" t="inlineStr">
        <is>
          <t>DIGGS Properties for Rigid Inclusion Programs</t>
        </is>
      </c>
      <c r="E3" s="2" t="inlineStr">
        <is>
          <t>This dictionary contains values for properties of rigid inclusion ground improvement programs that are carried as parameters rather than as schema elements - principally the measurement-plan properties of diggs:TargetMeasurement and diggs:TargetSamplingFeature objects within a diggs:RigidInclusionProgram.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5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IF(ISNA(VLOOKUP(B3,AssociatedElements!B$2:B2941,1,FALSE)),"Not used","")</f>
        <v/>
      </c>
      <c r="B2" s="13" t="inlineStr">
        <is>
          <t>tested_fraction</t>
        </is>
      </c>
      <c r="C2" s="13" t="inlineStr">
        <is>
          <t>Tested fraction of population</t>
        </is>
      </c>
      <c r="D2" s="14" t="inlineStr">
        <is>
          <t>The proportion of a planned population of elements that is to be tested, where a testing provision is scoped to a population rather than to named elements - "5 percent of production rigid inclusions". A FRACTION OF A POPULATION, NOT A RATE IN TIME: it answers "how many of them" and not "how often", and it is deliberately named to keep it distinct from the temporal reading frequency carried by diggs:TargetMeasurementType/readingFrequency. diggs:ProgramScopeType states WHICH features a provision governs, by geometry, layout or feature type, and has no fraction concept by design; this parameter states what share of that scoped population is sampled. The two are complementary and both are normally needed.</t>
        </is>
      </c>
      <c r="E2" s="13" t="inlineStr">
        <is>
          <t>double</t>
        </is>
      </c>
      <c r="F2" s="13" t="inlineStr">
        <is>
          <t>dimensionless</t>
        </is>
      </c>
      <c r="G2" s="9" t="n"/>
    </row>
    <row r="3">
      <c r="A3" s="2">
        <f>IF(ISNA(VLOOKUP(B4,AssociatedElements!B$2:B2942,1,FALSE)),"Not used","")</f>
        <v/>
      </c>
      <c r="B3" t="inlineStr">
        <is>
          <t>test_load_pct_design_load</t>
        </is>
      </c>
      <c r="C3" t="inlineStr">
        <is>
          <t>Test load as percentage of design load</t>
        </is>
      </c>
      <c r="D3" t="inlineStr">
        <is>
          <t>The maximum load a planned load test is to reach, expressed as a percentage of the design working load of the element being tested. Stated as a ratio rather than as a force because the test requirement is written that way in practice and because the absolute value differs per element while the ratio does not, which is what lets one population-scoped test provision govern a whole zone. Where the provision is adopted from a standard or a published recommendation rather than derived for the project, carry it as a diggs:ProvenancedParameter and state that in the derivation property.</t>
        </is>
      </c>
      <c r="E3" t="inlineStr">
        <is>
          <t>double</t>
        </is>
      </c>
      <c r="F3" t="inlineStr">
        <is>
          <t>dimensionless</t>
        </is>
      </c>
      <c r="G3" s="9" t="n"/>
    </row>
    <row r="4">
      <c r="A4" s="2">
        <f>IF(ISNA(VLOOKUP(B6,AssociatedElements!B$2:B2944,1,FALSE)),"Not used","")</f>
        <v/>
      </c>
      <c r="B4" t="inlineStr">
        <is>
          <t>testing_density</t>
        </is>
      </c>
      <c r="C4" s="16" t="inlineStr">
        <is>
          <t>Testing density</t>
        </is>
      </c>
      <c r="D4" s="16" t="inlineStr">
        <is>
          <t>How densely a planned measurement is to be spaced across a population or an area, where the provision is a spatial or count-based density rather than a rate in time - one test per footing, one per linear foot of wall, one per unit area of slab (V2 Post-installation row 22: LTP special-inspection frequency/regime). DISTINCT FROM tested_fraction (what share of a population is tested) and from diggs:TargetMeasurementType/readingFrequency (a temporal rate): this states how closely spaced testing is in space or by count, which readingFrequency's reciprocal-time unit cannot express. The unit varies with what is being inspected - reciprocal length, reciprocal area, or a bare count per discrete element - so no single quantityClass is stated here; give the value with whatever unit fits the foundation type being described.</t>
        </is>
      </c>
      <c r="E4" s="17" t="inlineStr">
        <is>
          <t>double</t>
        </is>
      </c>
      <c r="G4" s="9" t="n"/>
    </row>
    <row r="5">
      <c r="A5" s="2">
        <f>IF(ISNA(VLOOKUP(B7,AssociatedElements!B$2:B2945,1,FALSE)),"Not used","")</f>
        <v/>
      </c>
      <c r="G5" s="9" t="n"/>
    </row>
    <row r="6">
      <c r="A6" s="2">
        <f>IF(ISNA(VLOOKUP(B8,AssociatedElements!B$2:B2946,1,FALSE)),"Not used","")</f>
        <v/>
      </c>
      <c r="G6" s="9" t="n"/>
    </row>
    <row r="7">
      <c r="A7" s="2">
        <f>IF(ISNA(VLOOKUP(B9,AssociatedElements!B$2:B2947,1,FALSE)),"Not used","")</f>
        <v/>
      </c>
      <c r="C7" s="16" t="n"/>
      <c r="D7" s="16" t="n"/>
      <c r="E7" s="17" t="n"/>
      <c r="G7" s="9" t="n"/>
    </row>
    <row r="8">
      <c r="A8" s="2">
        <f>IF(ISNA(VLOOKUP(B10,AssociatedElements!B$2:B2948,1,FALSE)),"Not used","")</f>
        <v/>
      </c>
      <c r="B8" s="13" t="n"/>
      <c r="C8" s="13" t="n"/>
      <c r="D8" s="14" t="n"/>
      <c r="E8" s="13" t="n"/>
      <c r="F8" s="13" t="n"/>
      <c r="G8" s="9" t="n"/>
    </row>
    <row r="9">
      <c r="A9" s="2">
        <f>IF(ISNA(VLOOKUP(B11,AssociatedElements!B$2:B2949,1,FALSE)),"Not used","")</f>
        <v/>
      </c>
      <c r="B9" s="13" t="n"/>
      <c r="C9" s="13" t="n"/>
      <c r="D9" s="14" t="n"/>
      <c r="E9" s="13" t="n"/>
      <c r="F9" s="13" t="n"/>
      <c r="G9" s="9" t="n"/>
    </row>
    <row r="10">
      <c r="A10" s="2">
        <f>IF(ISNA(VLOOKUP(B12,AssociatedElements!B$2:B2950,1,FALSE)),"Not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IF(ISNA(VLOOKUP(B13,AssociatedElements!B$2:B2951,1,FALSE)),"Not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IF(ISNA(VLOOKUP(B14,AssociatedElements!B$2:B2952,1,FALSE)),"Not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IF(ISNA(VLOOKUP(B15,AssociatedElements!B$2:B2953,1,FALSE)),"Not used","")</f>
        <v/>
      </c>
      <c r="B13" s="13" t="n"/>
      <c r="C13" s="18" t="n"/>
      <c r="D13" s="19" t="n"/>
      <c r="E13" s="18" t="n"/>
      <c r="F13" s="18" t="n"/>
      <c r="G13" s="9" t="n"/>
    </row>
    <row r="14">
      <c r="A14" s="2">
        <f>IF(ISNA(VLOOKUP(B16,AssociatedElements!B$2:B2954,1,FALSE)),"Not used","")</f>
        <v/>
      </c>
      <c r="B14" s="13" t="n"/>
      <c r="C14" s="18" t="n"/>
      <c r="D14" s="19" t="n"/>
      <c r="E14" s="18" t="n"/>
      <c r="F14" s="18" t="n"/>
      <c r="G14" s="9" t="n"/>
    </row>
    <row r="15">
      <c r="A15" s="2">
        <f>IF(ISNA(VLOOKUP(B17,AssociatedElements!B$2:B2955,1,FALSE)),"Not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IF(ISNA(VLOOKUP(B18,AssociatedElements!B$2:B2956,1,FALSE)),"Not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IF(ISNA(VLOOKUP(B19,AssociatedElements!B$2:B2957,1,FALSE)),"Not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IF(ISNA(VLOOKUP(B20,AssociatedElements!B$2:B2958,1,FALSE)),"Not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IF(ISNA(VLOOKUP(B21,AssociatedElements!B$2:B2959,1,FALSE)),"Not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IF(ISNA(VLOOKUP(B22,AssociatedElements!B$2:B2960,1,FALSE)),"Not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IF(ISNA(VLOOKUP(B23,AssociatedElements!B$2:B2961,1,FALSE)),"Not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IF(ISNA(VLOOKUP(B24,AssociatedElements!B$2:B2962,1,FALSE)),"Not used","")</f>
        <v/>
      </c>
      <c r="D22" s="16" t="n"/>
      <c r="G22" s="9" t="n"/>
    </row>
    <row r="23">
      <c r="A23" s="2">
        <f>IF(ISNA(VLOOKUP(B25,AssociatedElements!B$2:B2963,1,FALSE)),"Not used","")</f>
        <v/>
      </c>
      <c r="B23" s="13" t="n"/>
      <c r="C23" s="13" t="n"/>
      <c r="E23" s="13" t="n"/>
      <c r="F23" s="13" t="n"/>
      <c r="G23" s="9" t="n"/>
    </row>
    <row r="24">
      <c r="A24" s="2">
        <f>IF(ISNA(VLOOKUP(B26,AssociatedElements!B$2:B2964,1,FALSE)),"Not used","")</f>
        <v/>
      </c>
      <c r="B24" s="13" t="n"/>
      <c r="C24" s="13" t="n"/>
      <c r="E24" s="13" t="n"/>
      <c r="F24" s="13" t="n"/>
      <c r="G24" s="9" t="n"/>
    </row>
    <row r="25">
      <c r="A25" s="2">
        <f>IF(ISNA(VLOOKUP(B27,AssociatedElements!B$2:B2965,1,FALSE)),"Not used","")</f>
        <v/>
      </c>
      <c r="B25" s="13" t="n"/>
      <c r="C25" s="13" t="n"/>
      <c r="D25" s="15" t="n"/>
      <c r="E25" s="13" t="n"/>
      <c r="F25" s="13" t="n"/>
      <c r="G25" s="9" t="n"/>
    </row>
    <row r="26">
      <c r="A26" s="2">
        <f>IF(ISNA(VLOOKUP(B28,AssociatedElements!B$2:B2966,1,FALSE)),"Not used","")</f>
        <v/>
      </c>
      <c r="B26" s="13" t="n"/>
      <c r="C26" s="13" t="n"/>
      <c r="D26" s="14" t="n"/>
      <c r="E26" s="13" t="n"/>
      <c r="F26" s="13" t="n"/>
      <c r="G26" s="9" t="n"/>
    </row>
    <row r="27">
      <c r="A27" s="2">
        <f>IF(ISNA(VLOOKUP(B29,AssociatedElements!B$2:B2967,1,FALSE)),"Not used","")</f>
        <v/>
      </c>
      <c r="B27" s="13" t="n"/>
      <c r="C27" s="13" t="n"/>
      <c r="D27" s="14" t="n"/>
      <c r="E27" s="13" t="n"/>
      <c r="F27" s="13" t="n"/>
      <c r="G27" s="9" t="n"/>
    </row>
    <row r="28">
      <c r="A28" s="2">
        <f>IF(ISNA(VLOOKUP(B30,AssociatedElements!B$2:B2968,1,FALSE)),"Not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IF(ISNA(VLOOKUP(B31,AssociatedElements!B$2:B2969,1,FALSE)),"Not used","")</f>
        <v/>
      </c>
      <c r="B29" s="13" t="n"/>
      <c r="C29" s="18" t="n"/>
      <c r="D29" s="19" t="n"/>
      <c r="E29" s="18" t="n"/>
      <c r="F29" s="18" t="n"/>
      <c r="G29" s="9" t="n"/>
    </row>
    <row r="30">
      <c r="A30" s="2">
        <f>IF(ISNA(VLOOKUP(B32,AssociatedElements!B$2:B2970,1,FALSE)),"Not used","")</f>
        <v/>
      </c>
      <c r="B30" s="13" t="n"/>
      <c r="C30" s="18" t="n"/>
      <c r="D30" s="19" t="n"/>
      <c r="E30" s="18" t="n"/>
      <c r="F30" s="18" t="n"/>
      <c r="G30" s="9" t="n"/>
    </row>
    <row r="31">
      <c r="A31" s="2">
        <f>IF(ISNA(VLOOKUP(B33,AssociatedElements!B$2:B2971,1,FALSE)),"Not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IF(ISNA(VLOOKUP(B34,AssociatedElements!B$2:B2972,1,FALSE)),"Not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IF(ISNA(VLOOKUP(B35,AssociatedElements!B$2:B2973,1,FALSE)),"Not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IF(ISNA(VLOOKUP(B36,AssociatedElements!B$2:B2974,1,FALSE)),"Not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IF(ISNA(VLOOKUP(B37,AssociatedElements!B$2:B2975,1,FALSE)),"Not used","")</f>
        <v/>
      </c>
      <c r="G35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5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IF(ISNA(VLOOKUP(B3,Definitions!B$2:B$1839,1,FALSE)),"Not listed","")</f>
        <v/>
      </c>
      <c r="B2" s="20" t="inlineStr">
        <is>
          <t>tested_fraction</t>
        </is>
      </c>
      <c r="C2" t="inlineStr">
        <is>
          <t>//diggs:parameterName</t>
        </is>
      </c>
    </row>
    <row r="3">
      <c r="A3">
        <f>IF(ISNA(VLOOKUP(B4,Definitions!B$2:B$1839,1,FALSE)),"Not listed","")</f>
        <v/>
      </c>
      <c r="B3" s="2" t="inlineStr">
        <is>
          <t>test_load_pct_design_load</t>
        </is>
      </c>
      <c r="C3" t="inlineStr">
        <is>
          <t>//diggs:parameterName</t>
        </is>
      </c>
    </row>
    <row r="4">
      <c r="A4">
        <f>IF(ISNA(VLOOKUP(B6,Definitions!B$2:B$1839,1,FALSE)),"Not listed","")</f>
        <v/>
      </c>
      <c r="B4" s="2" t="inlineStr">
        <is>
          <t>testing_density</t>
        </is>
      </c>
      <c r="C4" t="inlineStr">
        <is>
          <t>//diggs:parameterName</t>
        </is>
      </c>
      <c r="D4" t="inlineStr">
        <is>
          <t>ancestor::diggs:testingDensity</t>
        </is>
      </c>
    </row>
    <row r="5">
      <c r="A5">
        <f>IF(ISNA(VLOOKUP(B7,Definitions!B$2:B$1839,1,FALSE)),"Not listed","")</f>
        <v/>
      </c>
      <c r="B5" s="2" t="n"/>
    </row>
    <row r="6">
      <c r="A6">
        <f>IF(ISNA(VLOOKUP(B8,Definitions!B$2:B$1839,1,FALSE)),"Not listed","")</f>
        <v/>
      </c>
      <c r="B6" s="2" t="n"/>
    </row>
    <row r="7">
      <c r="A7">
        <f>IF(ISNA(VLOOKUP(B9,Definitions!B$2:B$1839,1,FALSE)),"Not listed","")</f>
        <v/>
      </c>
      <c r="B7" s="2" t="n"/>
    </row>
    <row r="8">
      <c r="A8">
        <f>IF(ISNA(VLOOKUP(B10,Definitions!B$2:B$1839,1,FALSE)),"Not listed","")</f>
        <v/>
      </c>
      <c r="B8" s="20" t="n"/>
    </row>
    <row r="9">
      <c r="A9">
        <f>IF(ISNA(VLOOKUP(B11,Definitions!B$2:B$1839,1,FALSE)),"Not listed","")</f>
        <v/>
      </c>
      <c r="B9" s="20" t="n"/>
    </row>
    <row r="10">
      <c r="A10">
        <f>IF(ISNA(VLOOKUP(B12,Definitions!B$2:B$1839,1,FALSE)),"Not listed","")</f>
        <v/>
      </c>
      <c r="B10" s="20" t="n"/>
    </row>
    <row r="11">
      <c r="A11">
        <f>IF(ISNA(VLOOKUP(B13,Definitions!B$2:B$1839,1,FALSE)),"Not listed","")</f>
        <v/>
      </c>
      <c r="B11" s="20" t="n"/>
    </row>
    <row r="12">
      <c r="A12">
        <f>IF(ISNA(VLOOKUP(B14,Definitions!B$2:B$1839,1,FALSE)),"Not listed","")</f>
        <v/>
      </c>
      <c r="B12" s="20" t="n"/>
    </row>
    <row r="13">
      <c r="A13">
        <f>IF(ISNA(VLOOKUP(B15,Definitions!B$2:B$1839,1,FALSE)),"Not listed","")</f>
        <v/>
      </c>
      <c r="B13" s="2" t="n"/>
    </row>
    <row r="14">
      <c r="A14">
        <f>IF(ISNA(VLOOKUP(B16,Definitions!B$2:B$1839,1,FALSE)),"Not listed","")</f>
        <v/>
      </c>
      <c r="B14" s="2" t="n"/>
    </row>
    <row r="15">
      <c r="A15">
        <f>IF(ISNA(VLOOKUP(B17,Definitions!B$2:B$1839,1,FALSE)),"Not listed","")</f>
        <v/>
      </c>
      <c r="B15" s="2" t="n"/>
    </row>
    <row r="16">
      <c r="A16">
        <f>IF(ISNA(VLOOKUP(B18,Definitions!B$2:B$1839,1,FALSE)),"Not listed","")</f>
        <v/>
      </c>
      <c r="B16" s="2" t="n"/>
    </row>
    <row r="17">
      <c r="A17">
        <f>IF(ISNA(VLOOKUP(B19,Definitions!B$2:B$1839,1,FALSE)),"Not listed","")</f>
        <v/>
      </c>
      <c r="B17" s="20" t="n"/>
    </row>
    <row r="18">
      <c r="A18">
        <f>IF(ISNA(VLOOKUP(B20,Definitions!B$2:B$1839,1,FALSE)),"Not listed","")</f>
        <v/>
      </c>
      <c r="B18" s="20" t="n"/>
    </row>
    <row r="19">
      <c r="A19">
        <f>IF(ISNA(VLOOKUP(B21,Definitions!B$2:B$1839,1,FALSE)),"Not listed","")</f>
        <v/>
      </c>
      <c r="B19" s="20" t="n"/>
    </row>
    <row r="20">
      <c r="A20">
        <f>IF(ISNA(VLOOKUP(B22,Definitions!B$2:B$1839,1,FALSE)),"Not listed","")</f>
        <v/>
      </c>
      <c r="B20" s="20" t="n"/>
    </row>
    <row r="21">
      <c r="A21">
        <f>IF(ISNA(VLOOKUP(B23,Definitions!B$2:B$1839,1,FALSE)),"Not listed","")</f>
        <v/>
      </c>
      <c r="B21" s="20" t="n"/>
    </row>
    <row r="22">
      <c r="A22">
        <f>IF(ISNA(VLOOKUP(B24,Definitions!B$2:B$1839,1,FALSE)),"Not listed","")</f>
        <v/>
      </c>
      <c r="B22" s="2" t="n"/>
    </row>
    <row r="23">
      <c r="A23">
        <f>IF(ISNA(VLOOKUP(B25,Definitions!B$2:B$1839,1,FALSE)),"Not listed","")</f>
        <v/>
      </c>
      <c r="B23" s="2" t="n"/>
    </row>
    <row r="24">
      <c r="A24">
        <f>IF(ISNA(VLOOKUP(B26,Definitions!B$2:B$1839,1,FALSE)),"Not listed","")</f>
        <v/>
      </c>
      <c r="B24" s="2" t="n"/>
    </row>
    <row r="25">
      <c r="A25">
        <f>IF(ISNA(VLOOKUP(B27,Definitions!B$2:B$1839,1,FALSE)),"Not listed","")</f>
        <v/>
      </c>
      <c r="B25" s="13" t="n"/>
    </row>
    <row r="26">
      <c r="A26">
        <f>IF(ISNA(VLOOKUP(B28,Definitions!B$2:B$1839,1,FALSE)),"Not listed","")</f>
        <v/>
      </c>
      <c r="B26" s="13" t="n"/>
    </row>
    <row r="27">
      <c r="A27">
        <f>IF(ISNA(VLOOKUP(B29,Definitions!B$2:B$1839,1,FALSE)),"Not listed","")</f>
        <v/>
      </c>
      <c r="B27" s="13" t="n"/>
    </row>
    <row r="28">
      <c r="A28">
        <f>IF(ISNA(VLOOKUP(B30,Definitions!B$2:B$1839,1,FALSE)),"Not listed","")</f>
        <v/>
      </c>
      <c r="B28" s="13" t="n"/>
    </row>
    <row r="29">
      <c r="A29">
        <f>IF(ISNA(VLOOKUP(B31,Definitions!B$2:B$1839,1,FALSE)),"Not listed","")</f>
        <v/>
      </c>
      <c r="B29" s="13" t="n"/>
    </row>
    <row r="30">
      <c r="A30">
        <f>IF(ISNA(VLOOKUP(B32,Definitions!B$2:B$1839,1,FALSE)),"Not listed","")</f>
        <v/>
      </c>
      <c r="B30" s="13" t="n"/>
    </row>
    <row r="31">
      <c r="A31">
        <f>IF(ISNA(VLOOKUP(B33,Definitions!B$2:B$1839,1,FALSE)),"Not listed","")</f>
        <v/>
      </c>
      <c r="B31" s="13" t="n"/>
    </row>
    <row r="32">
      <c r="A32">
        <f>IF(ISNA(VLOOKUP(B34,Definitions!B$2:B$1839,1,FALSE)),"Not listed","")</f>
        <v/>
      </c>
      <c r="B32" s="13" t="n"/>
    </row>
    <row r="33">
      <c r="A33">
        <f>IF(ISNA(VLOOKUP(B35,Definitions!B$2:B$1839,1,FALSE)),"Not listed","")</f>
        <v/>
      </c>
      <c r="B33" s="13" t="n"/>
    </row>
    <row r="34">
      <c r="A34">
        <f>IF(ISNA(VLOOKUP(B36,Definitions!B$2:B$1839,1,FALSE)),"Not listed","")</f>
        <v/>
      </c>
      <c r="B34" s="13" t="n"/>
    </row>
    <row r="35">
      <c r="A35">
        <f>IF(ISNA(VLOOKUP(B37,Definitions!B$2:B$1839,1,FALSE)),"Not listed","")</f>
        <v/>
      </c>
      <c r="B35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2026-08-19T08:29:53Z</dcterms:modified>
  <cp:lastModifiedBy>Ponti, Daniel J</cp:lastModifiedBy>
</cp:coreProperties>
</file>