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sampleMatrix</t>
        </is>
      </c>
      <c r="C3" s="12" t="inlineStr">
        <is>
          <t>sampleMatrix</t>
        </is>
      </c>
      <c r="D3" s="12" t="inlineStr">
        <is>
          <t>DIGGS Sample Matrix Codelist Definitions</t>
        </is>
      </c>
      <c r="E3" s="2" t="inlineStr">
        <is>
          <t>Codes classifying the material class of a sample, planned or realized - soil, rock, grout, and so on. Used for the value of diggs:TargetSampleType/sampleMatrix (planned) and diggs:SampleType/sampleMatrix (as-built) so design and as-built share one vocabulary for the same concept. The soil/rock distinction matters at planning time even where the eventual matrix is uncertain: a design targeting a not-yet-drilled location may know only that the recovered material will be one or the other.</t>
        </is>
      </c>
    </row>
    <row r="4" ht="17" customHeight="1">
      <c r="A4" s="2" t="n"/>
      <c r="B4" s="2" t="n"/>
      <c r="D4" s="2" t="n"/>
      <c r="E4" s="2" t="inlineStr">
        <is>
          <t> 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soil</t>
        </is>
      </c>
      <c r="C2" s="13" t="inlineStr">
        <is>
          <t>Soil</t>
        </is>
      </c>
      <c r="D2" s="14" t="inlineStr">
        <is>
          <t>Unlithified or weakly cemented earth material.</t>
        </is>
      </c>
      <c r="E2" s="13" t="inlineStr">
        <is>
          <t>string</t>
        </is>
      </c>
      <c r="F2" s="13" t="n"/>
      <c r="G2" s="9" t="inlineStr">
        <is>
          <t>DIGGS</t>
        </is>
      </c>
    </row>
    <row r="3">
      <c r="A3" s="2">
        <f>IF(ISNA(VLOOKUP(B3,AssociatedElements!B$2:B2941,1,FALSE)),"Not used","")</f>
        <v/>
      </c>
      <c r="B3" s="13" t="inlineStr">
        <is>
          <t>rock</t>
        </is>
      </c>
      <c r="C3" s="13" t="inlineStr">
        <is>
          <t>Rock</t>
        </is>
      </c>
      <c r="D3" s="14" t="inlineStr">
        <is>
          <t>Lithified or strongly cemented earth material.</t>
        </is>
      </c>
      <c r="E3" s="13" t="inlineStr">
        <is>
          <t>string</t>
        </is>
      </c>
      <c r="F3" s="13" t="n"/>
      <c r="G3" s="9" t="inlineStr">
        <is>
          <t>DIGGS</t>
        </is>
      </c>
    </row>
    <row r="4">
      <c r="A4" s="2">
        <f>IF(ISNA(VLOOKUP(B4,AssociatedElements!B$2:B2942,1,FALSE)),"Not used","")</f>
        <v/>
      </c>
      <c r="B4" t="inlineStr">
        <is>
          <t>groundwater</t>
        </is>
      </c>
      <c r="C4" t="inlineStr">
        <is>
          <t>Groundwater</t>
        </is>
      </c>
      <c r="D4" t="inlineStr">
        <is>
          <t>Water sampled from a well, piezometer, or standpipe.</t>
        </is>
      </c>
      <c r="E4" t="inlineStr">
        <is>
          <t>string</t>
        </is>
      </c>
      <c r="G4" s="9" t="inlineStr">
        <is>
          <t>DIGGS</t>
        </is>
      </c>
    </row>
    <row r="5">
      <c r="A5" s="2">
        <f>IF(ISNA(VLOOKUP(B5,AssociatedElements!B$2:B2943,1,FALSE)),"Not used","")</f>
        <v/>
      </c>
      <c r="B5" s="13" t="inlineStr">
        <is>
          <t>grout</t>
        </is>
      </c>
      <c r="C5" s="13" t="inlineStr">
        <is>
          <t>Grout</t>
        </is>
      </c>
      <c r="D5" s="14" t="inlineStr">
        <is>
          <t>Cementitious or chemical grout, fresh or cured.</t>
        </is>
      </c>
      <c r="E5" s="13" t="inlineStr">
        <is>
          <t>string</t>
        </is>
      </c>
      <c r="F5" s="13" t="n"/>
      <c r="G5" s="9" t="inlineStr">
        <is>
          <t>DIGGS</t>
        </is>
      </c>
    </row>
    <row r="6">
      <c r="A6" s="2">
        <f>IF(ISNA(VLOOKUP(B6,AssociatedElements!B$2:B2944,1,FALSE)),"Not used","")</f>
        <v/>
      </c>
      <c r="B6" t="inlineStr">
        <is>
          <t>concrete</t>
        </is>
      </c>
      <c r="C6" s="16" t="inlineStr">
        <is>
          <t>Concrete</t>
        </is>
      </c>
      <c r="D6" s="16" t="inlineStr">
        <is>
          <t>Cast or placed concrete, fresh or cured.</t>
        </is>
      </c>
      <c r="E6" s="17" t="inlineStr">
        <is>
          <t>string</t>
        </is>
      </c>
      <c r="G6" s="9" t="inlineStr">
        <is>
          <t>DIGGS</t>
        </is>
      </c>
    </row>
    <row r="7">
      <c r="A7" s="2">
        <f>IF(ISNA(VLOOKUP(B7,AssociatedElements!B$2:B2945,1,FALSE)),"Not used","")</f>
        <v/>
      </c>
      <c r="B7" t="inlineStr">
        <is>
          <t>fill</t>
        </is>
      </c>
      <c r="C7" t="inlineStr">
        <is>
          <t>Fill</t>
        </is>
      </c>
      <c r="D7" t="inlineStr">
        <is>
          <t>Placed or engineered fill material, as distinct from natural soil.</t>
        </is>
      </c>
      <c r="E7" t="inlineStr">
        <is>
          <t>string</t>
        </is>
      </c>
      <c r="G7" s="9" t="inlineStr">
        <is>
          <t>DIGGS</t>
        </is>
      </c>
    </row>
    <row r="8">
      <c r="A8" s="2">
        <f>IF(ISNA(VLOOKUP(B8,AssociatedElements!B$2:B2946,1,FALSE)),"Not used","")</f>
        <v/>
      </c>
      <c r="B8" t="inlineStr">
        <is>
          <t>other</t>
        </is>
      </c>
      <c r="C8" t="inlineStr">
        <is>
          <t>Other</t>
        </is>
      </c>
      <c r="D8" t="inlineStr">
        <is>
          <t>A matrix not covered by the listed terms; state the specific material in otherProperty or a project-specific codeSpace.</t>
        </is>
      </c>
      <c r="E8" t="inlineStr">
        <is>
          <t>string</t>
        </is>
      </c>
      <c r="G8" s="9" t="inlineStr">
        <is>
          <t>DIGGS</t>
        </is>
      </c>
    </row>
    <row r="9">
      <c r="A9" s="2">
        <f>IF(ISNA(VLOOKUP(B9,AssociatedElements!B$2:B2947,1,FALSE)),"Not used","")</f>
        <v/>
      </c>
      <c r="C9" s="16" t="n"/>
      <c r="D9" s="16" t="n"/>
      <c r="E9" s="17" t="n"/>
      <c r="G9" s="9" t="n"/>
    </row>
    <row r="10">
      <c r="A10" s="2">
        <f>IF(ISNA(VLOOKUP(B10,AssociatedElements!B$2:B2948,1,FALSE)),"Not used","")</f>
        <v/>
      </c>
      <c r="B10" s="13" t="n"/>
      <c r="C10" s="13" t="n"/>
      <c r="D10" s="14" t="n"/>
      <c r="E10" s="13" t="n"/>
      <c r="F10" s="13" t="n"/>
      <c r="G10" s="9" t="n"/>
    </row>
    <row r="11">
      <c r="A11" s="2">
        <f>IF(ISNA(VLOOKUP(B11,AssociatedElements!B$2:B2949,1,FALSE)),"Not used","")</f>
        <v/>
      </c>
      <c r="B11" s="13" t="n"/>
      <c r="C11" s="13" t="n"/>
      <c r="D11" s="14" t="n"/>
      <c r="E11" s="13" t="n"/>
      <c r="F11" s="13" t="n"/>
      <c r="G11" s="9" t="n"/>
    </row>
    <row r="12">
      <c r="A12" s="2">
        <f>IF(ISNA(VLOOKUP(B12,AssociatedElements!B$2:B2950,1,FALSE)),"Not used","")</f>
        <v/>
      </c>
      <c r="B12" s="13" t="n"/>
      <c r="C12" s="13" t="n"/>
      <c r="D12" s="14" t="n"/>
      <c r="E12" s="13" t="n"/>
      <c r="F12" s="13" t="n"/>
      <c r="G12" s="9" t="n"/>
    </row>
    <row r="13">
      <c r="A13" s="2">
        <f>IF(ISNA(VLOOKUP(B13,AssociatedElements!B$2:B2951,1,FALSE)),"Not used","")</f>
        <v/>
      </c>
      <c r="B13" s="13" t="n"/>
      <c r="C13" s="13" t="n"/>
      <c r="D13" s="14" t="n"/>
      <c r="E13" s="13" t="n"/>
      <c r="F13" s="13" t="n"/>
      <c r="G13" s="9" t="n"/>
    </row>
    <row r="14">
      <c r="A14" s="2">
        <f>IF(ISNA(VLOOKUP(B14,AssociatedElements!B$2:B2952,1,FALSE)),"Not used","")</f>
        <v/>
      </c>
      <c r="B14" s="13" t="n"/>
      <c r="C14" s="13" t="n"/>
      <c r="D14" s="14" t="n"/>
      <c r="E14" s="13" t="n"/>
      <c r="F14" s="13" t="n"/>
      <c r="G14" s="9" t="n"/>
    </row>
    <row r="15">
      <c r="A15" s="2">
        <f>IF(ISNA(VLOOKUP(B15,AssociatedElements!B$2:B2953,1,FALSE)),"Not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IF(ISNA(VLOOKUP(B16,AssociatedElements!B$2:B2954,1,FALSE)),"Not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IF(ISNA(VLOOKUP(B17,AssociatedElements!B$2:B2955,1,FALSE)),"Not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IF(ISNA(VLOOKUP(B18,AssociatedElements!B$2:B2956,1,FALSE)),"Not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soil</t>
        </is>
      </c>
      <c r="C2" t="inlineStr">
        <is>
          <t>//diggs:TargetSample/diggs:sampleMatrix</t>
        </is>
      </c>
    </row>
    <row r="3">
      <c r="A3">
        <f>IF(ISNA(VLOOKUP(B3,Definitions!B$2:B$1839,1,FALSE)),"Not listed","")</f>
        <v/>
      </c>
      <c r="B3" s="20" t="inlineStr">
        <is>
          <t>soil</t>
        </is>
      </c>
      <c r="C3" t="inlineStr">
        <is>
          <t>//diggs:Sample/diggs:sampleMatrix</t>
        </is>
      </c>
    </row>
    <row r="4">
      <c r="A4">
        <f>IF(ISNA(VLOOKUP(B4,Definitions!B$2:B$1839,1,FALSE)),"Not listed","")</f>
        <v/>
      </c>
      <c r="B4" s="2" t="inlineStr">
        <is>
          <t>rock</t>
        </is>
      </c>
      <c r="C4" t="inlineStr">
        <is>
          <t>//diggs:TargetSample/diggs:sampleMatrix</t>
        </is>
      </c>
    </row>
    <row r="5">
      <c r="A5">
        <f>IF(ISNA(VLOOKUP(B5,Definitions!B$2:B$1839,1,FALSE)),"Not listed","")</f>
        <v/>
      </c>
      <c r="B5" s="2" t="inlineStr">
        <is>
          <t>rock</t>
        </is>
      </c>
      <c r="C5" t="inlineStr">
        <is>
          <t>//diggs:Sample/diggs:sampleMatrix</t>
        </is>
      </c>
    </row>
    <row r="6">
      <c r="A6">
        <f>IF(ISNA(VLOOKUP(B6,Definitions!B$2:B$1839,1,FALSE)),"Not listed","")</f>
        <v/>
      </c>
      <c r="B6" s="2" t="inlineStr">
        <is>
          <t>groundwater</t>
        </is>
      </c>
      <c r="C6" t="inlineStr">
        <is>
          <t>//diggs:TargetSample/diggs:sampleMatrix</t>
        </is>
      </c>
    </row>
    <row r="7">
      <c r="A7">
        <f>IF(ISNA(VLOOKUP(B7,Definitions!B$2:B$1839,1,FALSE)),"Not listed","")</f>
        <v/>
      </c>
      <c r="B7" s="2" t="inlineStr">
        <is>
          <t>groundwater</t>
        </is>
      </c>
      <c r="C7" t="inlineStr">
        <is>
          <t>//diggs:Sample/diggs:sampleMatrix</t>
        </is>
      </c>
    </row>
    <row r="8">
      <c r="A8">
        <f>IF(ISNA(VLOOKUP(B8,Definitions!B$2:B$1839,1,FALSE)),"Not listed","")</f>
        <v/>
      </c>
      <c r="B8" s="2" t="inlineStr">
        <is>
          <t>grout</t>
        </is>
      </c>
      <c r="C8" t="inlineStr">
        <is>
          <t>//diggs:TargetSample/diggs:sampleMatrix</t>
        </is>
      </c>
    </row>
    <row r="9">
      <c r="A9">
        <f>IF(ISNA(VLOOKUP(B9,Definitions!B$2:B$1839,1,FALSE)),"Not listed","")</f>
        <v/>
      </c>
      <c r="B9" s="2" t="inlineStr">
        <is>
          <t>grout</t>
        </is>
      </c>
      <c r="C9" t="inlineStr">
        <is>
          <t>//diggs:Sample/diggs:sampleMatrix</t>
        </is>
      </c>
    </row>
    <row r="10">
      <c r="A10">
        <f>IF(ISNA(VLOOKUP(B10,Definitions!B$2:B$1839,1,FALSE)),"Not listed","")</f>
        <v/>
      </c>
      <c r="B10" s="20" t="inlineStr">
        <is>
          <t>concrete</t>
        </is>
      </c>
      <c r="C10" t="inlineStr">
        <is>
          <t>//diggs:TargetSample/diggs:sampleMatrix</t>
        </is>
      </c>
    </row>
    <row r="11">
      <c r="A11">
        <f>IF(ISNA(VLOOKUP(B11,Definitions!B$2:B$1839,1,FALSE)),"Not listed","")</f>
        <v/>
      </c>
      <c r="B11" s="20" t="inlineStr">
        <is>
          <t>concrete</t>
        </is>
      </c>
      <c r="C11" t="inlineStr">
        <is>
          <t>//diggs:Sample/diggs:sampleMatrix</t>
        </is>
      </c>
    </row>
    <row r="12">
      <c r="A12">
        <f>IF(ISNA(VLOOKUP(B12,Definitions!B$2:B$1839,1,FALSE)),"Not listed","")</f>
        <v/>
      </c>
      <c r="B12" s="20" t="inlineStr">
        <is>
          <t>fill</t>
        </is>
      </c>
      <c r="C12" t="inlineStr">
        <is>
          <t>//diggs:TargetSample/diggs:sampleMatrix</t>
        </is>
      </c>
    </row>
    <row r="13">
      <c r="A13">
        <f>IF(ISNA(VLOOKUP(B13,Definitions!B$2:B$1839,1,FALSE)),"Not listed","")</f>
        <v/>
      </c>
      <c r="B13" s="20" t="inlineStr">
        <is>
          <t>fill</t>
        </is>
      </c>
      <c r="C13" t="inlineStr">
        <is>
          <t>//diggs:Sample/diggs:sampleMatrix</t>
        </is>
      </c>
    </row>
    <row r="14">
      <c r="A14">
        <f>IF(ISNA(VLOOKUP(B14,Definitions!B$2:B$1839,1,FALSE)),"Not listed","")</f>
        <v/>
      </c>
      <c r="B14" s="20" t="inlineStr">
        <is>
          <t>other</t>
        </is>
      </c>
      <c r="C14" t="inlineStr">
        <is>
          <t>//diggs:TargetSample/diggs:sampleMatrix</t>
        </is>
      </c>
    </row>
    <row r="15">
      <c r="A15">
        <f>IF(ISNA(VLOOKUP(B15,Definitions!B$2:B$1839,1,FALSE)),"Not listed","")</f>
        <v/>
      </c>
      <c r="B15" s="2" t="inlineStr">
        <is>
          <t>other</t>
        </is>
      </c>
      <c r="C15" t="inlineStr">
        <is>
          <t>//diggs:Sample/diggs:sampleMatrix</t>
        </is>
      </c>
    </row>
    <row r="16">
      <c r="A16">
        <f>IF(ISNA(VLOOKUP(B16,Definitions!B$2:B$1839,1,FALSE)),"Not listed","")</f>
        <v/>
      </c>
      <c r="B16" s="2" t="n"/>
    </row>
    <row r="17">
      <c r="A17">
        <f>IF(ISNA(VLOOKUP(B17,Definitions!B$2:B$1839,1,FALSE)),"Not listed","")</f>
        <v/>
      </c>
      <c r="B17" s="2" t="n"/>
    </row>
    <row r="18">
      <c r="A18">
        <f>IF(ISNA(VLOOKUP(B18,Definitions!B$2:B$1839,1,FALSE)),"Not listed","")</f>
        <v/>
      </c>
      <c r="B18" s="2" t="n"/>
    </row>
    <row r="19">
      <c r="A19">
        <f>IF(ISNA(VLOOKUP(B19,Definitions!B$2:B$1839,1,FALSE)),"Not listed","")</f>
        <v/>
      </c>
      <c r="B19" s="20" t="n"/>
    </row>
    <row r="20">
      <c r="A20">
        <f>IF(ISNA(VLOOKUP(B20,Definitions!B$2:B$1839,1,FALSE)),"Not listed","")</f>
        <v/>
      </c>
      <c r="B20" s="20" t="n"/>
    </row>
    <row r="21">
      <c r="A21">
        <f>IF(ISNA(VLOOKUP(B21,Definitions!B$2:B$1839,1,FALSE)),"Not listed","")</f>
        <v/>
      </c>
      <c r="B21" s="20" t="n"/>
    </row>
    <row r="22">
      <c r="A22">
        <f>IF(ISNA(VLOOKUP(B22,Definitions!B$2:B$1839,1,FALSE)),"Not listed","")</f>
        <v/>
      </c>
      <c r="B22" s="20" t="n"/>
    </row>
    <row r="23">
      <c r="A23">
        <f>IF(ISNA(VLOOKUP(B23,Definitions!B$2:B$1839,1,FALSE)),"Not listed","")</f>
        <v/>
      </c>
      <c r="B23" s="20" t="n"/>
    </row>
    <row r="24">
      <c r="A24">
        <f>IF(ISNA(VLOOKUP(B24,Definitions!B$2:B$1839,1,FALSE)),"Not listed","")</f>
        <v/>
      </c>
      <c r="B24" s="2" t="n"/>
    </row>
    <row r="25">
      <c r="A25">
        <f>IF(ISNA(VLOOKUP(B25,Definitions!B$2:B$1839,1,FALSE)),"Not listed","")</f>
        <v/>
      </c>
      <c r="B25" s="2" t="n"/>
    </row>
    <row r="26">
      <c r="A26">
        <f>IF(ISNA(VLOOKUP(B26,Definitions!B$2:B$1839,1,FALSE)),"Not listed","")</f>
        <v/>
      </c>
      <c r="B26" s="2" t="n"/>
    </row>
    <row r="27">
      <c r="A27">
        <f>IF(ISNA(VLOOKUP(B27,Definitions!B$2:B$1839,1,FALSE)),"Not listed","")</f>
        <v/>
      </c>
      <c r="B27" s="13" t="n"/>
    </row>
    <row r="28">
      <c r="A28">
        <f>IF(ISNA(VLOOKUP(B28,Definitions!B$2:B$1839,1,FALSE)),"Not listed","")</f>
        <v/>
      </c>
      <c r="B28" s="13" t="n"/>
    </row>
    <row r="29">
      <c r="A29">
        <f>IF(ISNA(VLOOKUP(B29,Definitions!B$2:B$1839,1,FALSE)),"Not listed","")</f>
        <v/>
      </c>
      <c r="B29" s="13" t="n"/>
    </row>
    <row r="30">
      <c r="A30">
        <f>IF(ISNA(VLOOKUP(B30,Definitions!B$2:B$1839,1,FALSE)),"Not listed","")</f>
        <v/>
      </c>
      <c r="B30" s="13" t="n"/>
    </row>
    <row r="31">
      <c r="A31">
        <f>IF(ISNA(VLOOKUP(B31,Definitions!B$2:B$1839,1,FALSE)),"Not listed","")</f>
        <v/>
      </c>
      <c r="B31" s="13" t="n"/>
    </row>
    <row r="32">
      <c r="A32">
        <f>IF(ISNA(VLOOKUP(B32,Definitions!B$2:B$1839,1,FALSE)),"Not listed","")</f>
        <v/>
      </c>
      <c r="B32" s="13" t="n"/>
    </row>
    <row r="33">
      <c r="A33">
        <f>IF(ISNA(VLOOKUP(B33,Definitions!B$2:B$1839,1,FALSE)),"Not listed","")</f>
        <v/>
      </c>
      <c r="B33" s="13" t="n"/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B2" t="inlineStr">
        <is>
          <t>LFS</t>
        </is>
      </c>
      <c r="C2" s="3" t="inlineStr">
        <is>
          <t>An alternate name for the definition code given in ID</t>
        </is>
      </c>
      <c r="D2" t="inlineStr">
        <is>
          <t>A URI to provide context for the name. Typically this might identify an authority, a language. a dictionary, or some other metadata value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2026-08-19T00:13:56Z</dcterms:modified>
  <cp:lastModifiedBy>Ponti, Daniel J</cp:lastModifiedBy>
</cp:coreProperties>
</file>