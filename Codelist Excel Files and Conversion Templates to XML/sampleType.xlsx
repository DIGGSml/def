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type</t>
        </is>
      </c>
      <c r="C3" s="12" t="inlineStr">
        <is>
          <t>sampleType</t>
        </is>
      </c>
      <c r="D3" s="12" t="inlineStr">
        <is>
          <t>DIGGS Sample Type</t>
        </is>
      </c>
      <c r="E3" s="2" t="inlineStr">
        <is>
          <t>Controlled vocabulary for diggs:SampleType/type, describing sample form only - the physical means by which a material sample was obtained (tube, drive, core, bulk, block, or fluid/gas extraction technique). Deliberately excludes sample class, sampler brand, insertion method, condition and purpose, each already modeled as its own diggs:Sample property (classification, samplerInsertionMethod, condition, purpose) or, for proprietary sampler brands, as an AlternateNames synonym on the relevant term here rather than a first-class code. Anchored on ISO 22475-1:2021 and the AGS4.2 SAMP_TYPE vocabulary rather than ASTM designations, since ASTM's sampling-practice family (D1587, D3550, D2113, D4220) has been withdrawn wholesale with no ASTM replacement named; an ASTM designation is cited as a secondary anchor only where one still stands. Not bound to diggs:DesignSampleType - that type deliberately has no type-equivalent property (see its own documentation in core/Core.xsd), so this vocabulary serves the as-built diggs:Sample object only.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open_tube</t>
        </is>
      </c>
      <c r="C2" s="13" t="inlineStr">
        <is>
          <t>Open-tube (open-drive) sample</t>
        </is>
      </c>
      <c r="D2" s="14" t="inlineStr">
        <is>
          <t>Thin- or thick-walled tube sample recovered by static or dynamic push without a separating piston.</t>
        </is>
      </c>
      <c r="E2" s="13" t="inlineStr">
        <is>
          <t>string</t>
        </is>
      </c>
      <c r="F2" s="13" t="n"/>
      <c r="G2" s="9" t="inlineStr">
        <is>
          <t>ISO 22475-1</t>
        </is>
      </c>
      <c r="H2" t="inlineStr">
        <is>
          <t>https://www.iso.org/standard/71002.html</t>
        </is>
      </c>
    </row>
    <row r="3">
      <c r="A3" s="2">
        <f>IF(ISNA(VLOOKUP(B3,AssociatedElements!B$2:B2941,1,FALSE)),"Not used","")</f>
        <v/>
      </c>
      <c r="B3" s="13" t="inlineStr">
        <is>
          <t>thin_walled_tube</t>
        </is>
      </c>
      <c r="C3" s="13" t="inlineStr">
        <is>
          <t>Thin-walled (Shelby) tube sample</t>
        </is>
      </c>
      <c r="D3" s="14" t="inlineStr">
        <is>
          <t>Open-tube sample using a thin-walled tube meeting ISO 22475-1's edge-taper, area-ratio and inside-clearance-ratio criteria for minimal soil disturbance.</t>
        </is>
      </c>
      <c r="E3" s="13" t="inlineStr">
        <is>
          <t>string</t>
        </is>
      </c>
      <c r="F3" s="13" t="n"/>
      <c r="G3" s="9" t="inlineStr">
        <is>
          <t>ASTM D1587/D1587M</t>
        </is>
      </c>
      <c r="H3" t="inlineStr">
        <is>
          <t>https://store.astm.org/d1587_d1587m-15.html</t>
        </is>
      </c>
    </row>
    <row r="4">
      <c r="A4" s="2">
        <f>IF(ISNA(VLOOKUP(B4,AssociatedElements!B$2:B2942,1,FALSE)),"Not used","")</f>
        <v/>
      </c>
      <c r="B4" t="inlineStr">
        <is>
          <t>piston</t>
        </is>
      </c>
      <c r="C4" t="inlineStr">
        <is>
          <t>Stationary-piston tube sample</t>
        </is>
      </c>
      <c r="D4" t="inlineStr">
        <is>
          <t>Thin-walled tube sample taken with an internal piston held stationary at the sampling depth to reduce disturbance and improve recovery in soft or sensitive soils.</t>
        </is>
      </c>
      <c r="E4" t="inlineStr">
        <is>
          <t>string</t>
        </is>
      </c>
      <c r="G4" s="9" t="inlineStr">
        <is>
          <t>ASTM D6519/D6519M</t>
        </is>
      </c>
      <c r="H4" t="inlineStr">
        <is>
          <t>https://store.astm.org/d6519_d6519m-23.html</t>
        </is>
      </c>
    </row>
    <row r="5">
      <c r="A5" s="2">
        <f>IF(ISNA(VLOOKUP(B5,AssociatedElements!B$2:B2943,1,FALSE)),"Not used","")</f>
        <v/>
      </c>
      <c r="B5" s="13" t="inlineStr">
        <is>
          <t>split_barrel</t>
        </is>
      </c>
      <c r="C5" s="13" t="inlineStr">
        <is>
          <t>Split-barrel (split-spoon) drive sample</t>
        </is>
      </c>
      <c r="D5" s="14" t="inlineStr">
        <is>
          <t>Disturbed sample recovered in a longitudinally split, driven barrel sampler, most commonly as part of the Standard Penetration Test.</t>
        </is>
      </c>
      <c r="E5" s="13" t="inlineStr">
        <is>
          <t>string</t>
        </is>
      </c>
      <c r="F5" s="13" t="n"/>
      <c r="G5" s="9" t="inlineStr">
        <is>
          <t>ASTM D1586/D1586M</t>
        </is>
      </c>
      <c r="H5" t="inlineStr">
        <is>
          <t>https://www.astm.org/standards/d1586</t>
        </is>
      </c>
    </row>
    <row r="6">
      <c r="A6" s="2">
        <f>IF(ISNA(VLOOKUP(B6,AssociatedElements!B$2:B2944,1,FALSE)),"Not used","")</f>
        <v/>
      </c>
      <c r="B6" t="inlineStr">
        <is>
          <t>split_barrel_liner</t>
        </is>
      </c>
      <c r="C6" s="16" t="inlineStr">
        <is>
          <t>Split-barrel sample retained in liner</t>
        </is>
      </c>
      <c r="D6" s="16" t="inlineStr">
        <is>
          <t>Split-barrel drive sample retained in a removable liner rather than extruded directly from the barrel.</t>
        </is>
      </c>
      <c r="E6" s="17" t="inlineStr">
        <is>
          <t>string</t>
        </is>
      </c>
      <c r="G6" s="9" t="inlineStr">
        <is>
          <t>ASTM D1586/D1586M</t>
        </is>
      </c>
      <c r="H6" t="inlineStr">
        <is>
          <t>https://www.astm.org/standards/d1586</t>
        </is>
      </c>
    </row>
    <row r="7">
      <c r="A7" s="2">
        <f>IF(ISNA(VLOOKUP(B7,AssociatedElements!B$2:B2945,1,FALSE)),"Not used","")</f>
        <v/>
      </c>
      <c r="B7" t="inlineStr">
        <is>
          <t>ring_lined_barrel</t>
        </is>
      </c>
      <c r="C7" t="inlineStr">
        <is>
          <t>Thick-wall ring-lined (California) sample</t>
        </is>
      </c>
      <c r="D7" t="inlineStr">
        <is>
          <t>Sample recovered in a thick-walled, driven barrel fitted with stacked internal retaining rings.</t>
        </is>
      </c>
      <c r="E7" t="inlineStr">
        <is>
          <t>string</t>
        </is>
      </c>
      <c r="G7" s="9" t="inlineStr">
        <is>
          <t>ASTM D3550/D3550M</t>
        </is>
      </c>
      <c r="H7" t="inlineStr">
        <is>
          <t>https://store.astm.org/d3550_d3550m-17.html</t>
        </is>
      </c>
    </row>
    <row r="8">
      <c r="A8" s="2">
        <f>IF(ISNA(VLOOKUP(B8,AssociatedElements!B$2:B2946,1,FALSE)),"Not used","")</f>
        <v/>
      </c>
      <c r="B8" t="inlineStr">
        <is>
          <t>window</t>
        </is>
      </c>
      <c r="C8" t="inlineStr">
        <is>
          <t>Window-sampler sample</t>
        </is>
      </c>
      <c r="D8" t="inlineStr">
        <is>
          <t>Sample recovered in the open mode (without liner) from a windowed sampler advanced by percussive or vibratory driving, typical of UK/European light cable-percussion practice.</t>
        </is>
      </c>
      <c r="E8" t="inlineStr">
        <is>
          <t>string</t>
        </is>
      </c>
      <c r="G8" s="9" t="inlineStr">
        <is>
          <t>ISO 22475-1</t>
        </is>
      </c>
      <c r="H8" t="inlineStr">
        <is>
          <t>https://www.iso.org/standard/71002.html</t>
        </is>
      </c>
    </row>
    <row r="9">
      <c r="A9" s="2">
        <f>IF(ISNA(VLOOKUP(B9,AssociatedElements!B$2:B2947,1,FALSE)),"Not used","")</f>
        <v/>
      </c>
      <c r="B9" t="inlineStr">
        <is>
          <t>windowless</t>
        </is>
      </c>
      <c r="C9" s="16" t="inlineStr">
        <is>
          <t>Windowless (dynamic liner) sample</t>
        </is>
      </c>
      <c r="D9" s="16" t="inlineStr">
        <is>
          <t>Sample recovered in a lined tube advanced by static or dynamic driving, without an open viewing window in the barrel wall.</t>
        </is>
      </c>
      <c r="E9" s="17" t="inlineStr">
        <is>
          <t>string</t>
        </is>
      </c>
      <c r="G9" s="9" t="inlineStr">
        <is>
          <t>ISO 22475-1</t>
        </is>
      </c>
      <c r="H9" t="inlineStr">
        <is>
          <t>https://www.iso.org/standard/71002.html</t>
        </is>
      </c>
    </row>
    <row r="10">
      <c r="A10" s="2">
        <f>IF(ISNA(VLOOKUP(B10,AssociatedElements!B$2:B2948,1,FALSE)),"Not used","")</f>
        <v/>
      </c>
      <c r="B10" s="13" t="inlineStr">
        <is>
          <t>triple_tube_soil</t>
        </is>
      </c>
      <c r="C10" s="13" t="inlineStr">
        <is>
          <t>Triple-tube soil core (Mazier-type)</t>
        </is>
      </c>
      <c r="D10" s="14" t="inlineStr">
        <is>
          <t>Continuous soil core recovered with a triple-tube core barrel, minimizing rotational disturbance to the retained liner.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bulk</t>
        </is>
      </c>
      <c r="C11" s="13" t="inlineStr">
        <is>
          <t>Bulk disturbed sample</t>
        </is>
      </c>
      <c r="D11" s="14" t="inlineStr">
        <is>
          <t>General disturbed sample of unspecified sampler or method, collected to represent the material at a location without preserving structure.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inlineStr">
        <is>
          <t>large_bulk</t>
        </is>
      </c>
      <c r="C12" s="13" t="inlineStr">
        <is>
          <t>Large bulk sample, earthworks testing</t>
        </is>
      </c>
      <c r="D12" s="14" t="inlineStr">
        <is>
          <t>Large-volume disturbed sample collected for earthworks or compaction-family testing requiring more material than a standard bulk sample.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IF(ISNA(VLOOKUP(B13,AssociatedElements!B$2:B2951,1,FALSE)),"Not used","")</f>
        <v/>
      </c>
      <c r="B13" s="13" t="inlineStr">
        <is>
          <t>small_disturbed</t>
        </is>
      </c>
      <c r="C13" s="13" t="inlineStr">
        <is>
          <t>Small disturbed (jar/bag) sample</t>
        </is>
      </c>
      <c r="D13" s="14" t="inlineStr">
        <is>
          <t>Small disturbed sample retained in a jar or bag, typically for moisture content or visual classification only.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IF(ISNA(VLOOKUP(B14,AssociatedElements!B$2:B2952,1,FALSE)),"Not used","")</f>
        <v/>
      </c>
      <c r="B14" s="13" t="inlineStr">
        <is>
          <t>grab</t>
        </is>
      </c>
      <c r="C14" s="13" t="inlineStr">
        <is>
          <t>Grab sample (bucket, spoil, stockpile)</t>
        </is>
      </c>
      <c r="D14" s="14" t="inlineStr">
        <is>
          <t>Sample taken by hand or bucket from spoil, cuttings, or a stockpile rather than from an undisturbed in-situ location.</t>
        </is>
      </c>
      <c r="E14" s="13" t="inlineStr">
        <is>
          <t>string</t>
        </is>
      </c>
      <c r="F14" s="13" t="n"/>
      <c r="G14" s="9" t="inlineStr">
        <is>
          <t>ISO 22475-1</t>
        </is>
      </c>
      <c r="H14" t="inlineStr">
        <is>
          <t>https://www.iso.org/standard/71002.html</t>
        </is>
      </c>
    </row>
    <row r="15">
      <c r="A15" s="2">
        <f>IF(ISNA(VLOOKUP(B15,AssociatedElements!B$2:B2953,1,FALSE)),"Not used","")</f>
        <v/>
      </c>
      <c r="B15" s="13" t="inlineStr">
        <is>
          <t>cuttings</t>
        </is>
      </c>
      <c r="C15" s="18" t="inlineStr">
        <is>
          <t>Drill cuttings / returns</t>
        </is>
      </c>
      <c r="D15" s="19" t="inlineStr">
        <is>
          <t>Material returned to the surface by the drilling process itself (flush return or auger flights) rather than by a dedicated sampler.</t>
        </is>
      </c>
      <c r="E15" s="18" t="inlineStr">
        <is>
          <t>string</t>
        </is>
      </c>
      <c r="F15" s="18" t="n"/>
      <c r="G15" s="9" t="inlineStr">
        <is>
          <t>ISO 22475-1</t>
        </is>
      </c>
      <c r="H15" t="inlineStr">
        <is>
          <t>https://www.iso.org/standard/71002.html</t>
        </is>
      </c>
    </row>
    <row r="16">
      <c r="A16" s="2">
        <f>IF(ISNA(VLOOKUP(B16,AssociatedElements!B$2:B2954,1,FALSE)),"Not used","")</f>
        <v/>
      </c>
      <c r="B16" s="13" t="inlineStr">
        <is>
          <t>block</t>
        </is>
      </c>
      <c r="C16" s="18" t="inlineStr">
        <is>
          <t>Block sample, hand-cut (cubical or cylindrical)</t>
        </is>
      </c>
      <c r="D16" s="19" t="inlineStr">
        <is>
          <t>Sample hand-cut from an excavation, trial pit, or natural exposure, preserving orientation and structure; typically the highest achievable quality class.</t>
        </is>
      </c>
      <c r="E16" s="18" t="inlineStr">
        <is>
          <t>string</t>
        </is>
      </c>
      <c r="F16" s="18" t="n"/>
      <c r="G16" s="9" t="inlineStr">
        <is>
          <t>ASTM D7015/D7015M</t>
        </is>
      </c>
      <c r="H16" t="inlineStr">
        <is>
          <t>https://store.astm.org/d7015_d7015m-18.html</t>
        </is>
      </c>
    </row>
    <row r="17">
      <c r="A17" s="2">
        <f>IF(ISNA(VLOOKUP(B17,AssociatedElements!B$2:B2955,1,FALSE)),"Not used","")</f>
        <v/>
      </c>
      <c r="B17" s="13" t="inlineStr">
        <is>
          <t>rotary_core</t>
        </is>
      </c>
      <c r="C17" s="18" t="inlineStr">
        <is>
          <t>Rotary core (single/double/triple tube)</t>
        </is>
      </c>
      <c r="D17" s="19" t="inlineStr">
        <is>
          <t>Rock or cohesive-soil core recovered by rotary drilling with a single-, double-, or triple-tube core barrel.</t>
        </is>
      </c>
      <c r="E17" s="18" t="inlineStr">
        <is>
          <t>string</t>
        </is>
      </c>
      <c r="F17" s="18" t="n"/>
      <c r="G17" s="9" t="inlineStr">
        <is>
          <t>ASTM D2113</t>
        </is>
      </c>
      <c r="H17" t="inlineStr">
        <is>
          <t>https://www.astm.org/standards/d2113</t>
        </is>
      </c>
    </row>
    <row r="18">
      <c r="A18" s="2">
        <f>IF(ISNA(VLOOKUP(B18,AssociatedElements!B$2:B2956,1,FALSE)),"Not used","")</f>
        <v/>
      </c>
      <c r="B18" s="13" t="inlineStr">
        <is>
          <t>wireline_core</t>
        </is>
      </c>
      <c r="C18" s="18" t="inlineStr">
        <is>
          <t>Wireline core</t>
        </is>
      </c>
      <c r="D18" s="19" t="inlineStr">
        <is>
          <t>Rotary core recovered through the drill string via a retrievable inner tube, without withdrawing the full drill string.</t>
        </is>
      </c>
      <c r="E18" s="18" t="inlineStr">
        <is>
          <t>string</t>
        </is>
      </c>
      <c r="F18" s="18" t="n"/>
      <c r="G18" s="9" t="inlineStr">
        <is>
          <t>ISO 22475-1</t>
        </is>
      </c>
      <c r="H18" t="inlineStr">
        <is>
          <t>https://www.iso.org/standard/71002.html</t>
        </is>
      </c>
    </row>
    <row r="19">
      <c r="A19" s="2">
        <f>IF(ISNA(VLOOKUP(B19,AssociatedElements!B$2:B2957,1,FALSE)),"Not used","")</f>
        <v/>
      </c>
      <c r="B19" s="13" t="inlineStr">
        <is>
          <t>dry_core</t>
        </is>
      </c>
      <c r="C19" s="18" t="inlineStr">
        <is>
          <t>Rotary dry core</t>
        </is>
      </c>
      <c r="D19" s="19" t="inlineStr">
        <is>
          <t>Rotary core recovered without circulating fluid or air flush.</t>
        </is>
      </c>
      <c r="E19" s="18" t="inlineStr">
        <is>
          <t>string</t>
        </is>
      </c>
      <c r="F19" s="18" t="n"/>
      <c r="G19" s="9" t="inlineStr">
        <is>
          <t>ISO 22475-1</t>
        </is>
      </c>
      <c r="H19" t="inlineStr">
        <is>
          <t>https://www.iso.org/standard/71002.html</t>
        </is>
      </c>
    </row>
    <row r="20">
      <c r="A20" s="2">
        <f>IF(ISNA(VLOOKUP(B20,AssociatedElements!B$2:B2958,1,FALSE)),"Not used","")</f>
        <v/>
      </c>
      <c r="B20" s="13" t="inlineStr">
        <is>
          <t>gravity_core</t>
        </is>
      </c>
      <c r="C20" s="18" t="inlineStr">
        <is>
          <t>Gravity core</t>
        </is>
      </c>
      <c r="D20" s="19" t="inlineStr">
        <is>
          <t>Marine or lacustrine sediment core recovered by free-fall penetration of a weighted corer.</t>
        </is>
      </c>
      <c r="E20" s="18" t="inlineStr">
        <is>
          <t>string</t>
        </is>
      </c>
      <c r="F20" s="18" t="n"/>
      <c r="G20" s="9" t="inlineStr">
        <is>
          <t>DIGGS</t>
        </is>
      </c>
    </row>
    <row r="21">
      <c r="A21" s="2">
        <f>IF(ISNA(VLOOKUP(B21,AssociatedElements!B$2:B2959,1,FALSE)),"Not used","")</f>
        <v/>
      </c>
      <c r="B21" s="13" t="inlineStr">
        <is>
          <t>vibrocore</t>
        </is>
      </c>
      <c r="C21" s="18" t="inlineStr">
        <is>
          <t>Vibrocore</t>
        </is>
      </c>
      <c r="D21" s="19" t="inlineStr">
        <is>
          <t>Marine or lacustrine sediment core recovered using a vibrating corer to advance the tube.</t>
        </is>
      </c>
      <c r="E21" s="18" t="inlineStr">
        <is>
          <t>string</t>
        </is>
      </c>
      <c r="F21" s="18" t="n"/>
      <c r="G21" s="9" t="inlineStr">
        <is>
          <t>DIGGS</t>
        </is>
      </c>
    </row>
    <row r="22">
      <c r="A22" s="2">
        <f>IF(ISNA(VLOOKUP(B22,AssociatedElements!B$2:B2960,1,FALSE)),"Not used","")</f>
        <v/>
      </c>
      <c r="B22" s="13" t="inlineStr">
        <is>
          <t>piston_core</t>
        </is>
      </c>
      <c r="C22" s="18" t="inlineStr">
        <is>
          <t>Marine piston core</t>
        </is>
      </c>
      <c r="D22" s="19" t="inlineStr">
        <is>
          <t>Marine sediment core recovered with a piston corer, using an internal piston to improve recovery and reduce disturbance at depth.</t>
        </is>
      </c>
      <c r="E22" s="18" t="inlineStr">
        <is>
          <t>string</t>
        </is>
      </c>
      <c r="F22" s="18" t="n"/>
      <c r="G22" s="9" t="inlineStr">
        <is>
          <t>DIGGS</t>
        </is>
      </c>
    </row>
    <row r="23">
      <c r="A23" s="2">
        <f>IF(ISNA(VLOOKUP(B23,AssociatedElements!B$2:B2961,1,FALSE)),"Not used","")</f>
        <v/>
      </c>
      <c r="B23" s="13" t="inlineStr">
        <is>
          <t>pumped</t>
        </is>
      </c>
      <c r="C23" s="18" t="inlineStr">
        <is>
          <t>Pumped water sample</t>
        </is>
      </c>
      <c r="D23" s="19" t="inlineStr">
        <is>
          <t>Groundwater sample extracted by pumping.</t>
        </is>
      </c>
      <c r="E23" s="18" t="inlineStr">
        <is>
          <t>string</t>
        </is>
      </c>
      <c r="F23" s="18" t="n"/>
      <c r="G23" s="9" t="inlineStr">
        <is>
          <t>ISO 22475-1</t>
        </is>
      </c>
      <c r="H23" t="inlineStr">
        <is>
          <t>https://www.iso.org/standard/71002.html</t>
        </is>
      </c>
    </row>
    <row r="24">
      <c r="A24" s="2">
        <f>IF(ISNA(VLOOKUP(B24,AssociatedElements!B$2:B2962,1,FALSE)),"Not used","")</f>
        <v/>
      </c>
      <c r="B24" t="inlineStr">
        <is>
          <t>discrete_sampler</t>
        </is>
      </c>
      <c r="C24" t="inlineStr">
        <is>
          <t>Discrete-depth water sampler / bailer</t>
        </is>
      </c>
      <c r="D24" s="16" t="inlineStr">
        <is>
          <t>Groundwater sample extracted from a specific depth using a discrete-interval sampler or bailer.</t>
        </is>
      </c>
      <c r="E24" t="inlineStr">
        <is>
          <t>string</t>
        </is>
      </c>
      <c r="G24" s="9" t="inlineStr">
        <is>
          <t>ISO 22475-1</t>
        </is>
      </c>
      <c r="H24" t="inlineStr">
        <is>
          <t>https://www.iso.org/standard/71002.html</t>
        </is>
      </c>
    </row>
    <row r="25">
      <c r="A25" s="2">
        <f>IF(ISNA(VLOOKUP(B25,AssociatedElements!B$2:B2963,1,FALSE)),"Not used","")</f>
        <v/>
      </c>
      <c r="B25" s="13" t="inlineStr">
        <is>
          <t>vacuum_bottle</t>
        </is>
      </c>
      <c r="C25" s="13" t="inlineStr">
        <is>
          <t>Vacuum-bottle water sample</t>
        </is>
      </c>
      <c r="D25" t="inlineStr">
        <is>
          <t>Groundwater sample extracted using a pre-evacuated vacuum bottle.</t>
        </is>
      </c>
      <c r="E25" s="13" t="inlineStr">
        <is>
          <t>string</t>
        </is>
      </c>
      <c r="F25" s="13" t="n"/>
      <c r="G25" s="9" t="inlineStr">
        <is>
          <t>ISO 22475-1</t>
        </is>
      </c>
      <c r="H25" t="inlineStr">
        <is>
          <t>https://www.iso.org/standard/71002.html</t>
        </is>
      </c>
    </row>
    <row r="26">
      <c r="A26" s="2">
        <f>IF(ISNA(VLOOKUP(B26,AssociatedElements!B$2:B2964,1,FALSE)),"Not used","")</f>
        <v/>
      </c>
      <c r="B26" s="13" t="inlineStr">
        <is>
          <t>water_sample</t>
        </is>
      </c>
      <c r="C26" s="13" t="inlineStr">
        <is>
          <t>Water sample, extraction method not recorded</t>
        </is>
      </c>
      <c r="D26" t="inlineStr">
        <is>
          <t>Groundwater or surface-water sample whose specific extraction technique (pumped, discrete sampler, or vacuum bottle) was not recorded; use one of the more specific water terms when the technique is known. Matches AGS4.2 codes W and EW, which do not distinguish extraction form.</t>
        </is>
      </c>
      <c r="E26" s="13" t="inlineStr">
        <is>
          <t>string</t>
        </is>
      </c>
      <c r="F26" s="13" t="n"/>
      <c r="G26" s="9" t="inlineStr">
        <is>
          <t>DIGGS</t>
        </is>
      </c>
    </row>
    <row r="27">
      <c r="A27" s="2">
        <f>IF(ISNA(VLOOKUP(B27,AssociatedElements!B$2:B2965,1,FALSE)),"Not used","")</f>
        <v/>
      </c>
      <c r="B27" s="13" t="inlineStr">
        <is>
          <t>soil_gas_active</t>
        </is>
      </c>
      <c r="C27" s="13" t="inlineStr">
        <is>
          <t>Active (pumped) soil-gas sample</t>
        </is>
      </c>
      <c r="D27" s="15" t="inlineStr">
        <is>
          <t>Soil-gas or vapor sample extracted by pumping a volume of gas from the vadose zone into a collection device.</t>
        </is>
      </c>
      <c r="E27" s="13" t="inlineStr">
        <is>
          <t>string</t>
        </is>
      </c>
      <c r="F27" s="13" t="n"/>
      <c r="G27" s="9" t="inlineStr">
        <is>
          <t>ASTM D7663</t>
        </is>
      </c>
      <c r="H27" t="inlineStr">
        <is>
          <t>https://store.astm.org/d7663-12r18e01.html</t>
        </is>
      </c>
    </row>
    <row r="28">
      <c r="A28" s="2">
        <f>IF(ISNA(VLOOKUP(B28,AssociatedElements!B$2:B2966,1,FALSE)),"Not used","")</f>
        <v/>
      </c>
      <c r="B28" s="13" t="inlineStr">
        <is>
          <t>soil_gas_passive</t>
        </is>
      </c>
      <c r="C28" s="13" t="inlineStr">
        <is>
          <t>Passive (sorbent) soil-gas sample</t>
        </is>
      </c>
      <c r="D28" s="14" t="inlineStr">
        <is>
          <t>Soil-gas or vapor sample collected by leaving a sorbent material in the ground to adsorb vapors over an exposure period.</t>
        </is>
      </c>
      <c r="E28" s="13" t="inlineStr">
        <is>
          <t>string</t>
        </is>
      </c>
      <c r="F28" s="13" t="n"/>
      <c r="G28" s="9" t="inlineStr">
        <is>
          <t>ASTM D7758</t>
        </is>
      </c>
      <c r="H28" t="inlineStr">
        <is>
          <t>https://store.astm.org/d7758-17.html</t>
        </is>
      </c>
    </row>
    <row r="29">
      <c r="A29" s="2">
        <f>IF(ISNA(VLOOKUP(B29,AssociatedElements!B$2:B2967,1,FALSE)),"Not used","")</f>
        <v/>
      </c>
      <c r="B29" s="13" t="inlineStr">
        <is>
          <t>gas_sample</t>
        </is>
      </c>
      <c r="C29" s="13" t="inlineStr">
        <is>
          <t>Gas/vapour sample, extraction method not recorded</t>
        </is>
      </c>
      <c r="D29" s="14" t="inlineStr">
        <is>
          <t>Gas or vapor sample whose specific extraction technique (active/pumped or passive/sorbent) was not recorded; use one of the more specific soil-gas terms when the technique is known. Matches AGS4.2 codes G and EV, which do not distinguish extraction form.</t>
        </is>
      </c>
      <c r="E29" s="13" t="inlineStr">
        <is>
          <t>string</t>
        </is>
      </c>
      <c r="F29" s="13" t="n"/>
      <c r="G29" s="9" t="inlineStr">
        <is>
          <t>DIGGS</t>
        </is>
      </c>
    </row>
    <row r="30">
      <c r="A30" s="2">
        <f>IF(ISNA(VLOOKUP(B30,AssociatedElements!B$2:B2968,1,FALSE)),"Not used","")</f>
        <v/>
      </c>
      <c r="B30" s="13" t="inlineStr">
        <is>
          <t>fresh_batch</t>
        </is>
      </c>
      <c r="C30" s="13" t="inlineStr">
        <is>
          <t>Sample of fresh, unset concrete or grout</t>
        </is>
      </c>
      <c r="D30" s="14" t="inlineStr">
        <is>
          <t>Sample taken from a fresh, unset batch of concrete, grout, or similar cementitious material prior to placement or curing.</t>
        </is>
      </c>
      <c r="E30" s="13" t="inlineStr">
        <is>
          <t>string</t>
        </is>
      </c>
      <c r="F30" s="13" t="n"/>
      <c r="G30" s="9" t="inlineStr">
        <is>
          <t>DIGGS</t>
        </is>
      </c>
    </row>
    <row r="31">
      <c r="A31" s="2">
        <f>IF(ISNA(VLOOKUP(B31,AssociatedElements!B$2:B2969,1,FALSE)),"Not used","")</f>
        <v/>
      </c>
      <c r="B31" s="13" t="inlineStr">
        <is>
          <t>cast_cube</t>
        </is>
      </c>
      <c r="C31" s="18" t="inlineStr">
        <is>
          <t>Cube cast in a mould</t>
        </is>
      </c>
      <c r="D31" s="19" t="inlineStr">
        <is>
          <t>Concrete or grout specimen cast to a cubical mould for curing and subsequent strength testing.</t>
        </is>
      </c>
      <c r="E31" s="18" t="inlineStr">
        <is>
          <t>string</t>
        </is>
      </c>
      <c r="F31" s="18" t="n"/>
      <c r="G31" s="9" t="inlineStr">
        <is>
          <t>DIGGS</t>
        </is>
      </c>
    </row>
    <row r="32">
      <c r="A32" s="2">
        <f>IF(ISNA(VLOOKUP(B32,AssociatedElements!B$2:B2970,1,FALSE)),"Not used","")</f>
        <v/>
      </c>
      <c r="B32" s="13" t="inlineStr">
        <is>
          <t>cast_cylinder</t>
        </is>
      </c>
      <c r="C32" s="18" t="inlineStr">
        <is>
          <t>Cylinder cast in a mould</t>
        </is>
      </c>
      <c r="D32" s="19" t="inlineStr">
        <is>
          <t>Concrete or grout specimen cast to a cylindrical mould for curing and subsequent strength testing.</t>
        </is>
      </c>
      <c r="E32" s="18" t="inlineStr">
        <is>
          <t>string</t>
        </is>
      </c>
      <c r="F32" s="18" t="n"/>
      <c r="G32" s="9" t="inlineStr">
        <is>
          <t>DIGGS</t>
        </is>
      </c>
    </row>
    <row r="33">
      <c r="A33" s="2">
        <f>IF(ISNA(VLOOKUP(B33,AssociatedElements!B$2:B2971,1,FALSE)),"Not used","")</f>
        <v/>
      </c>
      <c r="B33" s="13" t="inlineStr">
        <is>
          <t>hardened_core</t>
        </is>
      </c>
      <c r="C33" s="18" t="inlineStr">
        <is>
          <t>Core cut from hardened concrete or grout</t>
        </is>
      </c>
      <c r="D33" s="19" t="inlineStr">
        <is>
          <t>Core drilled from hardened, in-place concrete or grout.</t>
        </is>
      </c>
      <c r="E33" s="18" t="inlineStr">
        <is>
          <t>string</t>
        </is>
      </c>
      <c r="F33" s="18" t="n"/>
      <c r="G33" s="9" t="inlineStr">
        <is>
          <t>DIGGS</t>
        </is>
      </c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open_tube</t>
        </is>
      </c>
      <c r="C2" t="inlineStr">
        <is>
          <t>//diggs:Sample/diggs:type</t>
        </is>
      </c>
    </row>
    <row r="3">
      <c r="A3">
        <f>IF(ISNA(VLOOKUP(B3,Definitions!B$2:B$1839,1,FALSE)),"Not listed","")</f>
        <v/>
      </c>
      <c r="B3" s="20" t="inlineStr">
        <is>
          <t>thin_walled_tube</t>
        </is>
      </c>
      <c r="C3" t="inlineStr">
        <is>
          <t>//diggs:Sample/diggs:type</t>
        </is>
      </c>
    </row>
    <row r="4">
      <c r="A4">
        <f>IF(ISNA(VLOOKUP(B4,Definitions!B$2:B$1839,1,FALSE)),"Not listed","")</f>
        <v/>
      </c>
      <c r="B4" s="2" t="inlineStr">
        <is>
          <t>piston</t>
        </is>
      </c>
      <c r="C4" t="inlineStr">
        <is>
          <t>//diggs:Sample/diggs:type</t>
        </is>
      </c>
    </row>
    <row r="5">
      <c r="A5">
        <f>IF(ISNA(VLOOKUP(B5,Definitions!B$2:B$1839,1,FALSE)),"Not listed","")</f>
        <v/>
      </c>
      <c r="B5" s="2" t="inlineStr">
        <is>
          <t>split_barrel</t>
        </is>
      </c>
      <c r="C5" t="inlineStr">
        <is>
          <t>//diggs:Sample/diggs:type</t>
        </is>
      </c>
    </row>
    <row r="6">
      <c r="A6">
        <f>IF(ISNA(VLOOKUP(B6,Definitions!B$2:B$1839,1,FALSE)),"Not listed","")</f>
        <v/>
      </c>
      <c r="B6" s="2" t="inlineStr">
        <is>
          <t>split_barrel_liner</t>
        </is>
      </c>
      <c r="C6" t="inlineStr">
        <is>
          <t>//diggs:Sample/diggs:type</t>
        </is>
      </c>
    </row>
    <row r="7">
      <c r="A7">
        <f>IF(ISNA(VLOOKUP(B7,Definitions!B$2:B$1839,1,FALSE)),"Not listed","")</f>
        <v/>
      </c>
      <c r="B7" s="2" t="inlineStr">
        <is>
          <t>ring_lined_barrel</t>
        </is>
      </c>
      <c r="C7" t="inlineStr">
        <is>
          <t>//diggs:Sample/diggs:type</t>
        </is>
      </c>
    </row>
    <row r="8">
      <c r="A8">
        <f>IF(ISNA(VLOOKUP(B8,Definitions!B$2:B$1839,1,FALSE)),"Not listed","")</f>
        <v/>
      </c>
      <c r="B8" s="2" t="inlineStr">
        <is>
          <t>window</t>
        </is>
      </c>
      <c r="C8" t="inlineStr">
        <is>
          <t>//diggs:Sample/diggs:type</t>
        </is>
      </c>
    </row>
    <row r="9">
      <c r="A9">
        <f>IF(ISNA(VLOOKUP(B9,Definitions!B$2:B$1839,1,FALSE)),"Not listed","")</f>
        <v/>
      </c>
      <c r="B9" s="2" t="inlineStr">
        <is>
          <t>windowless</t>
        </is>
      </c>
      <c r="C9" t="inlineStr">
        <is>
          <t>//diggs:Sample/diggs:type</t>
        </is>
      </c>
    </row>
    <row r="10">
      <c r="A10">
        <f>IF(ISNA(VLOOKUP(B10,Definitions!B$2:B$1839,1,FALSE)),"Not listed","")</f>
        <v/>
      </c>
      <c r="B10" s="20" t="inlineStr">
        <is>
          <t>triple_tube_soil</t>
        </is>
      </c>
      <c r="C10" t="inlineStr">
        <is>
          <t>//diggs:Sample/diggs:type</t>
        </is>
      </c>
    </row>
    <row r="11">
      <c r="A11">
        <f>IF(ISNA(VLOOKUP(B11,Definitions!B$2:B$1839,1,FALSE)),"Not listed","")</f>
        <v/>
      </c>
      <c r="B11" s="20" t="inlineStr">
        <is>
          <t>bulk</t>
        </is>
      </c>
      <c r="C11" t="inlineStr">
        <is>
          <t>//diggs:Sample/diggs:type</t>
        </is>
      </c>
    </row>
    <row r="12">
      <c r="A12">
        <f>IF(ISNA(VLOOKUP(B12,Definitions!B$2:B$1839,1,FALSE)),"Not listed","")</f>
        <v/>
      </c>
      <c r="B12" s="20" t="inlineStr">
        <is>
          <t>large_bulk</t>
        </is>
      </c>
      <c r="C12" t="inlineStr">
        <is>
          <t>//diggs:Sample/diggs:type</t>
        </is>
      </c>
    </row>
    <row r="13">
      <c r="A13">
        <f>IF(ISNA(VLOOKUP(B13,Definitions!B$2:B$1839,1,FALSE)),"Not listed","")</f>
        <v/>
      </c>
      <c r="B13" s="20" t="inlineStr">
        <is>
          <t>small_disturbed</t>
        </is>
      </c>
      <c r="C13" t="inlineStr">
        <is>
          <t>//diggs:Sample/diggs:type</t>
        </is>
      </c>
    </row>
    <row r="14">
      <c r="A14">
        <f>IF(ISNA(VLOOKUP(B14,Definitions!B$2:B$1839,1,FALSE)),"Not listed","")</f>
        <v/>
      </c>
      <c r="B14" s="20" t="inlineStr">
        <is>
          <t>grab</t>
        </is>
      </c>
      <c r="C14" t="inlineStr">
        <is>
          <t>//diggs:Sample/diggs:type</t>
        </is>
      </c>
    </row>
    <row r="15">
      <c r="A15">
        <f>IF(ISNA(VLOOKUP(B15,Definitions!B$2:B$1839,1,FALSE)),"Not listed","")</f>
        <v/>
      </c>
      <c r="B15" s="2" t="inlineStr">
        <is>
          <t>cuttings</t>
        </is>
      </c>
      <c r="C15" t="inlineStr">
        <is>
          <t>//diggs:Sample/diggs:type</t>
        </is>
      </c>
    </row>
    <row r="16">
      <c r="A16">
        <f>IF(ISNA(VLOOKUP(B16,Definitions!B$2:B$1839,1,FALSE)),"Not listed","")</f>
        <v/>
      </c>
      <c r="B16" s="2" t="inlineStr">
        <is>
          <t>block</t>
        </is>
      </c>
      <c r="C16" t="inlineStr">
        <is>
          <t>//diggs:Sample/diggs:type</t>
        </is>
      </c>
    </row>
    <row r="17">
      <c r="A17">
        <f>IF(ISNA(VLOOKUP(B17,Definitions!B$2:B$1839,1,FALSE)),"Not listed","")</f>
        <v/>
      </c>
      <c r="B17" s="2" t="inlineStr">
        <is>
          <t>rotary_core</t>
        </is>
      </c>
      <c r="C17" t="inlineStr">
        <is>
          <t>//diggs:Sample/diggs:type</t>
        </is>
      </c>
    </row>
    <row r="18">
      <c r="A18">
        <f>IF(ISNA(VLOOKUP(B18,Definitions!B$2:B$1839,1,FALSE)),"Not listed","")</f>
        <v/>
      </c>
      <c r="B18" s="2" t="inlineStr">
        <is>
          <t>wireline_core</t>
        </is>
      </c>
      <c r="C18" t="inlineStr">
        <is>
          <t>//diggs:Sample/diggs:type</t>
        </is>
      </c>
    </row>
    <row r="19">
      <c r="A19">
        <f>IF(ISNA(VLOOKUP(B19,Definitions!B$2:B$1839,1,FALSE)),"Not listed","")</f>
        <v/>
      </c>
      <c r="B19" s="20" t="inlineStr">
        <is>
          <t>dry_core</t>
        </is>
      </c>
      <c r="C19" t="inlineStr">
        <is>
          <t>//diggs:Sample/diggs:type</t>
        </is>
      </c>
    </row>
    <row r="20">
      <c r="A20">
        <f>IF(ISNA(VLOOKUP(B20,Definitions!B$2:B$1839,1,FALSE)),"Not listed","")</f>
        <v/>
      </c>
      <c r="B20" s="20" t="inlineStr">
        <is>
          <t>gravity_core</t>
        </is>
      </c>
      <c r="C20" t="inlineStr">
        <is>
          <t>//diggs:Sample/diggs:type</t>
        </is>
      </c>
    </row>
    <row r="21">
      <c r="A21">
        <f>IF(ISNA(VLOOKUP(B21,Definitions!B$2:B$1839,1,FALSE)),"Not listed","")</f>
        <v/>
      </c>
      <c r="B21" s="20" t="inlineStr">
        <is>
          <t>vibrocore</t>
        </is>
      </c>
      <c r="C21" t="inlineStr">
        <is>
          <t>//diggs:Sample/diggs:type</t>
        </is>
      </c>
    </row>
    <row r="22">
      <c r="A22">
        <f>IF(ISNA(VLOOKUP(B22,Definitions!B$2:B$1839,1,FALSE)),"Not listed","")</f>
        <v/>
      </c>
      <c r="B22" s="20" t="inlineStr">
        <is>
          <t>piston_core</t>
        </is>
      </c>
      <c r="C22" t="inlineStr">
        <is>
          <t>//diggs:Sample/diggs:type</t>
        </is>
      </c>
    </row>
    <row r="23">
      <c r="A23">
        <f>IF(ISNA(VLOOKUP(B23,Definitions!B$2:B$1839,1,FALSE)),"Not listed","")</f>
        <v/>
      </c>
      <c r="B23" s="20" t="inlineStr">
        <is>
          <t>pumped</t>
        </is>
      </c>
      <c r="C23" t="inlineStr">
        <is>
          <t>//diggs:Sample/diggs:type</t>
        </is>
      </c>
    </row>
    <row r="24">
      <c r="A24">
        <f>IF(ISNA(VLOOKUP(B24,Definitions!B$2:B$1839,1,FALSE)),"Not listed","")</f>
        <v/>
      </c>
      <c r="B24" s="2" t="inlineStr">
        <is>
          <t>discrete_sampler</t>
        </is>
      </c>
      <c r="C24" t="inlineStr">
        <is>
          <t>//diggs:Sample/diggs:type</t>
        </is>
      </c>
    </row>
    <row r="25">
      <c r="A25">
        <f>IF(ISNA(VLOOKUP(B25,Definitions!B$2:B$1839,1,FALSE)),"Not listed","")</f>
        <v/>
      </c>
      <c r="B25" s="2" t="inlineStr">
        <is>
          <t>vacuum_bottle</t>
        </is>
      </c>
      <c r="C25" t="inlineStr">
        <is>
          <t>//diggs:Sample/diggs:type</t>
        </is>
      </c>
    </row>
    <row r="26">
      <c r="A26">
        <f>IF(ISNA(VLOOKUP(B26,Definitions!B$2:B$1839,1,FALSE)),"Not listed","")</f>
        <v/>
      </c>
      <c r="B26" s="2" t="inlineStr">
        <is>
          <t>water_sample</t>
        </is>
      </c>
      <c r="C26" t="inlineStr">
        <is>
          <t>//diggs:Sample/diggs:type</t>
        </is>
      </c>
    </row>
    <row r="27">
      <c r="A27">
        <f>IF(ISNA(VLOOKUP(B27,Definitions!B$2:B$1839,1,FALSE)),"Not listed","")</f>
        <v/>
      </c>
      <c r="B27" s="13" t="inlineStr">
        <is>
          <t>soil_gas_active</t>
        </is>
      </c>
      <c r="C27" t="inlineStr">
        <is>
          <t>//diggs:Sample/diggs:type</t>
        </is>
      </c>
    </row>
    <row r="28">
      <c r="A28">
        <f>IF(ISNA(VLOOKUP(B28,Definitions!B$2:B$1839,1,FALSE)),"Not listed","")</f>
        <v/>
      </c>
      <c r="B28" s="13" t="inlineStr">
        <is>
          <t>soil_gas_passive</t>
        </is>
      </c>
      <c r="C28" t="inlineStr">
        <is>
          <t>//diggs:Sample/diggs:type</t>
        </is>
      </c>
    </row>
    <row r="29">
      <c r="A29">
        <f>IF(ISNA(VLOOKUP(B29,Definitions!B$2:B$1839,1,FALSE)),"Not listed","")</f>
        <v/>
      </c>
      <c r="B29" s="13" t="inlineStr">
        <is>
          <t>gas_sample</t>
        </is>
      </c>
      <c r="C29" t="inlineStr">
        <is>
          <t>//diggs:Sample/diggs:type</t>
        </is>
      </c>
    </row>
    <row r="30">
      <c r="A30">
        <f>IF(ISNA(VLOOKUP(B30,Definitions!B$2:B$1839,1,FALSE)),"Not listed","")</f>
        <v/>
      </c>
      <c r="B30" s="13" t="inlineStr">
        <is>
          <t>fresh_batch</t>
        </is>
      </c>
      <c r="C30" t="inlineStr">
        <is>
          <t>//diggs:Sample/diggs:type</t>
        </is>
      </c>
    </row>
    <row r="31">
      <c r="A31">
        <f>IF(ISNA(VLOOKUP(B31,Definitions!B$2:B$1839,1,FALSE)),"Not listed","")</f>
        <v/>
      </c>
      <c r="B31" s="13" t="inlineStr">
        <is>
          <t>cast_cube</t>
        </is>
      </c>
      <c r="C31" t="inlineStr">
        <is>
          <t>//diggs:Sample/diggs:type</t>
        </is>
      </c>
    </row>
    <row r="32">
      <c r="A32">
        <f>IF(ISNA(VLOOKUP(B32,Definitions!B$2:B$1839,1,FALSE)),"Not listed","")</f>
        <v/>
      </c>
      <c r="B32" s="13" t="inlineStr">
        <is>
          <t>cast_cylinder</t>
        </is>
      </c>
      <c r="C32" t="inlineStr">
        <is>
          <t>//diggs:Sample/diggs:type</t>
        </is>
      </c>
    </row>
    <row r="33">
      <c r="A33">
        <f>IF(ISNA(VLOOKUP(B33,Definitions!B$2:B$1839,1,FALSE)),"Not listed","")</f>
        <v/>
      </c>
      <c r="B33" s="13" t="inlineStr">
        <is>
          <t>hardened_core</t>
        </is>
      </c>
      <c r="C33" t="inlineStr">
        <is>
          <t>//diggs:Sample/diggs:type</t>
        </is>
      </c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  <row r="3">
      <c r="B3" t="inlineStr">
        <is>
          <t>triple_tube_soil</t>
        </is>
      </c>
      <c r="C3" t="inlineStr">
        <is>
          <t>Mazier sampler</t>
        </is>
      </c>
    </row>
    <row r="4">
      <c r="B4" t="inlineStr">
        <is>
          <t>triple_tube_soil</t>
        </is>
      </c>
      <c r="C4" t="inlineStr">
        <is>
          <t>Mostap sampler</t>
        </is>
      </c>
    </row>
    <row r="5">
      <c r="B5" t="inlineStr">
        <is>
          <t>piston_core</t>
        </is>
      </c>
      <c r="C5" t="inlineStr">
        <is>
          <t>STACORE sampler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2026-10-08T07:00:50Z</dcterms:modified>
  <cp:lastModifiedBy>Ponti, Daniel J</cp:lastModifiedBy>
</cp:coreProperties>
</file>