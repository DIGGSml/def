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samplingFeatureType</t>
        </is>
      </c>
      <c r="C3" s="12" t="inlineStr">
        <is>
          <t>samplingFeatureTypes</t>
        </is>
      </c>
      <c r="D3" s="12" t="inlineStr">
        <is>
          <t>DIGGS Sampling Feature Types Codelist Definitions</t>
        </is>
      </c>
      <c r="E3" s="2" t="inlineStr">
        <is>
          <t>Codes naming the kind of sampling feature a design applies to. Used for the value of samplingFeatureType on AbstractSamplingFeatureDesignType and its specializations, and of appliesToFeatureType on AbstractProgramSpecificationType and its specializations. Covers both plain sampling features and installation-type sampling features in one vocabulary, since an installation is itself a sampling feature in DIGGS (AbstractLinearInstallation and AbstractPlanarInstallation both substitute AbstractSamplingFeature directly) - there is no separate installation-type head to key a second dictionary on. The list is every concrete sampling feature kind in the schema; a future schema addition that substitutes AbstractSamplingFeature should get a matching entry here.</t>
        </is>
      </c>
    </row>
    <row r="4" ht="17" customHeight="1">
      <c r="A4" s="2" t="n"/>
      <c r="B4" s="2" t="n"/>
      <c r="D4" s="2" t="n"/>
      <c r="E4" s="2" t="n"/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borehole</t>
        </is>
      </c>
      <c r="C2" s="13" t="inlineStr">
        <is>
          <t>Borehole</t>
        </is>
      </c>
      <c r="D2" s="14" t="inlineStr">
        <is>
          <t>A deep, narrow excavation made by drilling and/or extraction of earth material, for investigating subsurface geologic or geotechnical conditions, exploring for water or oil, or for installation of wells or other downhole monitoring installations.</t>
        </is>
      </c>
      <c r="E2" s="13" t="inlineStr">
        <is>
          <t>string</t>
        </is>
      </c>
      <c r="F2" s="13" t="n"/>
      <c r="G2" s="9" t="n"/>
    </row>
    <row r="3">
      <c r="A3" s="2">
        <f>IF(ISNA(VLOOKUP(B3,AssociatedElements!B$2:B2941,1,FALSE)),"Not used","")</f>
        <v/>
      </c>
      <c r="B3" s="13" t="inlineStr">
        <is>
          <t>sounding</t>
        </is>
      </c>
      <c r="C3" s="13" t="inlineStr">
        <is>
          <t>Sounding</t>
        </is>
      </c>
      <c r="D3" s="14" t="inlineStr">
        <is>
          <t>A sampling feature created by a measurement or construction activity through insertion of a probe or tool into the ground.</t>
        </is>
      </c>
      <c r="E3" s="13" t="inlineStr">
        <is>
          <t>string</t>
        </is>
      </c>
      <c r="F3" s="13" t="n"/>
      <c r="G3" s="9" t="n"/>
    </row>
    <row r="4">
      <c r="A4" s="2">
        <f>IF(ISNA(VLOOKUP(B4,AssociatedElements!B$2:B2942,1,FALSE)),"Not used","")</f>
        <v/>
      </c>
      <c r="B4" t="inlineStr">
        <is>
          <t>trial_pit</t>
        </is>
      </c>
      <c r="C4" t="inlineStr">
        <is>
          <t>Trial pit</t>
        </is>
      </c>
      <c r="D4" t="inlineStr">
        <is>
          <t>A relatively shallow excavation into the earth's surface, dug manually or by a mechanical excavator, referenced in a linear (1D) system only. Legacy, to support AGS trial pit constructs - see trench_wall for 2D detail on pit or trench walls.</t>
        </is>
      </c>
      <c r="E4" t="inlineStr">
        <is>
          <t>string</t>
        </is>
      </c>
      <c r="G4" s="9" t="n"/>
    </row>
    <row r="5">
      <c r="A5" s="2">
        <f>IF(ISNA(VLOOKUP(B5,AssociatedElements!B$2:B2943,1,FALSE)),"Not used","")</f>
        <v/>
      </c>
      <c r="B5" s="13" t="inlineStr">
        <is>
          <t>transect</t>
        </is>
      </c>
      <c r="C5" s="13" t="inlineStr">
        <is>
          <t>Transect</t>
        </is>
      </c>
      <c r="D5" s="14" t="inlineStr">
        <is>
          <t>A generic linear sampling feature that extends along the surface of an investigation target, used for features such as geophysical arrays or measured sections that are not already a more specific named sampling feature kind.</t>
        </is>
      </c>
      <c r="E5" s="13" t="inlineStr">
        <is>
          <t>string</t>
        </is>
      </c>
      <c r="F5" s="13" t="n"/>
      <c r="G5" s="9" t="n"/>
    </row>
    <row r="6">
      <c r="A6" s="2">
        <f>IF(ISNA(VLOOKUP(B6,AssociatedElements!B$2:B2944,1,FALSE)),"Not used","")</f>
        <v/>
      </c>
      <c r="B6" t="inlineStr">
        <is>
          <t>gp_trackline</t>
        </is>
      </c>
      <c r="C6" s="16" t="inlineStr">
        <is>
          <t>Geophysical trackline</t>
        </is>
      </c>
      <c r="D6" s="16" t="inlineStr">
        <is>
          <t>A linear sampling feature recording the geographic location of a geophysical survey modelled as a single linestring - a ground-surface transect, marine trackline, or airborne flightline along which receivers, and optionally source devices, are placed or moved. Distinguished from a plain transect by its association with a geophysical field survey.</t>
        </is>
      </c>
      <c r="E6" s="17" t="inlineStr">
        <is>
          <t>string</t>
        </is>
      </c>
      <c r="G6" s="9" t="n"/>
    </row>
    <row r="7">
      <c r="A7" s="2">
        <f>IF(ISNA(VLOOKUP(B7,AssociatedElements!B$2:B2945,1,FALSE)),"Not used","")</f>
        <v/>
      </c>
      <c r="B7" t="inlineStr">
        <is>
          <t>grout_trench_cutoff_wall</t>
        </is>
      </c>
      <c r="C7" t="inlineStr">
        <is>
          <t>Grout trench cutoff wall</t>
        </is>
      </c>
      <c r="D7" t="inlineStr">
        <is>
          <t>A linear sampling feature representing a grouted cutoff wall constructed in a trench.</t>
        </is>
      </c>
      <c r="E7" t="inlineStr">
        <is>
          <t>string</t>
        </is>
      </c>
      <c r="G7" s="9" t="n"/>
    </row>
    <row r="8">
      <c r="A8" s="2">
        <f>IF(ISNA(VLOOKUP(B8,AssociatedElements!B$2:B2946,1,FALSE)),"Not used","")</f>
        <v/>
      </c>
      <c r="B8" t="inlineStr">
        <is>
          <t>well</t>
        </is>
      </c>
      <c r="C8" t="inlineStr">
        <is>
          <t>Well</t>
        </is>
      </c>
      <c r="D8" t="inlineStr">
        <is>
          <t>An installation within a borehole or sounding, used for observing, withdrawing, or injecting fluids. Wells are discrete sampling features in their own right but reference the parent borehole or sounding through the mandatory samplingFeatureRef.</t>
        </is>
      </c>
      <c r="E8" t="inlineStr">
        <is>
          <t>string</t>
        </is>
      </c>
      <c r="G8" s="9" t="n"/>
    </row>
    <row r="9">
      <c r="A9" s="2">
        <f>IF(ISNA(VLOOKUP(B9,AssociatedElements!B$2:B2947,1,FALSE)),"Not used","")</f>
        <v/>
      </c>
      <c r="B9" t="inlineStr">
        <is>
          <t>steel_h_pile</t>
        </is>
      </c>
      <c r="C9" s="16" t="inlineStr">
        <is>
          <t>Steel H-pile</t>
        </is>
      </c>
      <c r="D9" s="16" t="inlineStr">
        <is>
          <t>A driven or installed pile fabricated from steel H-section.</t>
        </is>
      </c>
      <c r="E9" s="17" t="inlineStr">
        <is>
          <t>string</t>
        </is>
      </c>
      <c r="G9" s="9" t="n"/>
    </row>
    <row r="10">
      <c r="A10" s="2">
        <f>IF(ISNA(VLOOKUP(B10,AssociatedElements!B$2:B2948,1,FALSE)),"Not used","")</f>
        <v/>
      </c>
      <c r="B10" s="13" t="inlineStr">
        <is>
          <t>steel_pipe_pile</t>
        </is>
      </c>
      <c r="C10" s="13" t="inlineStr">
        <is>
          <t>Steel pipe pile</t>
        </is>
      </c>
      <c r="D10" s="14" t="inlineStr">
        <is>
          <t>A driven or installed pile fabricated from steel pipe.</t>
        </is>
      </c>
      <c r="E10" s="13" t="inlineStr">
        <is>
          <t>string</t>
        </is>
      </c>
      <c r="F10" s="13" t="n"/>
      <c r="G10" s="9" t="n"/>
    </row>
    <row r="11">
      <c r="A11" s="2">
        <f>IF(ISNA(VLOOKUP(B11,AssociatedElements!B$2:B2949,1,FALSE)),"Not used","")</f>
        <v/>
      </c>
      <c r="B11" s="13" t="inlineStr">
        <is>
          <t>concrete_pile</t>
        </is>
      </c>
      <c r="C11" s="13" t="inlineStr">
        <is>
          <t>Concrete pile</t>
        </is>
      </c>
      <c r="D11" s="14" t="inlineStr">
        <is>
          <t>A driven, cast-in-place, or precast pile made from concrete.</t>
        </is>
      </c>
      <c r="E11" s="13" t="inlineStr">
        <is>
          <t>string</t>
        </is>
      </c>
      <c r="F11" s="13" t="n"/>
      <c r="G11" s="9" t="n"/>
    </row>
    <row r="12">
      <c r="A12" s="2">
        <f>IF(ISNA(VLOOKUP(B12,AssociatedElements!B$2:B2950,1,FALSE)),"Not used","")</f>
        <v/>
      </c>
      <c r="B12" s="13" t="inlineStr">
        <is>
          <t>timber_pile</t>
        </is>
      </c>
      <c r="C12" s="13" t="inlineStr">
        <is>
          <t>Timber pile</t>
        </is>
      </c>
      <c r="D12" s="14" t="inlineStr">
        <is>
          <t>A driven pile made from timber.</t>
        </is>
      </c>
      <c r="E12" s="13" t="inlineStr">
        <is>
          <t>string</t>
        </is>
      </c>
      <c r="F12" s="13" t="n"/>
      <c r="G12" s="9" t="n"/>
    </row>
    <row r="13">
      <c r="A13" s="2">
        <f>IF(ISNA(VLOOKUP(B13,AssociatedElements!B$2:B2951,1,FALSE)),"Not used","")</f>
        <v/>
      </c>
      <c r="B13" s="13" t="inlineStr">
        <is>
          <t>gp_multi_track</t>
        </is>
      </c>
      <c r="C13" s="13" t="inlineStr">
        <is>
          <t>Geophysical multi-track</t>
        </is>
      </c>
      <c r="D13" s="14" t="inlineStr">
        <is>
          <t>A sampling feature representing multiple geophysical survey tracks recorded together as a single feature.</t>
        </is>
      </c>
      <c r="E13" s="13" t="inlineStr">
        <is>
          <t>string</t>
        </is>
      </c>
      <c r="F13" s="13" t="n"/>
      <c r="G13" s="9" t="n"/>
    </row>
    <row r="14">
      <c r="A14" s="2">
        <f>IF(ISNA(VLOOKUP(B14,AssociatedElements!B$2:B2952,1,FALSE)),"Not used","")</f>
        <v/>
      </c>
      <c r="B14" s="13" t="inlineStr">
        <is>
          <t>station</t>
        </is>
      </c>
      <c r="C14" s="13" t="inlineStr">
        <is>
          <t>Station</t>
        </is>
      </c>
      <c r="D14" s="14" t="inlineStr">
        <is>
          <t>A point in or on the earth's surface where observations or tests are performed, samples are collected, or monitoring devices are installed, and which is not already a more specific named point sampling feature kind.</t>
        </is>
      </c>
      <c r="E14" s="13" t="inlineStr">
        <is>
          <t>string</t>
        </is>
      </c>
      <c r="F14" s="13" t="n"/>
      <c r="G14" s="9" t="n"/>
    </row>
    <row r="15">
      <c r="A15" s="2">
        <f>IF(ISNA(VLOOKUP(B15,AssociatedElements!B$2:B2953,1,FALSE)),"Not used","")</f>
        <v/>
      </c>
      <c r="B15" s="13" t="inlineStr">
        <is>
          <t>ri_column</t>
        </is>
      </c>
      <c r="C15" s="18" t="inlineStr">
        <is>
          <t>RI column</t>
        </is>
      </c>
      <c r="D15" s="19" t="inlineStr">
        <is>
          <t>A single rigid inclusion column (CMC) - the location and properties of one column in a rigid inclusion ground improvement program.</t>
        </is>
      </c>
      <c r="E15" s="18" t="inlineStr">
        <is>
          <t>string</t>
        </is>
      </c>
      <c r="F15" s="18" t="n"/>
      <c r="G15" s="9" t="n"/>
    </row>
    <row r="16">
      <c r="A16" s="2">
        <f>IF(ISNA(VLOOKUP(B16,AssociatedElements!B$2:B2954,1,FALSE)),"Not used","")</f>
        <v/>
      </c>
      <c r="B16" s="13" t="inlineStr">
        <is>
          <t>gp_areal_survey</t>
        </is>
      </c>
      <c r="C16" s="18" t="inlineStr">
        <is>
          <t>Geophysical areal survey</t>
        </is>
      </c>
      <c r="D16" s="19" t="inlineStr">
        <is>
          <t>A planar sampling feature representing the extent of an areal (2D-gridded) geophysical survey.</t>
        </is>
      </c>
      <c r="E16" s="18" t="inlineStr">
        <is>
          <t>string</t>
        </is>
      </c>
      <c r="F16" s="18" t="n"/>
      <c r="G16" s="9" t="n"/>
    </row>
    <row r="17">
      <c r="A17" s="2">
        <f>IF(ISNA(VLOOKUP(B17,AssociatedElements!B$2:B2955,1,FALSE)),"Not used","")</f>
        <v/>
      </c>
      <c r="B17" s="13" t="inlineStr">
        <is>
          <t>planar_sampling_feature</t>
        </is>
      </c>
      <c r="C17" s="18" t="inlineStr">
        <is>
          <t>Planar sampling feature</t>
        </is>
      </c>
      <c r="D17" s="19" t="inlineStr">
        <is>
          <t>A generic 2D sampling feature representing a planar sampling space - a cross-section or map, single-surface or made of multiple coplanar patches - that is not already a more specific named planar sampling feature kind.</t>
        </is>
      </c>
      <c r="E17" s="18" t="inlineStr">
        <is>
          <t>string</t>
        </is>
      </c>
      <c r="F17" s="18" t="n"/>
      <c r="G17" s="9" t="n"/>
    </row>
    <row r="18">
      <c r="A18" s="2">
        <f>IF(ISNA(VLOOKUP(B18,AssociatedElements!B$2:B2956,1,FALSE)),"Not used","")</f>
        <v/>
      </c>
      <c r="B18" s="13" t="inlineStr">
        <is>
          <t>trench_wall</t>
        </is>
      </c>
      <c r="C18" s="18" t="inlineStr">
        <is>
          <t>Trench wall</t>
        </is>
      </c>
      <c r="D18" s="19" t="inlineStr">
        <is>
          <t>A wall of a trench or pit dug into the ground, represented by a planar or multi-planar surface geometry. Preferred over trial_pit where 2D detail on the pit or trench wall is recorded.</t>
        </is>
      </c>
      <c r="E18" s="18" t="inlineStr">
        <is>
          <t>string</t>
        </is>
      </c>
      <c r="F18" s="18" t="n"/>
      <c r="G18" s="9" t="n"/>
    </row>
    <row r="19">
      <c r="A19" s="2">
        <f>IF(ISNA(VLOOKUP(B19,AssociatedElements!B$2:B2957,1,FALSE)),"Not used","")</f>
        <v/>
      </c>
      <c r="B19" s="13" t="inlineStr">
        <is>
          <t>load_transfer_platform</t>
        </is>
      </c>
      <c r="C19" s="18" t="inlineStr">
        <is>
          <t>Load transfer platform</t>
        </is>
      </c>
      <c r="D19" s="19" t="inlineStr">
        <is>
          <t>The compacted granular layer, usually reinforced with geosynthetics, constructed over a field of rigid inclusions to distribute structural loads onto the column heads.</t>
        </is>
      </c>
      <c r="E19" s="18" t="inlineStr">
        <is>
          <t>string</t>
        </is>
      </c>
      <c r="F19" s="18" t="n"/>
      <c r="G19" s="9" t="n"/>
    </row>
    <row r="20">
      <c r="A20" s="2">
        <f>IF(ISNA(VLOOKUP(B20,AssociatedElements!B$2:B2958,1,FALSE)),"Not used","")</f>
        <v/>
      </c>
      <c r="B20" s="13" t="inlineStr">
        <is>
          <t>ri_treatment_area</t>
        </is>
      </c>
      <c r="C20" s="18" t="inlineStr">
        <is>
          <t>RI treatment area</t>
        </is>
      </c>
      <c r="D20" s="19" t="inlineStr">
        <is>
          <t>The area of a site treated by a rigid inclusion ground improvement program - the ground improvement footprint that includes the rigid inclusion columns and may extend beyond any associated foundation or embankment.</t>
        </is>
      </c>
      <c r="E20" s="18" t="inlineStr">
        <is>
          <t>string</t>
        </is>
      </c>
      <c r="F20" s="18" t="n"/>
      <c r="G20" s="9" t="n"/>
    </row>
    <row r="21">
      <c r="A21" s="2">
        <f>IF(ISNA(VLOOKUP(B21,AssociatedElements!B$2:B2959,1,FALSE)),"Not used","")</f>
        <v/>
      </c>
      <c r="B21" s="13" t="inlineStr">
        <is>
          <t>volumetric_sampling_feature</t>
        </is>
      </c>
      <c r="C21" s="18" t="inlineStr">
        <is>
          <t>Volumetric sampling feature</t>
        </is>
      </c>
      <c r="D21" s="19" t="inlineStr">
        <is>
          <t>A generic 3D sampling feature representing a volume that defines the sampling space, using Solid geometry, that is not already a more specific named volumetric sampling feature kind.</t>
        </is>
      </c>
      <c r="E21" s="18" t="inlineStr">
        <is>
          <t>string</t>
        </is>
      </c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41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borehole</t>
        </is>
      </c>
      <c r="C2" t="inlineStr">
        <is>
          <t>//diggs:samplingFeatureType</t>
        </is>
      </c>
    </row>
    <row r="3">
      <c r="A3">
        <f>IF(ISNA(VLOOKUP(B3,Definitions!B$2:B$1839,1,FALSE)),"Not listed","")</f>
        <v/>
      </c>
      <c r="B3" s="20" t="inlineStr">
        <is>
          <t>sounding</t>
        </is>
      </c>
      <c r="C3" t="inlineStr">
        <is>
          <t>//diggs:samplingFeatureType</t>
        </is>
      </c>
    </row>
    <row r="4">
      <c r="A4">
        <f>IF(ISNA(VLOOKUP(B4,Definitions!B$2:B$1839,1,FALSE)),"Not listed","")</f>
        <v/>
      </c>
      <c r="B4" s="2" t="inlineStr">
        <is>
          <t>trial_pit</t>
        </is>
      </c>
      <c r="C4" t="inlineStr">
        <is>
          <t>//diggs:samplingFeatureType</t>
        </is>
      </c>
    </row>
    <row r="5">
      <c r="A5">
        <f>IF(ISNA(VLOOKUP(B5,Definitions!B$2:B$1839,1,FALSE)),"Not listed","")</f>
        <v/>
      </c>
      <c r="B5" s="2" t="inlineStr">
        <is>
          <t>transect</t>
        </is>
      </c>
      <c r="C5" t="inlineStr">
        <is>
          <t>//diggs:samplingFeatureType</t>
        </is>
      </c>
    </row>
    <row r="6">
      <c r="A6">
        <f>IF(ISNA(VLOOKUP(B6,Definitions!B$2:B$1839,1,FALSE)),"Not listed","")</f>
        <v/>
      </c>
      <c r="B6" s="2" t="inlineStr">
        <is>
          <t>gp_trackline</t>
        </is>
      </c>
      <c r="C6" t="inlineStr">
        <is>
          <t>//diggs:samplingFeatureType</t>
        </is>
      </c>
    </row>
    <row r="7">
      <c r="A7">
        <f>IF(ISNA(VLOOKUP(B7,Definitions!B$2:B$1839,1,FALSE)),"Not listed","")</f>
        <v/>
      </c>
      <c r="B7" s="2" t="inlineStr">
        <is>
          <t>grout_trench_cutoff_wall</t>
        </is>
      </c>
      <c r="C7" t="inlineStr">
        <is>
          <t>//diggs:samplingFeatureType</t>
        </is>
      </c>
    </row>
    <row r="8">
      <c r="A8">
        <f>IF(ISNA(VLOOKUP(B8,Definitions!B$2:B$1839,1,FALSE)),"Not listed","")</f>
        <v/>
      </c>
      <c r="B8" s="2" t="inlineStr">
        <is>
          <t>well</t>
        </is>
      </c>
      <c r="C8" t="inlineStr">
        <is>
          <t>//diggs:samplingFeatureType</t>
        </is>
      </c>
    </row>
    <row r="9">
      <c r="A9">
        <f>IF(ISNA(VLOOKUP(B9,Definitions!B$2:B$1839,1,FALSE)),"Not listed","")</f>
        <v/>
      </c>
      <c r="B9" s="2" t="inlineStr">
        <is>
          <t>steel_h_pile</t>
        </is>
      </c>
      <c r="C9" t="inlineStr">
        <is>
          <t>//diggs:samplingFeatureType</t>
        </is>
      </c>
    </row>
    <row r="10">
      <c r="A10">
        <f>IF(ISNA(VLOOKUP(B10,Definitions!B$2:B$1839,1,FALSE)),"Not listed","")</f>
        <v/>
      </c>
      <c r="B10" s="20" t="inlineStr">
        <is>
          <t>steel_pipe_pile</t>
        </is>
      </c>
      <c r="C10" t="inlineStr">
        <is>
          <t>//diggs:samplingFeatureType</t>
        </is>
      </c>
    </row>
    <row r="11">
      <c r="A11">
        <f>IF(ISNA(VLOOKUP(B11,Definitions!B$2:B$1839,1,FALSE)),"Not listed","")</f>
        <v/>
      </c>
      <c r="B11" s="20" t="inlineStr">
        <is>
          <t>concrete_pile</t>
        </is>
      </c>
      <c r="C11" t="inlineStr">
        <is>
          <t>//diggs:samplingFeatureType</t>
        </is>
      </c>
    </row>
    <row r="12">
      <c r="A12">
        <f>IF(ISNA(VLOOKUP(B12,Definitions!B$2:B$1839,1,FALSE)),"Not listed","")</f>
        <v/>
      </c>
      <c r="B12" s="20" t="inlineStr">
        <is>
          <t>timber_pile</t>
        </is>
      </c>
      <c r="C12" t="inlineStr">
        <is>
          <t>//diggs:samplingFeatureType</t>
        </is>
      </c>
    </row>
    <row r="13">
      <c r="A13">
        <f>IF(ISNA(VLOOKUP(B13,Definitions!B$2:B$1839,1,FALSE)),"Not listed","")</f>
        <v/>
      </c>
      <c r="B13" s="20" t="inlineStr">
        <is>
          <t>gp_multi_track</t>
        </is>
      </c>
      <c r="C13" t="inlineStr">
        <is>
          <t>//diggs:samplingFeatureType</t>
        </is>
      </c>
    </row>
    <row r="14">
      <c r="A14">
        <f>IF(ISNA(VLOOKUP(B14,Definitions!B$2:B$1839,1,FALSE)),"Not listed","")</f>
        <v/>
      </c>
      <c r="B14" s="20" t="inlineStr">
        <is>
          <t>station</t>
        </is>
      </c>
      <c r="C14" t="inlineStr">
        <is>
          <t>//diggs:samplingFeatureType</t>
        </is>
      </c>
    </row>
    <row r="15">
      <c r="A15">
        <f>IF(ISNA(VLOOKUP(B15,Definitions!B$2:B$1839,1,FALSE)),"Not listed","")</f>
        <v/>
      </c>
      <c r="B15" s="2" t="inlineStr">
        <is>
          <t>ri_column</t>
        </is>
      </c>
      <c r="C15" t="inlineStr">
        <is>
          <t>//diggs:samplingFeatureType</t>
        </is>
      </c>
    </row>
    <row r="16">
      <c r="A16">
        <f>IF(ISNA(VLOOKUP(B16,Definitions!B$2:B$1839,1,FALSE)),"Not listed","")</f>
        <v/>
      </c>
      <c r="B16" s="2" t="inlineStr">
        <is>
          <t>gp_areal_survey</t>
        </is>
      </c>
      <c r="C16" t="inlineStr">
        <is>
          <t>//diggs:samplingFeatureType</t>
        </is>
      </c>
    </row>
    <row r="17">
      <c r="A17">
        <f>IF(ISNA(VLOOKUP(B17,Definitions!B$2:B$1839,1,FALSE)),"Not listed","")</f>
        <v/>
      </c>
      <c r="B17" s="2" t="inlineStr">
        <is>
          <t>planar_sampling_feature</t>
        </is>
      </c>
      <c r="C17" t="inlineStr">
        <is>
          <t>//diggs:samplingFeatureType</t>
        </is>
      </c>
    </row>
    <row r="18">
      <c r="A18">
        <f>IF(ISNA(VLOOKUP(B18,Definitions!B$2:B$1839,1,FALSE)),"Not listed","")</f>
        <v/>
      </c>
      <c r="B18" s="2" t="inlineStr">
        <is>
          <t>trench_wall</t>
        </is>
      </c>
      <c r="C18" t="inlineStr">
        <is>
          <t>//diggs:samplingFeatureType</t>
        </is>
      </c>
    </row>
    <row r="19">
      <c r="A19">
        <f>IF(ISNA(VLOOKUP(B19,Definitions!B$2:B$1839,1,FALSE)),"Not listed","")</f>
        <v/>
      </c>
      <c r="B19" s="20" t="inlineStr">
        <is>
          <t>load_transfer_platform</t>
        </is>
      </c>
      <c r="C19" t="inlineStr">
        <is>
          <t>//diggs:samplingFeatureType</t>
        </is>
      </c>
    </row>
    <row r="20">
      <c r="A20">
        <f>IF(ISNA(VLOOKUP(B20,Definitions!B$2:B$1839,1,FALSE)),"Not listed","")</f>
        <v/>
      </c>
      <c r="B20" s="20" t="inlineStr">
        <is>
          <t>ri_treatment_area</t>
        </is>
      </c>
      <c r="C20" t="inlineStr">
        <is>
          <t>//diggs:samplingFeatureType</t>
        </is>
      </c>
    </row>
    <row r="21">
      <c r="A21">
        <f>IF(ISNA(VLOOKUP(B21,Definitions!B$2:B$1839,1,FALSE)),"Not listed","")</f>
        <v/>
      </c>
      <c r="B21" s="20" t="inlineStr">
        <is>
          <t>volumetric_sampling_feature</t>
        </is>
      </c>
      <c r="C21" t="inlineStr">
        <is>
          <t>//diggs:samplingFeatureType</t>
        </is>
      </c>
    </row>
    <row r="22">
      <c r="A22">
        <f>IF(ISNA(VLOOKUP(B22,Definitions!B$2:B$1839,1,FALSE)),"Not listed","")</f>
        <v/>
      </c>
      <c r="B22" s="20" t="inlineStr">
        <is>
          <t>borehole</t>
        </is>
      </c>
      <c r="C22" t="inlineStr">
        <is>
          <t>//diggs:appliesToFeatureType</t>
        </is>
      </c>
    </row>
    <row r="23">
      <c r="A23">
        <f>IF(ISNA(VLOOKUP(B23,Definitions!B$2:B$1839,1,FALSE)),"Not listed","")</f>
        <v/>
      </c>
      <c r="B23" s="20" t="inlineStr">
        <is>
          <t>sounding</t>
        </is>
      </c>
      <c r="C23" t="inlineStr">
        <is>
          <t>//diggs:appliesToFeatureType</t>
        </is>
      </c>
    </row>
    <row r="24">
      <c r="A24">
        <f>IF(ISNA(VLOOKUP(B24,Definitions!B$2:B$1839,1,FALSE)),"Not listed","")</f>
        <v/>
      </c>
      <c r="B24" s="2" t="inlineStr">
        <is>
          <t>trial_pit</t>
        </is>
      </c>
      <c r="C24" t="inlineStr">
        <is>
          <t>//diggs:appliesToFeatureType</t>
        </is>
      </c>
    </row>
    <row r="25">
      <c r="A25">
        <f>IF(ISNA(VLOOKUP(B25,Definitions!B$2:B$1839,1,FALSE)),"Not listed","")</f>
        <v/>
      </c>
      <c r="B25" s="2" t="inlineStr">
        <is>
          <t>transect</t>
        </is>
      </c>
      <c r="C25" t="inlineStr">
        <is>
          <t>//diggs:appliesToFeatureType</t>
        </is>
      </c>
    </row>
    <row r="26">
      <c r="A26">
        <f>IF(ISNA(VLOOKUP(B26,Definitions!B$2:B$1839,1,FALSE)),"Not listed","")</f>
        <v/>
      </c>
      <c r="B26" s="2" t="inlineStr">
        <is>
          <t>gp_trackline</t>
        </is>
      </c>
      <c r="C26" t="inlineStr">
        <is>
          <t>//diggs:appliesToFeatureType</t>
        </is>
      </c>
    </row>
    <row r="27">
      <c r="A27">
        <f>IF(ISNA(VLOOKUP(B27,Definitions!B$2:B$1839,1,FALSE)),"Not listed","")</f>
        <v/>
      </c>
      <c r="B27" s="13" t="inlineStr">
        <is>
          <t>grout_trench_cutoff_wall</t>
        </is>
      </c>
      <c r="C27" t="inlineStr">
        <is>
          <t>//diggs:appliesToFeatureType</t>
        </is>
      </c>
    </row>
    <row r="28">
      <c r="A28">
        <f>IF(ISNA(VLOOKUP(B28,Definitions!B$2:B$1839,1,FALSE)),"Not listed","")</f>
        <v/>
      </c>
      <c r="B28" s="13" t="inlineStr">
        <is>
          <t>well</t>
        </is>
      </c>
      <c r="C28" t="inlineStr">
        <is>
          <t>//diggs:appliesToFeatureType</t>
        </is>
      </c>
    </row>
    <row r="29">
      <c r="A29">
        <f>IF(ISNA(VLOOKUP(B29,Definitions!B$2:B$1839,1,FALSE)),"Not listed","")</f>
        <v/>
      </c>
      <c r="B29" s="13" t="inlineStr">
        <is>
          <t>steel_h_pile</t>
        </is>
      </c>
      <c r="C29" t="inlineStr">
        <is>
          <t>//diggs:appliesToFeatureType</t>
        </is>
      </c>
    </row>
    <row r="30">
      <c r="A30">
        <f>IF(ISNA(VLOOKUP(B30,Definitions!B$2:B$1839,1,FALSE)),"Not listed","")</f>
        <v/>
      </c>
      <c r="B30" s="13" t="inlineStr">
        <is>
          <t>steel_pipe_pile</t>
        </is>
      </c>
      <c r="C30" t="inlineStr">
        <is>
          <t>//diggs:appliesToFeatureType</t>
        </is>
      </c>
    </row>
    <row r="31">
      <c r="A31">
        <f>IF(ISNA(VLOOKUP(B31,Definitions!B$2:B$1839,1,FALSE)),"Not listed","")</f>
        <v/>
      </c>
      <c r="B31" s="13" t="inlineStr">
        <is>
          <t>concrete_pile</t>
        </is>
      </c>
      <c r="C31" t="inlineStr">
        <is>
          <t>//diggs:appliesToFeatureType</t>
        </is>
      </c>
    </row>
    <row r="32">
      <c r="A32">
        <f>IF(ISNA(VLOOKUP(B32,Definitions!B$2:B$1839,1,FALSE)),"Not listed","")</f>
        <v/>
      </c>
      <c r="B32" s="13" t="inlineStr">
        <is>
          <t>timber_pile</t>
        </is>
      </c>
      <c r="C32" t="inlineStr">
        <is>
          <t>//diggs:appliesToFeatureType</t>
        </is>
      </c>
    </row>
    <row r="33">
      <c r="A33">
        <f>IF(ISNA(VLOOKUP(B33,Definitions!B$2:B$1839,1,FALSE)),"Not listed","")</f>
        <v/>
      </c>
      <c r="B33" s="13" t="inlineStr">
        <is>
          <t>gp_multi_track</t>
        </is>
      </c>
      <c r="C33" t="inlineStr">
        <is>
          <t>//diggs:appliesToFeatureType</t>
        </is>
      </c>
    </row>
    <row r="34">
      <c r="A34">
        <f>IF(ISNA(VLOOKUP(B34,Definitions!B$2:B$1839,1,FALSE)),"Not listed","")</f>
        <v/>
      </c>
      <c r="B34" s="13" t="inlineStr">
        <is>
          <t>station</t>
        </is>
      </c>
      <c r="C34" t="inlineStr">
        <is>
          <t>//diggs:appliesToFeatureType</t>
        </is>
      </c>
    </row>
    <row r="35">
      <c r="A35">
        <f>IF(ISNA(VLOOKUP(B35,Definitions!B$2:B$1839,1,FALSE)),"Not listed","")</f>
        <v/>
      </c>
      <c r="B35" s="13" t="inlineStr">
        <is>
          <t>ri_column</t>
        </is>
      </c>
      <c r="C35" t="inlineStr">
        <is>
          <t>//diggs:appliesToFeatureType</t>
        </is>
      </c>
    </row>
    <row r="36">
      <c r="A36">
        <f>IF(ISNA(VLOOKUP(B36,Definitions!B$2:B$1839,1,FALSE)),"Not listed","")</f>
        <v/>
      </c>
      <c r="B36" s="13" t="inlineStr">
        <is>
          <t>gp_areal_survey</t>
        </is>
      </c>
      <c r="C36" t="inlineStr">
        <is>
          <t>//diggs:appliesToFeatureType</t>
        </is>
      </c>
    </row>
    <row r="37">
      <c r="A37">
        <f>IF(ISNA(VLOOKUP(B37,Definitions!B$2:B$1839,1,FALSE)),"Not listed","")</f>
        <v/>
      </c>
      <c r="B37" s="2" t="inlineStr">
        <is>
          <t>planar_sampling_feature</t>
        </is>
      </c>
      <c r="C37" t="inlineStr">
        <is>
          <t>//diggs:appliesToFeatureType</t>
        </is>
      </c>
    </row>
    <row r="38">
      <c r="A38">
        <f>IF(ISNA(VLOOKUP(B38,Definitions!B$2:B$1839,1,FALSE)),"Not listed","")</f>
        <v/>
      </c>
      <c r="B38" s="2" t="inlineStr">
        <is>
          <t>trench_wall</t>
        </is>
      </c>
      <c r="C38" t="inlineStr">
        <is>
          <t>//diggs:appliesToFeatureType</t>
        </is>
      </c>
    </row>
    <row r="39">
      <c r="A39">
        <f>IF(ISNA(VLOOKUP(B39,Definitions!B$2:B$1839,1,FALSE)),"Not listed","")</f>
        <v/>
      </c>
      <c r="B39" s="2" t="inlineStr">
        <is>
          <t>load_transfer_platform</t>
        </is>
      </c>
      <c r="C39" t="inlineStr">
        <is>
          <t>//diggs:appliesToFeatureType</t>
        </is>
      </c>
    </row>
    <row r="40">
      <c r="A40">
        <f>IF(ISNA(VLOOKUP(B40,Definitions!B$2:B$1839,1,FALSE)),"Not listed","")</f>
        <v/>
      </c>
      <c r="B40" s="2" t="inlineStr">
        <is>
          <t>ri_treatment_area</t>
        </is>
      </c>
      <c r="C40" t="inlineStr">
        <is>
          <t>//diggs:appliesToFeatureType</t>
        </is>
      </c>
    </row>
    <row r="41">
      <c r="A41">
        <f>IF(ISNA(VLOOKUP(B41,Definitions!B$2:B$1839,1,FALSE)),"Not listed","")</f>
        <v/>
      </c>
      <c r="B41" s="2" t="inlineStr">
        <is>
          <t>volumetric_sampling_feature</t>
        </is>
      </c>
      <c r="C41" t="inlineStr">
        <is>
          <t>//diggs:appliesToFeatureType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C2" s="3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2026-10-07T20:53:45Z</dcterms:modified>
  <cp:lastModifiedBy>Ponti, Daniel J</cp:lastModifiedBy>
</cp:coreProperties>
</file>