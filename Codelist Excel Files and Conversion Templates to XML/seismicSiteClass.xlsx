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seismicSiteClass</t>
        </is>
      </c>
      <c r="C3" s="12" t="inlineStr">
        <is>
          <t>seismicSiteClass</t>
        </is>
      </c>
      <c r="D3" s="12" t="inlineStr">
        <is>
          <t>DIGGS Seismic Site Class Codelist Definitions</t>
        </is>
      </c>
      <c r="E3" s="2" t="inlineStr">
        <is>
          <t>Seismic site classification codes (IBC/ASCE 7 Site Class A-F, based on the average properties of the upper profile at the site) applied to the treated ground mass after rigid inclusion ground improvement (V2 Post-installation row 31). Used for the value of diggs:RigidInclusionSystemType/seismicSiteClass. States the interpreted classification only; the composite shear-wave velocity a determination is based on is a separate, already-expressible measurement (diggs:LabVelocityTest, diggs:GeophysicalFieldSurvey). PROVISIONAL: the six class descriptions are stated from the standard's general definition and have not been checked line-by-line against a specific ASCE 7 edition's table - flagged for SME confirmation like the project's other provisional dictionary entries.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class_a</t>
        </is>
      </c>
      <c r="C2" s="13" t="inlineStr">
        <is>
          <t>Site Class A - Hard Rock</t>
        </is>
      </c>
      <c r="D2" s="14" t="inlineStr">
        <is>
          <t>Hard rock with high shear-wave velocity, at the stiff end of the site class range.</t>
        </is>
      </c>
      <c r="E2" s="13" t="inlineStr">
        <is>
          <t>string</t>
        </is>
      </c>
      <c r="F2" s="13" t="n"/>
      <c r="G2" s="9" t="inlineStr">
        <is>
          <t>ASCE 7</t>
        </is>
      </c>
    </row>
    <row r="3">
      <c r="A3" s="2">
        <f>IF(ISNA(VLOOKUP(B3,AssociatedElements!B$2:B2941,1,FALSE)),"Not used","")</f>
        <v/>
      </c>
      <c r="B3" s="13" t="inlineStr">
        <is>
          <t>class_b</t>
        </is>
      </c>
      <c r="C3" s="13" t="inlineStr">
        <is>
          <t>Site Class B - Rock</t>
        </is>
      </c>
      <c r="D3" s="14" t="inlineStr">
        <is>
          <t>Rock of moderate to high shear-wave velocity, softer than Site Class A.</t>
        </is>
      </c>
      <c r="E3" s="13" t="inlineStr">
        <is>
          <t>string</t>
        </is>
      </c>
      <c r="F3" s="13" t="n"/>
      <c r="G3" s="9" t="inlineStr">
        <is>
          <t>ASCE 7</t>
        </is>
      </c>
    </row>
    <row r="4">
      <c r="A4" s="2">
        <f>IF(ISNA(VLOOKUP(B4,AssociatedElements!B$2:B2942,1,FALSE)),"Not used","")</f>
        <v/>
      </c>
      <c r="B4" t="inlineStr">
        <is>
          <t>class_c</t>
        </is>
      </c>
      <c r="C4" t="inlineStr">
        <is>
          <t>Site Class C - Very Dense Soil and Soft Rock</t>
        </is>
      </c>
      <c r="D4" t="inlineStr">
        <is>
          <t>Very dense soil or soft rock, typically high blow count or high undrained shear strength.</t>
        </is>
      </c>
      <c r="E4" t="inlineStr">
        <is>
          <t>string</t>
        </is>
      </c>
      <c r="G4" s="9" t="inlineStr">
        <is>
          <t>ASCE 7</t>
        </is>
      </c>
    </row>
    <row r="5">
      <c r="A5" s="2">
        <f>IF(ISNA(VLOOKUP(B5,AssociatedElements!B$2:B2943,1,FALSE)),"Not used","")</f>
        <v/>
      </c>
      <c r="B5" s="13" t="inlineStr">
        <is>
          <t>class_d</t>
        </is>
      </c>
      <c r="C5" s="13" t="inlineStr">
        <is>
          <t>Site Class D - Stiff Soil</t>
        </is>
      </c>
      <c r="D5" s="14" t="inlineStr">
        <is>
          <t>Stiff soil, the default classification where site-specific data is insufficient to assign another class.</t>
        </is>
      </c>
      <c r="E5" s="13" t="inlineStr">
        <is>
          <t>string</t>
        </is>
      </c>
      <c r="F5" s="13" t="n"/>
      <c r="G5" s="9" t="inlineStr">
        <is>
          <t>ASCE 7</t>
        </is>
      </c>
    </row>
    <row r="6">
      <c r="A6" s="2">
        <f>IF(ISNA(VLOOKUP(B6,AssociatedElements!B$2:B2944,1,FALSE)),"Not used","")</f>
        <v/>
      </c>
      <c r="B6" t="inlineStr">
        <is>
          <t>class_e</t>
        </is>
      </c>
      <c r="C6" s="16" t="inlineStr">
        <is>
          <t>Site Class E - Soft Clay Soil</t>
        </is>
      </c>
      <c r="D6" s="16" t="inlineStr">
        <is>
          <t>Soft clay soil, or any profile with a sufficient thickness of soft clay meeting the standard's plasticity, moisture and strength thresholds.</t>
        </is>
      </c>
      <c r="E6" s="17" t="inlineStr">
        <is>
          <t>string</t>
        </is>
      </c>
      <c r="G6" s="9" t="inlineStr">
        <is>
          <t>ASCE 7</t>
        </is>
      </c>
    </row>
    <row r="7">
      <c r="A7" s="2">
        <f>IF(ISNA(VLOOKUP(B7,AssociatedElements!B$2:B2945,1,FALSE)),"Not used","")</f>
        <v/>
      </c>
      <c r="B7" t="inlineStr">
        <is>
          <t>class_f</t>
        </is>
      </c>
      <c r="C7" t="inlineStr">
        <is>
          <t>Site Class F - Site-Specific</t>
        </is>
      </c>
      <c r="D7" t="inlineStr">
        <is>
          <t>Soils requiring a site-specific geotechnical investigation and dynamic site response analysis - liquefaction-vulnerable soils, peats, highly organic clays, very high plasticity clays, or very thick soft-to-medium-stiff clays.</t>
        </is>
      </c>
      <c r="E7" t="inlineStr">
        <is>
          <t>string</t>
        </is>
      </c>
      <c r="G7" s="9" t="inlineStr">
        <is>
          <t>ASCE 7</t>
        </is>
      </c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class_a</t>
        </is>
      </c>
      <c r="C2" t="inlineStr">
        <is>
          <t>//diggs:RITreatedArea/diggs:seismicSiteClass</t>
        </is>
      </c>
    </row>
    <row r="3">
      <c r="A3">
        <f>IF(ISNA(VLOOKUP(B3,Definitions!B$2:B$1839,1,FALSE)),"Not listed","")</f>
        <v/>
      </c>
      <c r="B3" s="20" t="inlineStr">
        <is>
          <t>class_a</t>
        </is>
      </c>
      <c r="C3" t="inlineStr">
        <is>
          <t>//diggs:DesignRITreatedArea/diggs:seismicSiteClass</t>
        </is>
      </c>
    </row>
    <row r="4">
      <c r="A4">
        <f>IF(ISNA(VLOOKUP(B4,Definitions!B$2:B$1839,1,FALSE)),"Not listed","")</f>
        <v/>
      </c>
      <c r="B4" s="2" t="inlineStr">
        <is>
          <t>class_a</t>
        </is>
      </c>
      <c r="C4" t="inlineStr">
        <is>
          <t>//diggs:SeismicHazardParameters/diggs:seismicSiteClass</t>
        </is>
      </c>
    </row>
    <row r="5">
      <c r="A5">
        <f>IF(ISNA(VLOOKUP(B5,Definitions!B$2:B$1839,1,FALSE)),"Not listed","")</f>
        <v/>
      </c>
      <c r="B5" s="2" t="inlineStr">
        <is>
          <t>class_b</t>
        </is>
      </c>
      <c r="C5" t="inlineStr">
        <is>
          <t>//diggs:RITreatedArea/diggs:seismicSiteClass</t>
        </is>
      </c>
    </row>
    <row r="6">
      <c r="A6">
        <f>IF(ISNA(VLOOKUP(B6,Definitions!B$2:B$1839,1,FALSE)),"Not listed","")</f>
        <v/>
      </c>
      <c r="B6" s="2" t="inlineStr">
        <is>
          <t>class_b</t>
        </is>
      </c>
      <c r="C6" t="inlineStr">
        <is>
          <t>//diggs:DesignRITreatedArea/diggs:seismicSiteClass</t>
        </is>
      </c>
    </row>
    <row r="7">
      <c r="A7">
        <f>IF(ISNA(VLOOKUP(B7,Definitions!B$2:B$1839,1,FALSE)),"Not listed","")</f>
        <v/>
      </c>
      <c r="B7" s="2" t="inlineStr">
        <is>
          <t>class_b</t>
        </is>
      </c>
      <c r="C7" t="inlineStr">
        <is>
          <t>//diggs:SeismicHazardParameters/diggs:seismicSiteClass</t>
        </is>
      </c>
    </row>
    <row r="8">
      <c r="A8">
        <f>IF(ISNA(VLOOKUP(B8,Definitions!B$2:B$1839,1,FALSE)),"Not listed","")</f>
        <v/>
      </c>
      <c r="B8" s="2" t="inlineStr">
        <is>
          <t>class_c</t>
        </is>
      </c>
      <c r="C8" t="inlineStr">
        <is>
          <t>//diggs:RITreatedArea/diggs:seismicSiteClass</t>
        </is>
      </c>
    </row>
    <row r="9">
      <c r="A9">
        <f>IF(ISNA(VLOOKUP(B9,Definitions!B$2:B$1839,1,FALSE)),"Not listed","")</f>
        <v/>
      </c>
      <c r="B9" s="2" t="inlineStr">
        <is>
          <t>class_c</t>
        </is>
      </c>
      <c r="C9" t="inlineStr">
        <is>
          <t>//diggs:DesignRITreatedArea/diggs:seismicSiteClass</t>
        </is>
      </c>
    </row>
    <row r="10">
      <c r="A10">
        <f>IF(ISNA(VLOOKUP(B10,Definitions!B$2:B$1839,1,FALSE)),"Not listed","")</f>
        <v/>
      </c>
      <c r="B10" s="20" t="inlineStr">
        <is>
          <t>class_c</t>
        </is>
      </c>
      <c r="C10" t="inlineStr">
        <is>
          <t>//diggs:SeismicHazardParameters/diggs:seismicSiteClass</t>
        </is>
      </c>
    </row>
    <row r="11">
      <c r="A11">
        <f>IF(ISNA(VLOOKUP(B11,Definitions!B$2:B$1839,1,FALSE)),"Not listed","")</f>
        <v/>
      </c>
      <c r="B11" s="20" t="inlineStr">
        <is>
          <t>class_d</t>
        </is>
      </c>
      <c r="C11" t="inlineStr">
        <is>
          <t>//diggs:RITreatedArea/diggs:seismicSiteClass</t>
        </is>
      </c>
    </row>
    <row r="12">
      <c r="A12">
        <f>IF(ISNA(VLOOKUP(B12,Definitions!B$2:B$1839,1,FALSE)),"Not listed","")</f>
        <v/>
      </c>
      <c r="B12" s="20" t="inlineStr">
        <is>
          <t>class_d</t>
        </is>
      </c>
      <c r="C12" t="inlineStr">
        <is>
          <t>//diggs:DesignRITreatedArea/diggs:seismicSiteClass</t>
        </is>
      </c>
    </row>
    <row r="13">
      <c r="A13">
        <f>IF(ISNA(VLOOKUP(B13,Definitions!B$2:B$1839,1,FALSE)),"Not listed","")</f>
        <v/>
      </c>
      <c r="B13" s="20" t="inlineStr">
        <is>
          <t>class_d</t>
        </is>
      </c>
      <c r="C13" t="inlineStr">
        <is>
          <t>//diggs:SeismicHazardParameters/diggs:seismicSiteClass</t>
        </is>
      </c>
    </row>
    <row r="14">
      <c r="A14">
        <f>IF(ISNA(VLOOKUP(B14,Definitions!B$2:B$1839,1,FALSE)),"Not listed","")</f>
        <v/>
      </c>
      <c r="B14" s="20" t="inlineStr">
        <is>
          <t>class_e</t>
        </is>
      </c>
      <c r="C14" t="inlineStr">
        <is>
          <t>//diggs:RITreatedArea/diggs:seismicSiteClass</t>
        </is>
      </c>
    </row>
    <row r="15">
      <c r="A15">
        <f>IF(ISNA(VLOOKUP(B15,Definitions!B$2:B$1839,1,FALSE)),"Not listed","")</f>
        <v/>
      </c>
      <c r="B15" s="2" t="inlineStr">
        <is>
          <t>class_e</t>
        </is>
      </c>
      <c r="C15" t="inlineStr">
        <is>
          <t>//diggs:DesignRITreatedArea/diggs:seismicSiteClass</t>
        </is>
      </c>
    </row>
    <row r="16">
      <c r="A16">
        <f>IF(ISNA(VLOOKUP(B16,Definitions!B$2:B$1839,1,FALSE)),"Not listed","")</f>
        <v/>
      </c>
      <c r="B16" s="2" t="inlineStr">
        <is>
          <t>class_e</t>
        </is>
      </c>
      <c r="C16" t="inlineStr">
        <is>
          <t>//diggs:SeismicHazardParameters/diggs:seismicSiteClass</t>
        </is>
      </c>
    </row>
    <row r="17">
      <c r="A17">
        <f>IF(ISNA(VLOOKUP(B17,Definitions!B$2:B$1839,1,FALSE)),"Not listed","")</f>
        <v/>
      </c>
      <c r="B17" s="2" t="inlineStr">
        <is>
          <t>class_f</t>
        </is>
      </c>
      <c r="C17" t="inlineStr">
        <is>
          <t>//diggs:RITreatedArea/diggs:seismicSiteClass</t>
        </is>
      </c>
    </row>
    <row r="18">
      <c r="A18">
        <f>IF(ISNA(VLOOKUP(B18,Definitions!B$2:B$1839,1,FALSE)),"Not listed","")</f>
        <v/>
      </c>
      <c r="B18" s="2" t="inlineStr">
        <is>
          <t>class_f</t>
        </is>
      </c>
      <c r="C18" t="inlineStr">
        <is>
          <t>//diggs:DesignRITreatedArea/diggs:seismicSiteClass</t>
        </is>
      </c>
    </row>
    <row r="19">
      <c r="A19">
        <f>IF(ISNA(VLOOKUP(B19,Definitions!B$2:B$1839,1,FALSE)),"Not listed","")</f>
        <v/>
      </c>
      <c r="B19" s="20" t="inlineStr">
        <is>
          <t>class_f</t>
        </is>
      </c>
      <c r="C19" t="inlineStr">
        <is>
          <t>//diggs:SeismicHazardParameters/diggs:seismicSiteClass</t>
        </is>
      </c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2026-09-28T04:13:08Z</dcterms:modified>
  <cp:lastModifiedBy>Ponti, Daniel J</cp:lastModifiedBy>
</cp:coreProperties>
</file>