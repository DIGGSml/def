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ValueBindings" sheetId="5" state="visible" r:id="rId5"/>
    <sheet name="Lis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5" fillId="0" borderId="0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specimenOrigin</t>
        </is>
      </c>
      <c r="C3" s="12" t="inlineStr">
        <is>
          <t>specimenOrigin</t>
        </is>
      </c>
      <c r="D3" s="12" t="inlineStr">
        <is>
          <t>DIGGS Specimen Origin Codelist Definitions</t>
        </is>
      </c>
      <c r="E3" s="2" t="inlineStr">
        <is>
          <t>Codes classifying how a specimen of manufactured cementitious material was made. Used for the value of diggs:GroutSpecimen/diggs:specimenOrigin.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molded</t>
        </is>
      </c>
      <c r="C2" s="13" t="inlineStr">
        <is>
          <t>Molded</t>
        </is>
      </c>
      <c r="D2" s="14" t="inlineStr">
        <is>
          <t>Molded from fresh material in a mold and cured. Source: ASTM C31/C31M, C192/C192M; EN 12390-2; ISO 1920-3.</t>
        </is>
      </c>
      <c r="E2" s="13" t="inlineStr">
        <is>
          <t>string</t>
        </is>
      </c>
      <c r="F2" s="13" t="n"/>
      <c r="G2" s="9" t="inlineStr">
        <is>
          <t>DIGGS</t>
        </is>
      </c>
      <c r="H2" t="inlineStr">
        <is>
          <t>https://diggsml.org/def/registry/DIGGS/0/specifications.xml#astm_c31</t>
        </is>
      </c>
    </row>
    <row r="3">
      <c r="A3" s="2">
        <f>IF(ISNA(VLOOKUP(B3,AssociatedElements!B$2:B2941,1,FALSE)),"Not used","")</f>
        <v/>
      </c>
      <c r="B3" s="13" t="inlineStr">
        <is>
          <t>cast_in_place</t>
        </is>
      </c>
      <c r="C3" s="13" t="inlineStr">
        <is>
          <t>Cast in place</t>
        </is>
      </c>
      <c r="D3" s="14" t="inlineStr">
        <is>
          <t>Molded in place in a special mold attached to the formwork, so that the specimen cures within the structure. Source: ASTM C873/C873M.</t>
        </is>
      </c>
      <c r="E3" s="13" t="inlineStr">
        <is>
          <t>string</t>
        </is>
      </c>
      <c r="F3" s="13" t="n"/>
      <c r="G3" s="9" t="inlineStr">
        <is>
          <t>DIGGS</t>
        </is>
      </c>
      <c r="H3" t="inlineStr">
        <is>
          <t>https://diggsml.org/def/registry/DIGGS/0/specifications.xml#astm_c873</t>
        </is>
      </c>
    </row>
    <row r="4">
      <c r="A4" s="2">
        <f>IF(ISNA(VLOOKUP(B4,AssociatedElements!B$2:B2942,1,FALSE)),"Not used","")</f>
        <v/>
      </c>
      <c r="B4" t="inlineStr">
        <is>
          <t>cored</t>
        </is>
      </c>
      <c r="C4" t="inlineStr">
        <is>
          <t>Cored</t>
        </is>
      </c>
      <c r="D4" t="inlineStr">
        <is>
          <t>A core drilled from hardened material. Source: ASTM C42/C42M; EN 12504-1; ISO 1920-6; JIS A 1107.</t>
        </is>
      </c>
      <c r="E4" t="inlineStr">
        <is>
          <t>string</t>
        </is>
      </c>
      <c r="G4" s="9" t="inlineStr">
        <is>
          <t>DIGGS</t>
        </is>
      </c>
      <c r="H4" t="inlineStr">
        <is>
          <t>https://diggsml.org/def/registry/DIGGS/0/specifications.xml#astm_c42</t>
        </is>
      </c>
    </row>
    <row r="5">
      <c r="A5" s="2">
        <f>IF(ISNA(VLOOKUP(B5,AssociatedElements!B$2:B2943,1,FALSE)),"Not used","")</f>
        <v/>
      </c>
      <c r="B5" s="13" t="inlineStr">
        <is>
          <t>sawed</t>
        </is>
      </c>
      <c r="C5" s="13" t="inlineStr">
        <is>
          <t>Sawed</t>
        </is>
      </c>
      <c r="D5" s="14" t="inlineStr">
        <is>
          <t>Sawed from hardened material. Source: ASTM C42/C42M; ISO 1920-4.</t>
        </is>
      </c>
      <c r="E5" s="13" t="inlineStr">
        <is>
          <t>string</t>
        </is>
      </c>
      <c r="F5" s="13" t="n"/>
      <c r="G5" s="9" t="inlineStr">
        <is>
          <t>DIGGS</t>
        </is>
      </c>
      <c r="H5" t="inlineStr">
        <is>
          <t>https://diggsml.org/def/registry/DIGGS/0/specifications.xml#astm_c42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molded</t>
        </is>
      </c>
      <c r="C2" t="inlineStr">
        <is>
          <t>//diggs:GroutSpecimen/diggs:specimenOrigin</t>
        </is>
      </c>
    </row>
    <row r="3">
      <c r="A3">
        <f>IF(ISNA(VLOOKUP(B3,Definitions!B$2:B$1839,1,FALSE)),"Not listed","")</f>
        <v/>
      </c>
      <c r="B3" s="20" t="inlineStr">
        <is>
          <t>cast_in_place</t>
        </is>
      </c>
      <c r="C3" t="inlineStr">
        <is>
          <t>//diggs:GroutSpecimen/diggs:specimenOrigin</t>
        </is>
      </c>
    </row>
    <row r="4">
      <c r="A4">
        <f>IF(ISNA(VLOOKUP(B4,Definitions!B$2:B$1839,1,FALSE)),"Not listed","")</f>
        <v/>
      </c>
      <c r="B4" s="2" t="inlineStr">
        <is>
          <t>cored</t>
        </is>
      </c>
      <c r="C4" t="inlineStr">
        <is>
          <t>//diggs:GroutSpecimen/diggs:specimenOrigin</t>
        </is>
      </c>
    </row>
    <row r="5">
      <c r="A5">
        <f>IF(ISNA(VLOOKUP(B5,Definitions!B$2:B$1839,1,FALSE)),"Not listed","")</f>
        <v/>
      </c>
      <c r="B5" s="2" t="inlineStr">
        <is>
          <t>sawed</t>
        </is>
      </c>
      <c r="C5" t="inlineStr">
        <is>
          <t>//diggs:GroutSpecimen/diggs:specimenOrigin</t>
        </is>
      </c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0" customWidth="1" min="4" max="4"/>
    <col width="50" customWidth="1" min="5" max="5"/>
    <col width="50" customWidth="1" min="6" max="6"/>
    <col width="16" customWidth="1" min="7" max="7"/>
    <col width="20" customWidth="1" min="8" max="8"/>
    <col width="30" customWidth="1" min="9" max="9"/>
  </cols>
  <sheetData>
    <row r="1">
      <c r="A1" s="21" t="inlineStr">
        <is>
          <t>Start</t>
        </is>
      </c>
      <c r="B1" s="21" t="inlineStr">
        <is>
          <t>ID</t>
        </is>
      </c>
      <c r="C1" s="21" t="inlineStr">
        <is>
          <t>SubjectElement</t>
        </is>
      </c>
      <c r="D1" s="21" t="inlineStr">
        <is>
          <t>Method</t>
        </is>
      </c>
      <c r="E1" s="21" t="inlineStr">
        <is>
          <t>RealizedValueXpath</t>
        </is>
      </c>
      <c r="F1" s="21" t="inlineStr">
        <is>
          <t>ReferenceValueXpath</t>
        </is>
      </c>
      <c r="G1" s="21" t="inlineStr">
        <is>
          <t>ReferenceSource</t>
        </is>
      </c>
      <c r="H1" s="21" t="inlineStr">
        <is>
          <t>ReferenceEvaluation</t>
        </is>
      </c>
      <c r="I1" s="21" t="inlineStr">
        <is>
          <t>NormalizeByXpath</t>
        </is>
      </c>
    </row>
    <row r="2">
      <c r="A2">
        <f>IF(ISNA(VLOOKUP(B2,Definitions!B$2:B$1839,1,FALSE)),"Not listed","")</f>
        <v/>
      </c>
    </row>
    <row r="3">
      <c r="A3">
        <f>IF(ISNA(VLOOKUP(B3,Definitions!B$2:B$1839,1,FALSE)),"Not listed","")</f>
        <v/>
      </c>
    </row>
    <row r="4">
      <c r="A4">
        <f>IF(ISNA(VLOOKUP(B4,Definitions!B$2:B$1839,1,FALSE)),"Not listed","")</f>
        <v/>
      </c>
    </row>
    <row r="5">
      <c r="A5">
        <f>IF(ISNA(VLOOKUP(B5,Definitions!B$2:B$1839,1,FALSE)),"Not listed","")</f>
        <v/>
      </c>
    </row>
    <row r="6">
      <c r="A6">
        <f>IF(ISNA(VLOOKUP(B6,Definitions!B$2:B$1839,1,FALSE)),"Not listed","")</f>
        <v/>
      </c>
    </row>
    <row r="7">
      <c r="A7">
        <f>IF(ISNA(VLOOKUP(B7,Definitions!B$2:B$1839,1,FALSE)),"Not listed","")</f>
        <v/>
      </c>
    </row>
    <row r="8">
      <c r="A8">
        <f>IF(ISNA(VLOOKUP(B8,Definitions!B$2:B$1839,1,FALSE)),"Not listed","")</f>
        <v/>
      </c>
    </row>
    <row r="9">
      <c r="A9">
        <f>IF(ISNA(VLOOKUP(B9,Definitions!B$2:B$1839,1,FALSE)),"Not listed","")</f>
        <v/>
      </c>
    </row>
    <row r="10">
      <c r="A10">
        <f>IF(ISNA(VLOOKUP(B10,Definitions!B$2:B$1839,1,FALSE)),"Not listed","")</f>
        <v/>
      </c>
    </row>
    <row r="11">
      <c r="A11">
        <f>IF(ISNA(VLOOKUP(B11,Definitions!B$2:B$1839,1,FALSE)),"Not listed","")</f>
        <v/>
      </c>
    </row>
    <row r="12">
      <c r="A12">
        <f>IF(ISNA(VLOOKUP(B12,Definitions!B$2:B$1839,1,FALSE)),"Not listed","")</f>
        <v/>
      </c>
    </row>
    <row r="13">
      <c r="A13">
        <f>IF(ISNA(VLOOKUP(B13,Definitions!B$2:B$1839,1,FALSE)),"Not listed","")</f>
        <v/>
      </c>
    </row>
    <row r="14">
      <c r="A14">
        <f>IF(ISNA(VLOOKUP(B14,Definitions!B$2:B$1839,1,FALSE)),"Not listed","")</f>
        <v/>
      </c>
    </row>
    <row r="15">
      <c r="A15">
        <f>IF(ISNA(VLOOKUP(B15,Definitions!B$2:B$1839,1,FALSE)),"Not listed","")</f>
        <v/>
      </c>
    </row>
    <row r="16">
      <c r="A16">
        <f>IF(ISNA(VLOOKUP(B16,Definitions!B$2:B$1839,1,FALSE)),"Not listed","")</f>
        <v/>
      </c>
    </row>
    <row r="17">
      <c r="A17">
        <f>IF(ISNA(VLOOKUP(B17,Definitions!B$2:B$1839,1,FALSE)),"Not listed","")</f>
        <v/>
      </c>
    </row>
    <row r="18">
      <c r="A18">
        <f>IF(ISNA(VLOOKUP(B18,Definitions!B$2:B$1839,1,FALSE)),"Not listed","")</f>
        <v/>
      </c>
    </row>
    <row r="19">
      <c r="A19">
        <f>IF(ISNA(VLOOKUP(B19,Definitions!B$2:B$1839,1,FALSE)),"Not listed","")</f>
        <v/>
      </c>
    </row>
    <row r="20">
      <c r="A20">
        <f>IF(ISNA(VLOOKUP(B20,Definitions!B$2:B$1839,1,FALSE)),"Not listed","")</f>
        <v/>
      </c>
    </row>
    <row r="21">
      <c r="A21">
        <f>IF(ISNA(VLOOKUP(B21,Definitions!B$2:B$1839,1,FALSE)),"Not listed","")</f>
        <v/>
      </c>
    </row>
    <row r="22">
      <c r="A22">
        <f>IF(ISNA(VLOOKUP(B22,Definitions!B$2:B$1839,1,FALSE)),"Not listed","")</f>
        <v/>
      </c>
    </row>
    <row r="23">
      <c r="A23">
        <f>IF(ISNA(VLOOKUP(B23,Definitions!B$2:B$1839,1,FALSE)),"Not listed","")</f>
        <v/>
      </c>
    </row>
    <row r="24">
      <c r="A24">
        <f>IF(ISNA(VLOOKUP(B24,Definitions!B$2:B$1839,1,FALSE)),"Not listed","")</f>
        <v/>
      </c>
    </row>
    <row r="25">
      <c r="A25">
        <f>IF(ISNA(VLOOKUP(B25,Definitions!B$2:B$1839,1,FALSE)),"Not listed","")</f>
        <v/>
      </c>
    </row>
    <row r="26">
      <c r="A26">
        <f>IF(ISNA(VLOOKUP(B26,Definitions!B$2:B$1839,1,FALSE)),"Not listed","")</f>
        <v/>
      </c>
    </row>
    <row r="27">
      <c r="A27">
        <f>IF(ISNA(VLOOKUP(B27,Definitions!B$2:B$1839,1,FALSE)),"Not listed","")</f>
        <v/>
      </c>
    </row>
    <row r="28">
      <c r="A28">
        <f>IF(ISNA(VLOOKUP(B28,Definitions!B$2:B$1839,1,FALSE)),"Not listed","")</f>
        <v/>
      </c>
    </row>
    <row r="29">
      <c r="A29">
        <f>IF(ISNA(VLOOKUP(B29,Definitions!B$2:B$1839,1,FALSE)),"Not listed","")</f>
        <v/>
      </c>
    </row>
    <row r="30">
      <c r="A30">
        <f>IF(ISNA(VLOOKUP(B30,Definitions!B$2:B$1839,1,FALSE)),"Not listed","")</f>
        <v/>
      </c>
    </row>
    <row r="31">
      <c r="A31">
        <f>IF(ISNA(VLOOKUP(B31,Definitions!B$2:B$1839,1,FALSE)),"Not listed","")</f>
        <v/>
      </c>
    </row>
  </sheetData>
  <dataValidations count="3">
    <dataValidation sqref="D2:D31" showDropDown="0" showInputMessage="0" showErrorMessage="0" allowBlank="1" type="list">
      <formula1>"direct,horizontal_offset,difference,reverse_difference,angular_difference,containment,sequence_between,value_at,rate,rate_per_log_cycle,within_envelope,frequency"</formula1>
    </dataValidation>
    <dataValidation sqref="G2:G31" showDropDown="0" showInputMessage="0" showErrorMessage="0" allowBlank="1" type="list">
      <formula1>"design,evidence"</formula1>
    </dataValidation>
    <dataValidation sqref="H2:H31" showDropDown="0" showInputMessage="0" showErrorMessage="0" allowBlank="1" type="list">
      <formula1>"value,vertical_intersection,volume_top,volume_base"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2026-09-30T19:46:34Z</dcterms:modified>
  <cp:lastModifiedBy>Ponti, Daniel J</cp:lastModifiedBy>
</cp:coreProperties>
</file>