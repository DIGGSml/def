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9200" yWindow="3280" windowWidth="39400" windowHeight="24940" tabRatio="500" firstSheet="0" activeTab="4" autoFilterDateGrouping="1"/>
  </bookViews>
  <sheets>
    <sheet name="DictionaryName" sheetId="1" state="visible" r:id="rId1"/>
    <sheet name="Definitions" sheetId="2" state="visible" r:id="rId2"/>
    <sheet name="AssociatedElements" sheetId="3" state="visible" r:id="rId3"/>
    <sheet name="AlternateNames" sheetId="4" state="visible" r:id="rId4"/>
    <sheet name="Lists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2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theme="10"/>
      <sz val="12"/>
      <u val="single"/>
      <scheme val="minor"/>
    </font>
    <font>
      <name val="Calibri"/>
      <family val="2"/>
      <color theme="11"/>
      <sz val="12"/>
      <u val="single"/>
      <scheme val="minor"/>
    </font>
    <font>
      <name val="Calibri"/>
      <family val="2"/>
      <sz val="12"/>
      <scheme val="minor"/>
    </font>
    <font>
      <name val="Calibri"/>
      <family val="2"/>
      <b val="1"/>
      <color theme="0"/>
      <sz val="12"/>
      <scheme val="minor"/>
    </font>
    <font>
      <name val="Calibri"/>
      <family val="2"/>
      <color theme="0"/>
      <sz val="12"/>
      <scheme val="minor"/>
    </font>
    <font>
      <name val="Verdana"/>
      <family val="2"/>
      <b val="1"/>
      <color theme="0"/>
      <sz val="10"/>
    </font>
    <font>
      <name val="Calibri"/>
      <family val="2"/>
      <b val="1"/>
      <color rgb="FFFFFFFF"/>
      <sz val="12"/>
      <scheme val="minor"/>
    </font>
    <font>
      <name val="Calibri"/>
      <family val="2"/>
      <color rgb="FFC00000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rgb="FF000000"/>
      <sz val="12"/>
      <scheme val="minor"/>
    </font>
    <font>
      <name val="Aptos Narrow"/>
      <family val="2"/>
      <color rgb="FF000000"/>
      <sz val="12"/>
    </font>
    <font>
      <name val="Calibri"/>
      <family val="2"/>
      <color theme="3"/>
      <sz val="12"/>
      <scheme val="minor"/>
    </font>
    <font>
      <name val="Calibri"/>
      <family val="2"/>
      <sz val="8"/>
      <scheme val="minor"/>
    </font>
  </fonts>
  <fills count="4">
    <fill>
      <patternFill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DBE5F1"/>
        <bgColor indexed="64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/>
      <bottom style="thick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3">
    <xf numFmtId="0" fontId="10" fillId="0" borderId="0"/>
    <xf numFmtId="0" fontId="2" fillId="0" borderId="0"/>
    <xf numFmtId="0" fontId="3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4" fillId="0" borderId="0" pivotButton="0" quotePrefix="0" xfId="0"/>
    <xf numFmtId="0" fontId="7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9" fillId="0" borderId="0" pivotButton="0" quotePrefix="0" xfId="0"/>
    <xf numFmtId="0" fontId="0" fillId="0" borderId="0" applyAlignment="1" pivotButton="0" quotePrefix="0" xfId="0">
      <alignment wrapText="1"/>
    </xf>
    <xf numFmtId="0" fontId="4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wrapText="1"/>
    </xf>
    <xf numFmtId="0" fontId="8" fillId="2" borderId="1" applyAlignment="1" pivotButton="0" quotePrefix="0" xfId="0">
      <alignment wrapText="1"/>
    </xf>
    <xf numFmtId="0" fontId="0" fillId="0" borderId="0" applyAlignment="1" pivotButton="0" quotePrefix="0" xfId="0">
      <alignment vertical="center"/>
    </xf>
    <xf numFmtId="0" fontId="12" fillId="0" borderId="0" applyAlignment="1" pivotButton="0" quotePrefix="0" xfId="0">
      <alignment vertical="center" wrapText="1"/>
    </xf>
    <xf numFmtId="0" fontId="11" fillId="0" borderId="0" applyAlignment="1" pivotButton="0" quotePrefix="0" xfId="0">
      <alignment vertical="center" wrapText="1"/>
    </xf>
    <xf numFmtId="0" fontId="11" fillId="0" borderId="2" applyAlignment="1" pivotButton="0" quotePrefix="0" xfId="0">
      <alignment vertical="center" wrapText="1"/>
    </xf>
    <xf numFmtId="0" fontId="4" fillId="3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  <xf numFmtId="0" fontId="12" fillId="0" borderId="0" applyAlignment="1" pivotButton="0" quotePrefix="0" xfId="0">
      <alignment vertical="center"/>
    </xf>
    <xf numFmtId="0" fontId="10" fillId="0" borderId="0" applyAlignment="1" pivotButton="0" quotePrefix="0" xfId="0">
      <alignment vertical="center" wrapText="1"/>
    </xf>
    <xf numFmtId="0" fontId="13" fillId="0" borderId="0" applyAlignment="1" pivotButton="0" quotePrefix="0" xfId="0">
      <alignment vertical="center" wrapText="1"/>
    </xf>
  </cellXfs>
  <cellStyles count="3">
    <cellStyle name="Normal" xfId="0" builtinId="0"/>
    <cellStyle name="Hyperlink" xfId="1" builtinId="8" hidden="1"/>
    <cellStyle name="Followed Hyperlink" xfId="2" builtinId="9" hidden="1"/>
  </cellStyles>
  <dxfs count="25">
    <dxf>
      <font>
        <name val="Calibri"/>
        <strike val="0"/>
        <outline val="0"/>
        <shadow val="0"/>
        <condense val="0"/>
        <color auto="1"/>
        <extend val="0"/>
        <sz val="12"/>
        <vertAlign val="baseline"/>
        <scheme val="minor"/>
      </font>
      <fill>
        <patternFill>
          <fgColor indexed="64"/>
          <bgColor indexed="65"/>
        </patternFill>
      </fill>
      <alignment horizontal="general" vertical="bottom"/>
    </dxf>
    <dxf>
      <fill>
        <patternFill>
          <fgColor indexed="64"/>
          <bgColor indexed="65"/>
        </patternFill>
      </fill>
      <alignment horizontal="general" vertical="bottom" wrapText="1"/>
    </dxf>
    <dxf>
      <numFmt numFmtId="0" formatCode="General"/>
      <fill>
        <patternFill>
          <fgColor indexed="64"/>
          <bgColor indexed="65"/>
        </patternFill>
      </fill>
      <alignment horizontal="general" vertical="bottom"/>
    </dxf>
    <dxf>
      <font>
        <strike val="0"/>
        <outline val="0"/>
        <shadow val="0"/>
        <color theme="0"/>
        <vertAlign val="baseline"/>
      </font>
    </dxf>
    <dxf>
      <font>
        <name val="Calibri"/>
        <strike val="0"/>
        <outline val="0"/>
        <shadow val="0"/>
        <condense val="0"/>
        <color auto="1"/>
        <extend val="0"/>
        <sz val="12"/>
        <vertAlign val="baseline"/>
        <scheme val="minor"/>
      </font>
      <fill>
        <patternFill>
          <fgColor indexed="64"/>
          <bgColor indexed="65"/>
        </patternFill>
      </fill>
      <alignment horizontal="general" vertical="bottom"/>
    </dxf>
    <dxf>
      <fill>
        <patternFill>
          <fgColor indexed="64"/>
          <bgColor indexed="65"/>
        </patternFill>
      </fill>
      <alignment horizontal="general" vertical="center" wrapText="1"/>
    </dxf>
    <dxf>
      <numFmt numFmtId="0" formatCode="General"/>
      <fill>
        <patternFill>
          <fgColor indexed="64"/>
          <bgColor indexed="65"/>
        </patternFill>
      </fill>
      <alignment horizontal="general" vertical="bottom"/>
    </dxf>
    <dxf>
      <font>
        <strike val="0"/>
        <outline val="0"/>
        <shadow val="0"/>
        <color theme="0"/>
        <vertAlign val="baseline"/>
      </font>
    </dxf>
    <dxf>
      <alignment horizontal="general" vertical="center" wrapText="1"/>
    </dxf>
    <dxf>
      <font>
        <color auto="1"/>
      </font>
      <alignment horizontal="left" vertical="center"/>
    </dxf>
    <dxf>
      <font>
        <name val="Aptos Narrow"/>
        <family val="2"/>
        <color rgb="FF000000"/>
      </font>
      <alignment horizontal="general" vertical="center"/>
    </dxf>
    <dxf>
      <font>
        <name val="Aptos Narrow"/>
        <family val="2"/>
        <color rgb="FF000000"/>
      </font>
      <alignment horizontal="general" vertical="center"/>
    </dxf>
    <dxf>
      <font>
        <name val="Calibri"/>
        <strike val="0"/>
        <outline val="0"/>
        <shadow val="0"/>
        <color auto="1"/>
        <sz val="12"/>
        <vertAlign val="baseline"/>
        <scheme val="minor"/>
      </font>
      <fill>
        <patternFill patternType="solid">
          <fgColor indexed="64"/>
          <bgColor rgb="FFDBE5F1"/>
        </patternFill>
      </fill>
      <alignment horizontal="general" vertical="bottom" wrapText="1"/>
      <border outline="0">
        <left/>
        <right style="thin">
          <color rgb="FFFFFFFF"/>
        </right>
        <top/>
        <bottom style="thin">
          <color rgb="FFFFFFFF"/>
        </bottom>
      </border>
    </dxf>
    <dxf>
      <font>
        <color auto="1"/>
      </font>
      <fill>
        <patternFill patternType="solid">
          <fgColor indexed="64"/>
          <bgColor rgb="FFDBE5F1"/>
        </patternFill>
      </fill>
      <alignment horizontal="general" vertical="center"/>
      <border outline="0">
        <left/>
        <right style="thin">
          <color rgb="FFFFFFFF"/>
        </right>
        <top/>
        <bottom style="thin">
          <color rgb="FFFFFFFF"/>
        </bottom>
      </border>
    </dxf>
    <dxf>
      <font>
        <name val="Aptos Narrow"/>
        <family val="2"/>
        <color rgb="FF000000"/>
      </font>
      <alignment horizontal="general" vertical="center" wrapText="1"/>
    </dxf>
    <dxf>
      <numFmt numFmtId="0" formatCode="General"/>
      <alignment horizontal="general" vertical="center" wrapText="1"/>
    </dxf>
    <dxf>
      <alignment horizontal="general" vertical="center" wrapText="1"/>
    </dxf>
    <dxf>
      <font>
        <name val="Calibri"/>
        <b val="1"/>
        <strike val="0"/>
        <outline val="0"/>
        <shadow val="0"/>
        <condense val="0"/>
        <color theme="1"/>
        <extend val="0"/>
        <sz val="12"/>
        <vertAlign val="baseline"/>
        <scheme val="minor"/>
      </font>
      <alignment horizontal="general" vertical="center" wrapText="1"/>
    </dxf>
    <dxf>
      <alignment horizontal="general" vertical="center" wrapText="1"/>
    </dxf>
    <dxf>
      <alignment horizontal="general" vertical="center" wrapText="1"/>
    </dxf>
    <dxf>
      <alignment horizontal="general" wrapText="1"/>
    </dxf>
    <dxf>
      <alignment horizontal="general" vertical="center" wrapText="1"/>
    </dxf>
    <dxf>
      <alignment horizontal="general" vertical="center" wrapText="1"/>
    </dxf>
    <dxf>
      <alignment horizontal="general" vertical="center" wrapText="1"/>
    </dxf>
    <dxf>
      <font>
        <name val="Calibri"/>
        <b val="1"/>
        <strike val="0"/>
        <outline val="0"/>
        <shadow val="0"/>
        <condense val="0"/>
        <color theme="1"/>
        <extend val="0"/>
        <sz val="12"/>
        <vertAlign val="baseline"/>
        <scheme val="minor"/>
      </font>
      <alignment horizontal="general" wrapText="1"/>
    </dxf>
  </dxfs>
  <tableStyles count="0" defaultTableStyle="TableStyleMedium9" defaultPivotStyle="PivotStyleMedium7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DictionaryName" displayName="DictionaryName" ref="A1:E4" headerRowCount="1" totalsRowShown="0" headerRowDxfId="24" dataDxfId="23">
  <autoFilter ref="A1:E4"/>
  <tableColumns count="5">
    <tableColumn id="1" name="Start" dataDxfId="22"/>
    <tableColumn id="4" name="Dictionary ID" dataDxfId="21"/>
    <tableColumn id="5" name="DictionaryFile" dataDxfId="20"/>
    <tableColumn id="2" name="DictionaryName" dataDxfId="19"/>
    <tableColumn id="3" name="Description" dataDxfId="18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Definitions" displayName="Definitions" ref="A1:H37" headerRowCount="1" totalsRowShown="0" headerRowDxfId="17" dataDxfId="16">
  <autoFilter ref="A1:H37"/>
  <sortState ref="A2:H37">
    <sortCondition ref="A1:A37"/>
  </sortState>
  <tableColumns count="8">
    <tableColumn id="1" name="Start" dataDxfId="15">
      <calculatedColumnFormula>IF(ISNA(VLOOKUP(B2,AssociatedElements!B$2:B2940,1,FALSE)),"Not used","")</calculatedColumnFormula>
    </tableColumn>
    <tableColumn id="10" name="ID" dataDxfId="14"/>
    <tableColumn id="7" name="Name" dataDxfId="13"/>
    <tableColumn id="3" name="Description" dataDxfId="12"/>
    <tableColumn id="4" name="DataType" dataDxfId="11"/>
    <tableColumn id="5" name="QuantityClass" dataDxfId="10"/>
    <tableColumn id="6" name="Authority" dataDxfId="9"/>
    <tableColumn id="9" name="Reference" dataDxfId="8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AssociatedElements" displayName="AssociatedElements" ref="A1:D37" headerRowCount="1" totalsRowShown="0" headerRowDxfId="7">
  <autoFilter ref="A1:D37"/>
  <sortState ref="A2:C2">
    <sortCondition ref="C1:C2"/>
  </sortState>
  <tableColumns count="4">
    <tableColumn id="1" name="Start" dataDxfId="6">
      <calculatedColumnFormula>IF(ISNA(VLOOKUP(B2,Definitions!B$2:B$1839,1,FALSE)),"Not listed","")</calculatedColumnFormula>
    </tableColumn>
    <tableColumn id="4" name="ID" dataDxfId="5"/>
    <tableColumn id="2" name="SourceElement" dataDxfId="4"/>
    <tableColumn id="3" name="ConditionalElement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id="4" name="AssociatedElements5" displayName="AssociatedElements5" ref="A1:D2" headerRowCount="1" totalsRowShown="0" headerRowDxfId="3">
  <autoFilter ref="A1:D2"/>
  <sortState ref="A2:C2">
    <sortCondition ref="C1:C2"/>
  </sortState>
  <tableColumns count="4">
    <tableColumn id="1" name="Start" dataDxfId="2">
      <calculatedColumnFormula>IF(ISNA(VLOOKUP(B2,Definitions!B$2:B$1839,1,FALSE)),"Not listed","")</calculatedColumnFormula>
    </tableColumn>
    <tableColumn id="4" name="ID" dataDxfId="1"/>
    <tableColumn id="2" name="Name" dataDxfId="0"/>
    <tableColumn id="3" name="codeSpace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id="5" name="Table6" displayName="Table6" ref="A1:E188" headerRowCount="1" totalsRowShown="0">
  <autoFilter ref="A1:E188"/>
  <sortState ref="A2:C187">
    <sortCondition ref="C1:C187"/>
  </sortState>
  <tableColumns count="5">
    <tableColumn id="1" name="DataType"/>
    <tableColumn id="2" name="DataType2"/>
    <tableColumn id="3" name="QuantityClass"/>
    <tableColumn id="5" name="Column2"/>
    <tableColumn id="4" name="Column3"/>
  </tableColumns>
  <tableStyleInfo name="TableStyleMedium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E4"/>
  <sheetViews>
    <sheetView workbookViewId="0">
      <selection activeCell="E3" sqref="E3"/>
    </sheetView>
  </sheetViews>
  <sheetFormatPr baseColWidth="10" defaultColWidth="11" defaultRowHeight="16"/>
  <cols>
    <col width="7.5" customWidth="1" style="8" min="1" max="1"/>
    <col width="41.33203125" customWidth="1" style="8" min="2" max="2"/>
    <col width="26.33203125" customWidth="1" style="8" min="3" max="3"/>
    <col width="35.6640625" customWidth="1" style="8" min="4" max="4"/>
    <col width="76" customWidth="1" style="8" min="5" max="5"/>
    <col width="11" customWidth="1" style="8" min="6" max="16384"/>
  </cols>
  <sheetData>
    <row r="1" ht="18" customFormat="1" customHeight="1" s="10" thickBot="1">
      <c r="A1" s="10" t="inlineStr">
        <is>
          <t>Start</t>
        </is>
      </c>
      <c r="B1" s="10" t="inlineStr">
        <is>
          <t>Dictionary ID</t>
        </is>
      </c>
      <c r="C1" s="11" t="inlineStr">
        <is>
          <t>DictionaryFile</t>
        </is>
      </c>
      <c r="D1" s="10" t="inlineStr">
        <is>
          <t>DictionaryName</t>
        </is>
      </c>
      <c r="E1" s="10" t="inlineStr">
        <is>
          <t>Description</t>
        </is>
      </c>
    </row>
    <row r="2" ht="18" customFormat="1" customHeight="1" s="10" thickTop="1">
      <c r="A2" s="1" t="n"/>
      <c r="B2" s="1" t="n"/>
      <c r="C2" s="1" t="n"/>
      <c r="D2" s="1" t="n"/>
      <c r="E2" s="1" t="inlineStr">
        <is>
          <t>Leave this line blank</t>
        </is>
      </c>
    </row>
    <row r="3" ht="154" customFormat="1" customHeight="1" s="2">
      <c r="B3" s="2" t="inlineStr">
        <is>
          <t>staticLoadTestProcedure</t>
        </is>
      </c>
      <c r="C3" s="12" t="inlineStr">
        <is>
          <t>staticLoadTestProcedure</t>
        </is>
      </c>
      <c r="D3" s="12" t="inlineStr">
        <is>
          <t>DIGGS Static Load Test Procedure Codelist Definitions</t>
        </is>
      </c>
      <c r="E3" s="2" t="inlineStr">
        <is>
          <t>Codes classifying the loading procedure used for a static axial compressive load test, per ASTM D1143/D1143M's seven named procedures. Used for the value of diggs:StaticLoadTestType/loadingProcedure. Deliberately spans more than one governing standard: EN ISO 22477-1 (the current European static pile load test standard, and the one ASIRI-governed rigid-inclusion projects most often cite) covers only the maintained-load family and explicitly excludes constant-rate-of-penetration and cyclic testing, so maintained_load is the value both traditions share and the one an EN ISO 22477-1 test always states; the other six entries are ASTM-specific options with no EN ISO 22477-1 equivalent. Cite the governing standard itself through the test procedure's own testProcedureMethod property, not through this value.</t>
        </is>
      </c>
    </row>
    <row r="4" ht="17" customHeight="1">
      <c r="A4" s="2" t="n"/>
      <c r="B4" s="2" t="n"/>
      <c r="D4" s="2" t="n"/>
      <c r="E4" s="2" t="inlineStr">
        <is>
          <t> </t>
        </is>
      </c>
    </row>
  </sheetData>
  <pageMargins left="0.7" right="0.7" top="0.75" bottom="0.75" header="0.3" footer="0.3"/>
  <pageSetup orientation="portrait" horizontalDpi="0" verticalDpi="0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H37"/>
  <sheetViews>
    <sheetView zoomScale="150" zoomScaleNormal="150" workbookViewId="0">
      <selection activeCell="B7" sqref="B7"/>
    </sheetView>
  </sheetViews>
  <sheetFormatPr baseColWidth="10" defaultColWidth="10.83203125" defaultRowHeight="16"/>
  <cols>
    <col width="7" customWidth="1" style="2" min="1" max="1"/>
    <col width="25.83203125" customWidth="1" style="2" min="2" max="2"/>
    <col width="31.6640625" customWidth="1" style="2" min="3" max="3"/>
    <col width="84.6640625" customWidth="1" style="2" min="4" max="4"/>
    <col width="11.1640625" customWidth="1" style="2" min="5" max="5"/>
    <col width="25.6640625" bestFit="1" customWidth="1" style="2" min="6" max="6"/>
    <col width="17.83203125" customWidth="1" style="2" min="7" max="7"/>
    <col width="20.83203125" customWidth="1" style="2" min="8" max="8"/>
    <col width="10.83203125" customWidth="1" style="2" min="9" max="16384"/>
  </cols>
  <sheetData>
    <row r="1" ht="17" customFormat="1" customHeight="1" s="1">
      <c r="A1" s="1" t="inlineStr">
        <is>
          <t>Start</t>
        </is>
      </c>
      <c r="B1" s="1" t="inlineStr">
        <is>
          <t>ID</t>
        </is>
      </c>
      <c r="C1" s="1" t="inlineStr">
        <is>
          <t>Name</t>
        </is>
      </c>
      <c r="D1" s="1" t="inlineStr">
        <is>
          <t>Description</t>
        </is>
      </c>
      <c r="E1" s="1" t="inlineStr">
        <is>
          <t>DataType</t>
        </is>
      </c>
      <c r="F1" s="1" t="inlineStr">
        <is>
          <t>QuantityClass</t>
        </is>
      </c>
      <c r="G1" s="1" t="inlineStr">
        <is>
          <t>Authority</t>
        </is>
      </c>
      <c r="H1" s="1" t="inlineStr">
        <is>
          <t>Reference</t>
        </is>
      </c>
    </row>
    <row r="2">
      <c r="A2" s="2">
        <f>IF(ISNA(VLOOKUP(B2,AssociatedElements!B$2:B$999,1,FALSE)),"Not used","")</f>
        <v/>
      </c>
      <c r="B2" s="13" t="inlineStr">
        <is>
          <t>quick_test</t>
        </is>
      </c>
      <c r="C2" s="13" t="inlineStr">
        <is>
          <t>Quick Test</t>
        </is>
      </c>
      <c r="D2" s="14" t="inlineStr">
        <is>
          <t>Load applied in equal increments at a fixed short time interval, regardless of the rate of movement, to the maximum test load. ASTM D1143/D1143M Procedure A - the default procedure where none other is specified.</t>
        </is>
      </c>
      <c r="E2" s="13" t="inlineStr">
        <is>
          <t>string</t>
        </is>
      </c>
      <c r="F2" s="13" t="n"/>
      <c r="G2" s="9" t="inlineStr">
        <is>
          <t>DIGGS</t>
        </is>
      </c>
    </row>
    <row r="3">
      <c r="A3" s="2">
        <f>IF(ISNA(VLOOKUP(B3,AssociatedElements!B$2:B$999,1,FALSE)),"Not used","")</f>
        <v/>
      </c>
      <c r="B3" s="13" t="inlineStr">
        <is>
          <t>maintained_load</t>
        </is>
      </c>
      <c r="C3" s="13" t="inlineStr">
        <is>
          <t>Maintained Load Test</t>
        </is>
      </c>
      <c r="D3" s="14" t="inlineStr">
        <is>
          <t>Load held at each increment until the rate of movement has stabilized to a specified criterion, or for a specified minimum time, before advancing to the next increment. ASTM D1143/D1143M Procedure B (Maintained Test); the sole method covered by EN ISO 22477-1, whose own stabilization criterion serves the same purpose. The method most RI projects governed by ASIRI or EN ISO 22477-1 will use.</t>
        </is>
      </c>
      <c r="E3" s="13" t="inlineStr">
        <is>
          <t>string</t>
        </is>
      </c>
      <c r="F3" s="13" t="n"/>
      <c r="G3" s="9" t="inlineStr">
        <is>
          <t>DIGGS</t>
        </is>
      </c>
    </row>
    <row r="4">
      <c r="A4" s="2">
        <f>IF(ISNA(VLOOKUP(B4,AssociatedElements!B$2:B$999,1,FALSE)),"Not used","")</f>
        <v/>
      </c>
      <c r="B4" t="inlineStr">
        <is>
          <t>excess_loading</t>
        </is>
      </c>
      <c r="C4" t="inlineStr">
        <is>
          <t>Loading in Excess of Standard Test Load</t>
        </is>
      </c>
      <c r="D4" t="inlineStr">
        <is>
          <t>The Maintained Load Test procedure carried beyond the standard maximum test load, to a load specified by the engineer. ASTM D1143/D1143M Procedure C.</t>
        </is>
      </c>
      <c r="E4" t="inlineStr">
        <is>
          <t>string</t>
        </is>
      </c>
      <c r="G4" s="9" t="inlineStr">
        <is>
          <t>DIGGS</t>
        </is>
      </c>
    </row>
    <row r="5">
      <c r="A5" s="2">
        <f>IF(ISNA(VLOOKUP(B5,AssociatedElements!B$2:B$999,1,FALSE)),"Not used","")</f>
        <v/>
      </c>
      <c r="B5" s="13" t="inlineStr">
        <is>
          <t>constant_time_interval</t>
        </is>
      </c>
      <c r="C5" s="13" t="inlineStr">
        <is>
          <t>Constant Time Interval Test</t>
        </is>
      </c>
      <c r="D5" s="14" t="inlineStr">
        <is>
          <t>Load applied in increments each held for a fixed, engineer-specified time interval regardless of the rate of movement. ASTM D1143/D1143M Procedure D.</t>
        </is>
      </c>
      <c r="E5" s="13" t="inlineStr">
        <is>
          <t>string</t>
        </is>
      </c>
      <c r="F5" s="13" t="n"/>
      <c r="G5" s="9" t="inlineStr">
        <is>
          <t>DIGGS</t>
        </is>
      </c>
    </row>
    <row r="6">
      <c r="A6" s="2">
        <f>IF(ISNA(VLOOKUP(B6,AssociatedElements!B$2:B$999,1,FALSE)),"Not used","")</f>
        <v/>
      </c>
      <c r="B6" t="inlineStr">
        <is>
          <t>constant_rate_of_penetration</t>
        </is>
      </c>
      <c r="C6" s="16" t="inlineStr">
        <is>
          <t>Constant Rate of Penetration Test</t>
        </is>
      </c>
      <c r="D6" s="16" t="inlineStr">
        <is>
          <t>Load increased continuously so the test element moves at a constant, specified rate of penetration; the load is whatever the ground offers at that rate. ASTM D1143/D1143M Procedure E. Not covered by EN ISO 22477-1, which excludes constant-rate-of-penetration testing from its scope.</t>
        </is>
      </c>
      <c r="E6" s="17" t="inlineStr">
        <is>
          <t>string</t>
        </is>
      </c>
      <c r="G6" s="9" t="inlineStr">
        <is>
          <t>DIGGS</t>
        </is>
      </c>
    </row>
    <row r="7">
      <c r="A7" s="2">
        <f>IF(ISNA(VLOOKUP(B7,AssociatedElements!B$2:B$999,1,FALSE)),"Not used","")</f>
        <v/>
      </c>
      <c r="B7" t="inlineStr">
        <is>
          <t>constant_movement_increment</t>
        </is>
      </c>
      <c r="C7" t="inlineStr">
        <is>
          <t>Constant Movement Increment Test</t>
        </is>
      </c>
      <c r="D7" t="inlineStr">
        <is>
          <t>Load adjusted so the test element advances in equal, specified movement increments, the load at each increment being read once movement has stabilized. ASTM D1143/D1143M Procedure F.</t>
        </is>
      </c>
      <c r="E7" t="inlineStr">
        <is>
          <t>string</t>
        </is>
      </c>
      <c r="G7" s="9" t="inlineStr">
        <is>
          <t>DIGGS</t>
        </is>
      </c>
    </row>
    <row r="8">
      <c r="A8" s="2">
        <f>IF(ISNA(VLOOKUP(B8,AssociatedElements!B$2:B$999,1,FALSE)),"Not used","")</f>
        <v/>
      </c>
      <c r="B8" t="inlineStr">
        <is>
          <t>cyclic_loading</t>
        </is>
      </c>
      <c r="C8" t="inlineStr">
        <is>
          <t>Cyclic Loading Test</t>
        </is>
      </c>
      <c r="D8" t="inlineStr">
        <is>
          <t>The test element loaded and unloaded through repeated cycles to a series of increasing maximum loads. ASTM D1143/D1143M Procedure G. Not covered by EN ISO 22477-1, which excludes cyclic load testing from its scope.</t>
        </is>
      </c>
      <c r="E8" t="inlineStr">
        <is>
          <t>string</t>
        </is>
      </c>
      <c r="G8" s="9" t="inlineStr">
        <is>
          <t>DIGGS</t>
        </is>
      </c>
    </row>
    <row r="9">
      <c r="A9" s="2">
        <f>IF(ISNA(VLOOKUP(B9,AssociatedElements!B$2:B2947,1,FALSE)),"Not used","")</f>
        <v/>
      </c>
      <c r="C9" s="16" t="n"/>
      <c r="D9" s="16" t="n"/>
      <c r="E9" s="17" t="n"/>
      <c r="G9" s="9" t="n"/>
    </row>
    <row r="10">
      <c r="A10" s="2">
        <f>IF(ISNA(VLOOKUP(B10,AssociatedElements!B$2:B2948,1,FALSE)),"Not used","")</f>
        <v/>
      </c>
      <c r="B10" s="13" t="n"/>
      <c r="C10" s="13" t="n"/>
      <c r="D10" s="14" t="n"/>
      <c r="E10" s="13" t="n"/>
      <c r="F10" s="13" t="n"/>
      <c r="G10" s="9" t="n"/>
    </row>
    <row r="11">
      <c r="A11" s="2">
        <f>IF(ISNA(VLOOKUP(B11,AssociatedElements!B$2:B2949,1,FALSE)),"Not used","")</f>
        <v/>
      </c>
      <c r="B11" s="13" t="n"/>
      <c r="C11" s="13" t="n"/>
      <c r="D11" s="14" t="n"/>
      <c r="E11" s="13" t="n"/>
      <c r="F11" s="13" t="n"/>
      <c r="G11" s="9" t="n"/>
    </row>
    <row r="12">
      <c r="A12" s="2">
        <f>IF(ISNA(VLOOKUP(B12,AssociatedElements!B$2:B2950,1,FALSE)),"Not used","")</f>
        <v/>
      </c>
      <c r="B12" s="13" t="n"/>
      <c r="C12" s="13" t="n"/>
      <c r="D12" s="14" t="n"/>
      <c r="E12" s="13" t="n"/>
      <c r="F12" s="13" t="n"/>
      <c r="G12" s="9" t="n"/>
    </row>
    <row r="13">
      <c r="A13" s="2">
        <f>IF(ISNA(VLOOKUP(B13,AssociatedElements!B$2:B2951,1,FALSE)),"Not used","")</f>
        <v/>
      </c>
      <c r="B13" s="13" t="n"/>
      <c r="C13" s="13" t="n"/>
      <c r="D13" s="14" t="n"/>
      <c r="E13" s="13" t="n"/>
      <c r="F13" s="13" t="n"/>
      <c r="G13" s="9" t="n"/>
    </row>
    <row r="14">
      <c r="A14" s="2">
        <f>IF(ISNA(VLOOKUP(B14,AssociatedElements!B$2:B2952,1,FALSE)),"Not used","")</f>
        <v/>
      </c>
      <c r="B14" s="13" t="n"/>
      <c r="C14" s="13" t="n"/>
      <c r="D14" s="14" t="n"/>
      <c r="E14" s="13" t="n"/>
      <c r="F14" s="13" t="n"/>
      <c r="G14" s="9" t="n"/>
    </row>
    <row r="15">
      <c r="A15" s="2">
        <f>IF(ISNA(VLOOKUP(B15,AssociatedElements!B$2:B2953,1,FALSE)),"Not used","")</f>
        <v/>
      </c>
      <c r="B15" s="13" t="n"/>
      <c r="C15" s="18" t="n"/>
      <c r="D15" s="19" t="n"/>
      <c r="E15" s="18" t="n"/>
      <c r="F15" s="18" t="n"/>
      <c r="G15" s="9" t="n"/>
    </row>
    <row r="16">
      <c r="A16" s="2">
        <f>IF(ISNA(VLOOKUP(B16,AssociatedElements!B$2:B2954,1,FALSE)),"Not used","")</f>
        <v/>
      </c>
      <c r="B16" s="13" t="n"/>
      <c r="C16" s="18" t="n"/>
      <c r="D16" s="19" t="n"/>
      <c r="E16" s="18" t="n"/>
      <c r="F16" s="18" t="n"/>
      <c r="G16" s="9" t="n"/>
    </row>
    <row r="17">
      <c r="A17" s="2">
        <f>IF(ISNA(VLOOKUP(B17,AssociatedElements!B$2:B2955,1,FALSE)),"Not used","")</f>
        <v/>
      </c>
      <c r="B17" s="13" t="n"/>
      <c r="C17" s="18" t="n"/>
      <c r="D17" s="19" t="n"/>
      <c r="E17" s="18" t="n"/>
      <c r="F17" s="18" t="n"/>
      <c r="G17" s="9" t="n"/>
    </row>
    <row r="18">
      <c r="A18" s="2">
        <f>IF(ISNA(VLOOKUP(B18,AssociatedElements!B$2:B2956,1,FALSE)),"Not used","")</f>
        <v/>
      </c>
      <c r="B18" s="13" t="n"/>
      <c r="C18" s="18" t="n"/>
      <c r="D18" s="19" t="n"/>
      <c r="E18" s="18" t="n"/>
      <c r="F18" s="18" t="n"/>
      <c r="G18" s="9" t="n"/>
    </row>
    <row r="19">
      <c r="A19" s="2">
        <f>IF(ISNA(VLOOKUP(B19,AssociatedElements!B$2:B2957,1,FALSE)),"Not used","")</f>
        <v/>
      </c>
      <c r="B19" s="13" t="n"/>
      <c r="C19" s="18" t="n"/>
      <c r="D19" s="19" t="n"/>
      <c r="E19" s="18" t="n"/>
      <c r="F19" s="18" t="n"/>
      <c r="G19" s="9" t="n"/>
    </row>
    <row r="20">
      <c r="A20" s="2">
        <f>IF(ISNA(VLOOKUP(B20,AssociatedElements!B$2:B2958,1,FALSE)),"Not used","")</f>
        <v/>
      </c>
      <c r="B20" s="13" t="n"/>
      <c r="C20" s="18" t="n"/>
      <c r="D20" s="19" t="n"/>
      <c r="E20" s="18" t="n"/>
      <c r="F20" s="18" t="n"/>
      <c r="G20" s="9" t="n"/>
    </row>
    <row r="21">
      <c r="A21" s="2">
        <f>IF(ISNA(VLOOKUP(B21,AssociatedElements!B$2:B2959,1,FALSE)),"Not used","")</f>
        <v/>
      </c>
      <c r="B21" s="13" t="n"/>
      <c r="C21" s="18" t="n"/>
      <c r="D21" s="19" t="n"/>
      <c r="E21" s="18" t="n"/>
      <c r="F21" s="18" t="n"/>
      <c r="G21" s="9" t="n"/>
    </row>
    <row r="22">
      <c r="A22" s="2">
        <f>IF(ISNA(VLOOKUP(B22,AssociatedElements!B$2:B2960,1,FALSE)),"Not used","")</f>
        <v/>
      </c>
      <c r="B22" s="13" t="n"/>
      <c r="C22" s="18" t="n"/>
      <c r="D22" s="19" t="n"/>
      <c r="E22" s="18" t="n"/>
      <c r="F22" s="18" t="n"/>
      <c r="G22" s="9" t="n"/>
    </row>
    <row r="23">
      <c r="A23" s="2">
        <f>IF(ISNA(VLOOKUP(B23,AssociatedElements!B$2:B2961,1,FALSE)),"Not used","")</f>
        <v/>
      </c>
      <c r="B23" s="13" t="n"/>
      <c r="C23" s="18" t="n"/>
      <c r="D23" s="19" t="n"/>
      <c r="E23" s="18" t="n"/>
      <c r="F23" s="18" t="n"/>
      <c r="G23" s="9" t="n"/>
    </row>
    <row r="24">
      <c r="A24" s="2">
        <f>IF(ISNA(VLOOKUP(B24,AssociatedElements!B$2:B2962,1,FALSE)),"Not used","")</f>
        <v/>
      </c>
      <c r="D24" s="16" t="n"/>
      <c r="G24" s="9" t="n"/>
    </row>
    <row r="25">
      <c r="A25" s="2">
        <f>IF(ISNA(VLOOKUP(B25,AssociatedElements!B$2:B2963,1,FALSE)),"Not used","")</f>
        <v/>
      </c>
      <c r="B25" s="13" t="n"/>
      <c r="C25" s="13" t="n"/>
      <c r="E25" s="13" t="n"/>
      <c r="F25" s="13" t="n"/>
      <c r="G25" s="9" t="n"/>
    </row>
    <row r="26">
      <c r="A26" s="2">
        <f>IF(ISNA(VLOOKUP(B26,AssociatedElements!B$2:B2964,1,FALSE)),"Not used","")</f>
        <v/>
      </c>
      <c r="B26" s="13" t="n"/>
      <c r="C26" s="13" t="n"/>
      <c r="E26" s="13" t="n"/>
      <c r="F26" s="13" t="n"/>
      <c r="G26" s="9" t="n"/>
    </row>
    <row r="27">
      <c r="A27" s="2">
        <f>IF(ISNA(VLOOKUP(B27,AssociatedElements!B$2:B2965,1,FALSE)),"Not used","")</f>
        <v/>
      </c>
      <c r="B27" s="13" t="n"/>
      <c r="C27" s="13" t="n"/>
      <c r="D27" s="15" t="n"/>
      <c r="E27" s="13" t="n"/>
      <c r="F27" s="13" t="n"/>
      <c r="G27" s="9" t="n"/>
    </row>
    <row r="28">
      <c r="A28" s="2">
        <f>IF(ISNA(VLOOKUP(B28,AssociatedElements!B$2:B2966,1,FALSE)),"Not used","")</f>
        <v/>
      </c>
      <c r="B28" s="13" t="n"/>
      <c r="C28" s="13" t="n"/>
      <c r="D28" s="14" t="n"/>
      <c r="E28" s="13" t="n"/>
      <c r="F28" s="13" t="n"/>
      <c r="G28" s="9" t="n"/>
    </row>
    <row r="29">
      <c r="A29" s="2">
        <f>IF(ISNA(VLOOKUP(B29,AssociatedElements!B$2:B2967,1,FALSE)),"Not used","")</f>
        <v/>
      </c>
      <c r="B29" s="13" t="n"/>
      <c r="C29" s="13" t="n"/>
      <c r="D29" s="14" t="n"/>
      <c r="E29" s="13" t="n"/>
      <c r="F29" s="13" t="n"/>
      <c r="G29" s="9" t="n"/>
    </row>
    <row r="30">
      <c r="A30" s="2">
        <f>IF(ISNA(VLOOKUP(B30,AssociatedElements!B$2:B2968,1,FALSE)),"Not used","")</f>
        <v/>
      </c>
      <c r="B30" s="13" t="n"/>
      <c r="C30" s="13" t="n"/>
      <c r="D30" s="14" t="n"/>
      <c r="E30" s="13" t="n"/>
      <c r="F30" s="13" t="n"/>
      <c r="G30" s="9" t="n"/>
    </row>
    <row r="31">
      <c r="A31" s="2">
        <f>IF(ISNA(VLOOKUP(B31,AssociatedElements!B$2:B2969,1,FALSE)),"Not used","")</f>
        <v/>
      </c>
      <c r="B31" s="13" t="n"/>
      <c r="C31" s="18" t="n"/>
      <c r="D31" s="19" t="n"/>
      <c r="E31" s="18" t="n"/>
      <c r="F31" s="18" t="n"/>
      <c r="G31" s="9" t="n"/>
    </row>
    <row r="32">
      <c r="A32" s="2">
        <f>IF(ISNA(VLOOKUP(B32,AssociatedElements!B$2:B2970,1,FALSE)),"Not used","")</f>
        <v/>
      </c>
      <c r="B32" s="13" t="n"/>
      <c r="C32" s="18" t="n"/>
      <c r="D32" s="19" t="n"/>
      <c r="E32" s="18" t="n"/>
      <c r="F32" s="18" t="n"/>
      <c r="G32" s="9" t="n"/>
    </row>
    <row r="33">
      <c r="A33" s="2">
        <f>IF(ISNA(VLOOKUP(B33,AssociatedElements!B$2:B2971,1,FALSE)),"Not used","")</f>
        <v/>
      </c>
      <c r="B33" s="13" t="n"/>
      <c r="C33" s="18" t="n"/>
      <c r="D33" s="19" t="n"/>
      <c r="E33" s="18" t="n"/>
      <c r="F33" s="18" t="n"/>
      <c r="G33" s="9" t="n"/>
    </row>
    <row r="34">
      <c r="A34" s="2">
        <f>IF(ISNA(VLOOKUP(B34,AssociatedElements!B$2:B2972,1,FALSE)),"Not used","")</f>
        <v/>
      </c>
      <c r="B34" s="13" t="n"/>
      <c r="C34" s="18" t="n"/>
      <c r="D34" s="19" t="n"/>
      <c r="E34" s="18" t="n"/>
      <c r="F34" s="18" t="n"/>
      <c r="G34" s="9" t="n"/>
    </row>
    <row r="35">
      <c r="A35" s="2">
        <f>IF(ISNA(VLOOKUP(B35,AssociatedElements!B$2:B2973,1,FALSE)),"Not used","")</f>
        <v/>
      </c>
      <c r="B35" s="13" t="n"/>
      <c r="C35" s="18" t="n"/>
      <c r="D35" s="19" t="n"/>
      <c r="E35" s="18" t="n"/>
      <c r="F35" s="18" t="n"/>
      <c r="G35" s="9" t="n"/>
    </row>
    <row r="36">
      <c r="A36" s="2">
        <f>IF(ISNA(VLOOKUP(B36,AssociatedElements!B$2:B2974,1,FALSE)),"Not used","")</f>
        <v/>
      </c>
      <c r="B36" s="13" t="n"/>
      <c r="C36" s="18" t="n"/>
      <c r="D36" s="19" t="n"/>
      <c r="E36" s="18" t="n"/>
      <c r="F36" s="18" t="n"/>
      <c r="G36" s="9" t="n"/>
    </row>
    <row r="37">
      <c r="A37" s="2">
        <f>IF(ISNA(VLOOKUP(B37,AssociatedElements!B$2:B2975,1,FALSE)),"Not used","")</f>
        <v/>
      </c>
      <c r="G37" s="9" t="n"/>
    </row>
  </sheetData>
  <pageMargins left="0.7" right="0.7" top="0.75" bottom="0.75" header="0.3" footer="0.3"/>
  <pageSetup orientation="portrait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 codeName="Sheet3">
    <outlinePr summaryBelow="1" summaryRight="1"/>
    <pageSetUpPr/>
  </sheetPr>
  <dimension ref="A1:D37"/>
  <sheetViews>
    <sheetView zoomScale="120" zoomScaleNormal="120" workbookViewId="0">
      <pane ySplit="1" topLeftCell="A2" activePane="bottomLeft" state="frozen"/>
      <selection pane="bottomLeft" activeCell="C19" sqref="C19"/>
    </sheetView>
  </sheetViews>
  <sheetFormatPr baseColWidth="10" defaultColWidth="10.83203125" defaultRowHeight="16"/>
  <cols>
    <col width="6.83203125" customWidth="1" min="1" max="1"/>
    <col width="31.6640625" customWidth="1" min="2" max="2"/>
    <col width="86.1640625" customWidth="1" style="3" min="3" max="3"/>
    <col width="93" customWidth="1" min="4" max="4"/>
  </cols>
  <sheetData>
    <row r="1" customFormat="1" s="6">
      <c r="A1" s="4" t="inlineStr">
        <is>
          <t>Start</t>
        </is>
      </c>
      <c r="B1" s="4" t="inlineStr">
        <is>
          <t>ID</t>
        </is>
      </c>
      <c r="C1" s="5" t="inlineStr">
        <is>
          <t>SourceElement</t>
        </is>
      </c>
      <c r="D1" s="6" t="inlineStr">
        <is>
          <t>ConditionalElement</t>
        </is>
      </c>
    </row>
    <row r="2">
      <c r="A2">
        <f>IF(ISNA(VLOOKUP(B2,Definitions!B$2:B$999,1,FALSE)),"Not listed","")</f>
        <v/>
      </c>
      <c r="B2" s="2" t="inlineStr">
        <is>
          <t>quick_test</t>
        </is>
      </c>
      <c r="C2" t="inlineStr">
        <is>
          <t>//diggs:StaticLoadTest/diggs:loadingProcedure</t>
        </is>
      </c>
    </row>
    <row r="3">
      <c r="A3">
        <f>IF(ISNA(VLOOKUP(B3,Definitions!B$2:B$999,1,FALSE)),"Not listed","")</f>
        <v/>
      </c>
      <c r="B3" s="20" t="inlineStr">
        <is>
          <t>maintained_load</t>
        </is>
      </c>
      <c r="C3" t="inlineStr">
        <is>
          <t>//diggs:StaticLoadTest/diggs:loadingProcedure</t>
        </is>
      </c>
    </row>
    <row r="4">
      <c r="A4">
        <f>IF(ISNA(VLOOKUP(B4,Definitions!B$2:B$999,1,FALSE)),"Not listed","")</f>
        <v/>
      </c>
      <c r="B4" s="2" t="inlineStr">
        <is>
          <t>excess_loading</t>
        </is>
      </c>
      <c r="C4" t="inlineStr">
        <is>
          <t>//diggs:StaticLoadTest/diggs:loadingProcedure</t>
        </is>
      </c>
    </row>
    <row r="5">
      <c r="A5">
        <f>IF(ISNA(VLOOKUP(B5,Definitions!B$2:B$999,1,FALSE)),"Not listed","")</f>
        <v/>
      </c>
      <c r="B5" s="2" t="inlineStr">
        <is>
          <t>constant_time_interval</t>
        </is>
      </c>
      <c r="C5" t="inlineStr">
        <is>
          <t>//diggs:StaticLoadTest/diggs:loadingProcedure</t>
        </is>
      </c>
    </row>
    <row r="6">
      <c r="A6">
        <f>IF(ISNA(VLOOKUP(B6,Definitions!B$2:B$999,1,FALSE)),"Not listed","")</f>
        <v/>
      </c>
      <c r="B6" s="2" t="inlineStr">
        <is>
          <t>constant_rate_of_penetration</t>
        </is>
      </c>
      <c r="C6" t="inlineStr">
        <is>
          <t>//diggs:StaticLoadTest/diggs:loadingProcedure</t>
        </is>
      </c>
    </row>
    <row r="7">
      <c r="A7">
        <f>IF(ISNA(VLOOKUP(B7,Definitions!B$2:B$999,1,FALSE)),"Not listed","")</f>
        <v/>
      </c>
      <c r="B7" s="2" t="inlineStr">
        <is>
          <t>constant_movement_increment</t>
        </is>
      </c>
      <c r="C7" t="inlineStr">
        <is>
          <t>//diggs:StaticLoadTest/diggs:loadingProcedure</t>
        </is>
      </c>
    </row>
    <row r="8">
      <c r="A8">
        <f>IF(ISNA(VLOOKUP(B8,Definitions!B$2:B$999,1,FALSE)),"Not listed","")</f>
        <v/>
      </c>
      <c r="B8" s="2" t="inlineStr">
        <is>
          <t>cyclic_loading</t>
        </is>
      </c>
      <c r="C8" t="inlineStr">
        <is>
          <t>//diggs:StaticLoadTest/diggs:loadingProcedure</t>
        </is>
      </c>
    </row>
    <row r="9">
      <c r="A9">
        <f>IF(ISNA(VLOOKUP(B9,Definitions!B$2:B$1839,1,FALSE)),"Not listed","")</f>
        <v/>
      </c>
      <c r="B9" s="2" t="n"/>
    </row>
    <row r="10">
      <c r="A10">
        <f>IF(ISNA(VLOOKUP(B10,Definitions!B$2:B$1839,1,FALSE)),"Not listed","")</f>
        <v/>
      </c>
      <c r="B10" s="20" t="n"/>
    </row>
    <row r="11">
      <c r="A11">
        <f>IF(ISNA(VLOOKUP(B11,Definitions!B$2:B$1839,1,FALSE)),"Not listed","")</f>
        <v/>
      </c>
      <c r="B11" s="20" t="n"/>
    </row>
    <row r="12">
      <c r="A12">
        <f>IF(ISNA(VLOOKUP(B12,Definitions!B$2:B$1839,1,FALSE)),"Not listed","")</f>
        <v/>
      </c>
      <c r="B12" s="20" t="n"/>
    </row>
    <row r="13">
      <c r="A13">
        <f>IF(ISNA(VLOOKUP(B13,Definitions!B$2:B$1839,1,FALSE)),"Not listed","")</f>
        <v/>
      </c>
      <c r="B13" s="20" t="n"/>
    </row>
    <row r="14">
      <c r="A14">
        <f>IF(ISNA(VLOOKUP(B14,Definitions!B$2:B$1839,1,FALSE)),"Not listed","")</f>
        <v/>
      </c>
      <c r="B14" s="20" t="n"/>
    </row>
    <row r="15">
      <c r="A15">
        <f>IF(ISNA(VLOOKUP(B15,Definitions!B$2:B$1839,1,FALSE)),"Not listed","")</f>
        <v/>
      </c>
      <c r="B15" s="2" t="n"/>
    </row>
    <row r="16">
      <c r="A16">
        <f>IF(ISNA(VLOOKUP(B16,Definitions!B$2:B$1839,1,FALSE)),"Not listed","")</f>
        <v/>
      </c>
      <c r="B16" s="2" t="n"/>
    </row>
    <row r="17">
      <c r="A17">
        <f>IF(ISNA(VLOOKUP(B17,Definitions!B$2:B$1839,1,FALSE)),"Not listed","")</f>
        <v/>
      </c>
      <c r="B17" s="2" t="n"/>
    </row>
    <row r="18">
      <c r="A18">
        <f>IF(ISNA(VLOOKUP(B18,Definitions!B$2:B$1839,1,FALSE)),"Not listed","")</f>
        <v/>
      </c>
      <c r="B18" s="2" t="n"/>
    </row>
    <row r="19">
      <c r="A19">
        <f>IF(ISNA(VLOOKUP(B19,Definitions!B$2:B$1839,1,FALSE)),"Not listed","")</f>
        <v/>
      </c>
      <c r="B19" s="20" t="n"/>
    </row>
    <row r="20">
      <c r="A20">
        <f>IF(ISNA(VLOOKUP(B20,Definitions!B$2:B$1839,1,FALSE)),"Not listed","")</f>
        <v/>
      </c>
      <c r="B20" s="20" t="n"/>
    </row>
    <row r="21">
      <c r="A21">
        <f>IF(ISNA(VLOOKUP(B21,Definitions!B$2:B$1839,1,FALSE)),"Not listed","")</f>
        <v/>
      </c>
      <c r="B21" s="20" t="n"/>
    </row>
    <row r="22">
      <c r="A22">
        <f>IF(ISNA(VLOOKUP(B22,Definitions!B$2:B$1839,1,FALSE)),"Not listed","")</f>
        <v/>
      </c>
      <c r="B22" s="20" t="n"/>
    </row>
    <row r="23">
      <c r="A23">
        <f>IF(ISNA(VLOOKUP(B23,Definitions!B$2:B$1839,1,FALSE)),"Not listed","")</f>
        <v/>
      </c>
      <c r="B23" s="20" t="n"/>
    </row>
    <row r="24">
      <c r="A24">
        <f>IF(ISNA(VLOOKUP(B24,Definitions!B$2:B$1839,1,FALSE)),"Not listed","")</f>
        <v/>
      </c>
      <c r="B24" s="2" t="n"/>
    </row>
    <row r="25">
      <c r="A25">
        <f>IF(ISNA(VLOOKUP(B25,Definitions!B$2:B$1839,1,FALSE)),"Not listed","")</f>
        <v/>
      </c>
      <c r="B25" s="2" t="n"/>
    </row>
    <row r="26">
      <c r="A26">
        <f>IF(ISNA(VLOOKUP(B26,Definitions!B$2:B$1839,1,FALSE)),"Not listed","")</f>
        <v/>
      </c>
      <c r="B26" s="2" t="n"/>
    </row>
    <row r="27">
      <c r="A27">
        <f>IF(ISNA(VLOOKUP(B27,Definitions!B$2:B$1839,1,FALSE)),"Not listed","")</f>
        <v/>
      </c>
      <c r="B27" s="13" t="n"/>
    </row>
    <row r="28">
      <c r="A28">
        <f>IF(ISNA(VLOOKUP(B28,Definitions!B$2:B$1839,1,FALSE)),"Not listed","")</f>
        <v/>
      </c>
      <c r="B28" s="13" t="n"/>
    </row>
    <row r="29">
      <c r="A29">
        <f>IF(ISNA(VLOOKUP(B29,Definitions!B$2:B$1839,1,FALSE)),"Not listed","")</f>
        <v/>
      </c>
      <c r="B29" s="13" t="n"/>
    </row>
    <row r="30">
      <c r="A30">
        <f>IF(ISNA(VLOOKUP(B30,Definitions!B$2:B$1839,1,FALSE)),"Not listed","")</f>
        <v/>
      </c>
      <c r="B30" s="13" t="n"/>
    </row>
    <row r="31">
      <c r="A31">
        <f>IF(ISNA(VLOOKUP(B31,Definitions!B$2:B$1839,1,FALSE)),"Not listed","")</f>
        <v/>
      </c>
      <c r="B31" s="13" t="n"/>
    </row>
    <row r="32">
      <c r="A32">
        <f>IF(ISNA(VLOOKUP(B32,Definitions!B$2:B$1839,1,FALSE)),"Not listed","")</f>
        <v/>
      </c>
      <c r="B32" s="13" t="n"/>
    </row>
    <row r="33">
      <c r="A33">
        <f>IF(ISNA(VLOOKUP(B33,Definitions!B$2:B$1839,1,FALSE)),"Not listed","")</f>
        <v/>
      </c>
      <c r="B33" s="13" t="n"/>
    </row>
    <row r="34">
      <c r="A34">
        <f>IF(ISNA(VLOOKUP(B34,Definitions!B$2:B$1839,1,FALSE)),"Not listed","")</f>
        <v/>
      </c>
      <c r="B34" s="13" t="n"/>
    </row>
    <row r="35">
      <c r="A35">
        <f>IF(ISNA(VLOOKUP(B35,Definitions!B$2:B$1839,1,FALSE)),"Not listed","")</f>
        <v/>
      </c>
      <c r="B35" s="13" t="n"/>
    </row>
    <row r="36">
      <c r="A36">
        <f>IF(ISNA(VLOOKUP(B36,Definitions!B$2:B$1839,1,FALSE)),"Not listed","")</f>
        <v/>
      </c>
      <c r="B36" s="13" t="n"/>
    </row>
    <row r="37">
      <c r="A37">
        <f>IF(ISNA(VLOOKUP(B37,Definitions!B$2:B$1839,1,FALSE)),"Not listed","")</f>
        <v/>
      </c>
      <c r="B37" s="2" t="n"/>
    </row>
  </sheetData>
  <pageMargins left="0.7" right="0.7" top="0.75" bottom="0.75" header="0.3" footer="0.3"/>
  <pageSetup orientation="portrait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zoomScale="120" zoomScaleNormal="120" workbookViewId="0">
      <pane ySplit="1" topLeftCell="A2" activePane="bottomLeft" state="frozen"/>
      <selection pane="bottomLeft" activeCell="B8" sqref="B8"/>
    </sheetView>
  </sheetViews>
  <sheetFormatPr baseColWidth="10" defaultColWidth="10.83203125" defaultRowHeight="16"/>
  <cols>
    <col width="6.83203125" customWidth="1" min="1" max="1"/>
    <col width="31.6640625" customWidth="1" min="2" max="2"/>
    <col width="86.1640625" customWidth="1" style="3" min="3" max="3"/>
    <col width="93" customWidth="1" min="4" max="4"/>
  </cols>
  <sheetData>
    <row r="1" customFormat="1" s="6">
      <c r="A1" s="4" t="inlineStr">
        <is>
          <t>Start</t>
        </is>
      </c>
      <c r="B1" s="4" t="inlineStr">
        <is>
          <t>ID</t>
        </is>
      </c>
      <c r="C1" s="5" t="inlineStr">
        <is>
          <t>Name</t>
        </is>
      </c>
      <c r="D1" s="6" t="inlineStr">
        <is>
          <t>codeSpace</t>
        </is>
      </c>
    </row>
    <row r="2">
      <c r="A2">
        <f>IF(ISNA(VLOOKUP(B2,Definitions!B$2:B$1839,1,FALSE)),"Not listed","")</f>
        <v/>
      </c>
      <c r="B2" t="inlineStr">
        <is>
          <t>LFS</t>
        </is>
      </c>
      <c r="C2" s="3" t="inlineStr">
        <is>
          <t>An alternate name for the definition code given in ID</t>
        </is>
      </c>
      <c r="D2" t="inlineStr">
        <is>
          <t>A URI to provide context for the name. Typically this might identify an authority, a language. a dictionary, or some other metadata value</t>
        </is>
      </c>
    </row>
  </sheetData>
  <pageMargins left="0.7" right="0.7" top="0.75" bottom="0.75" header="0.3" footer="0.3"/>
  <pageSetup orientation="portrait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88"/>
  <sheetViews>
    <sheetView tabSelected="1" topLeftCell="A9" zoomScale="130" zoomScaleNormal="130" workbookViewId="0">
      <selection activeCell="E60" sqref="E60"/>
    </sheetView>
  </sheetViews>
  <sheetFormatPr baseColWidth="10" defaultColWidth="11" defaultRowHeight="16"/>
  <cols>
    <col width="21.1640625" customWidth="1" min="2" max="2"/>
    <col width="54.1640625" customWidth="1" min="3" max="3"/>
    <col width="39" customWidth="1" min="4" max="4"/>
    <col width="21.33203125" customWidth="1" min="5" max="5"/>
  </cols>
  <sheetData>
    <row r="1">
      <c r="A1" t="inlineStr">
        <is>
          <t>DataType</t>
        </is>
      </c>
      <c r="B1" t="inlineStr">
        <is>
          <t>DataType2</t>
        </is>
      </c>
      <c r="C1" t="inlineStr">
        <is>
          <t>QuantityClass</t>
        </is>
      </c>
      <c r="D1" t="inlineStr">
        <is>
          <t>Column2</t>
        </is>
      </c>
      <c r="E1" t="inlineStr">
        <is>
          <t>Column3</t>
        </is>
      </c>
    </row>
    <row r="2">
      <c r="B2" t="inlineStr">
        <is>
          <t>anyURI</t>
        </is>
      </c>
      <c r="C2" t="inlineStr">
        <is>
          <t>absorbed dose</t>
        </is>
      </c>
    </row>
    <row r="3">
      <c r="B3" t="inlineStr">
        <is>
          <t>base64binary</t>
        </is>
      </c>
      <c r="C3" t="inlineStr">
        <is>
          <t>activity [of radioactivity]</t>
        </is>
      </c>
    </row>
    <row r="4">
      <c r="B4" s="7" t="inlineStr">
        <is>
          <t>boolean</t>
        </is>
      </c>
      <c r="C4" t="inlineStr">
        <is>
          <t>amount of substance</t>
        </is>
      </c>
    </row>
    <row r="5">
      <c r="B5" s="7" t="inlineStr">
        <is>
          <t>byte</t>
        </is>
      </c>
      <c r="C5" t="inlineStr">
        <is>
          <t>amount of substance per amount of substance</t>
        </is>
      </c>
    </row>
    <row r="6">
      <c r="B6" t="inlineStr">
        <is>
          <t>date</t>
        </is>
      </c>
      <c r="C6" t="inlineStr">
        <is>
          <t>amount of substance per area</t>
        </is>
      </c>
    </row>
    <row r="7">
      <c r="B7" t="inlineStr">
        <is>
          <t>dateTime</t>
        </is>
      </c>
      <c r="C7" t="inlineStr">
        <is>
          <t>amount of substance per mass</t>
        </is>
      </c>
      <c r="D7" t="inlineStr">
        <is>
          <t>use for cation exchange capacity</t>
        </is>
      </c>
      <c r="E7" t="inlineStr">
        <is>
          <t>not yet used nor in EML Dictionary</t>
        </is>
      </c>
    </row>
    <row r="8">
      <c r="B8" t="inlineStr">
        <is>
          <t>decimal</t>
        </is>
      </c>
      <c r="C8" t="inlineStr">
        <is>
          <t>amount of substance per time</t>
        </is>
      </c>
    </row>
    <row r="9">
      <c r="B9" s="7" t="inlineStr">
        <is>
          <t>double</t>
        </is>
      </c>
      <c r="C9" t="inlineStr">
        <is>
          <t>(amount of substance per time) per area</t>
        </is>
      </c>
    </row>
    <row r="10">
      <c r="B10" t="inlineStr">
        <is>
          <t>duration</t>
        </is>
      </c>
      <c r="C10" t="inlineStr">
        <is>
          <t>amount of substance per volume</t>
        </is>
      </c>
    </row>
    <row r="11">
      <c r="B11" s="7" t="inlineStr">
        <is>
          <t>float</t>
        </is>
      </c>
      <c r="C11" t="inlineStr">
        <is>
          <t>angle per length</t>
        </is>
      </c>
    </row>
    <row r="12">
      <c r="B12" t="inlineStr">
        <is>
          <t>gDay</t>
        </is>
      </c>
      <c r="C12" t="inlineStr">
        <is>
          <t>angle per volume</t>
        </is>
      </c>
    </row>
    <row r="13">
      <c r="B13" t="inlineStr">
        <is>
          <t>gMonth</t>
        </is>
      </c>
      <c r="C13" t="inlineStr">
        <is>
          <t>angular acceleration</t>
        </is>
      </c>
    </row>
    <row r="14">
      <c r="B14" t="inlineStr">
        <is>
          <t>gMonthDay</t>
        </is>
      </c>
      <c r="C14" t="inlineStr">
        <is>
          <t>angular velocity</t>
        </is>
      </c>
    </row>
    <row r="15">
      <c r="B15" t="inlineStr">
        <is>
          <t>gYear</t>
        </is>
      </c>
      <c r="C15" t="inlineStr">
        <is>
          <t>api gamma ray</t>
        </is>
      </c>
    </row>
    <row r="16">
      <c r="B16" t="inlineStr">
        <is>
          <t>gYearMonth</t>
        </is>
      </c>
      <c r="C16" t="inlineStr">
        <is>
          <t>api gravity</t>
        </is>
      </c>
    </row>
    <row r="17">
      <c r="B17" t="inlineStr">
        <is>
          <t>hexBinary</t>
        </is>
      </c>
      <c r="C17" t="inlineStr">
        <is>
          <t>api neutron</t>
        </is>
      </c>
    </row>
    <row r="18">
      <c r="B18" t="inlineStr">
        <is>
          <t>integer</t>
        </is>
      </c>
      <c r="C18" t="inlineStr">
        <is>
          <t>area</t>
        </is>
      </c>
    </row>
    <row r="19">
      <c r="B19" t="inlineStr">
        <is>
          <t>language</t>
        </is>
      </c>
      <c r="C19" t="inlineStr">
        <is>
          <t>area per amount of substance</t>
        </is>
      </c>
    </row>
    <row r="20">
      <c r="B20" s="7" t="inlineStr">
        <is>
          <t>long</t>
        </is>
      </c>
      <c r="C20" t="inlineStr">
        <is>
          <t>area per area</t>
        </is>
      </c>
    </row>
    <row r="21">
      <c r="B21" t="inlineStr">
        <is>
          <t>negativeInteger</t>
        </is>
      </c>
      <c r="C21" t="inlineStr">
        <is>
          <t>area per count</t>
        </is>
      </c>
      <c r="D21" t="inlineStr">
        <is>
          <t>In EML schema but not in EML dictionary</t>
        </is>
      </c>
    </row>
    <row r="22">
      <c r="B22" t="inlineStr">
        <is>
          <t>nonNegativeInteger</t>
        </is>
      </c>
      <c r="C22" t="inlineStr">
        <is>
          <t>area per mass</t>
        </is>
      </c>
    </row>
    <row r="23">
      <c r="B23" t="inlineStr">
        <is>
          <t>nonPositiveInteger</t>
        </is>
      </c>
      <c r="C23" t="inlineStr">
        <is>
          <t>area per time</t>
        </is>
      </c>
    </row>
    <row r="24">
      <c r="B24" t="inlineStr">
        <is>
          <t>normalizedString</t>
        </is>
      </c>
      <c r="C24" t="inlineStr">
        <is>
          <t>area per volume</t>
        </is>
      </c>
    </row>
    <row r="25">
      <c r="B25" t="inlineStr">
        <is>
          <t>positiveInteger</t>
        </is>
      </c>
      <c r="C25" t="inlineStr">
        <is>
          <t>attenuation per frequency interval</t>
        </is>
      </c>
    </row>
    <row r="26">
      <c r="B26" t="inlineStr">
        <is>
          <t>short</t>
        </is>
      </c>
      <c r="C26" t="inlineStr">
        <is>
          <t>capacitance</t>
        </is>
      </c>
    </row>
    <row r="27">
      <c r="B27" s="7" t="inlineStr">
        <is>
          <t>string</t>
        </is>
      </c>
      <c r="C27" t="inlineStr">
        <is>
          <t>data transfer speed</t>
        </is>
      </c>
    </row>
    <row r="28">
      <c r="B28" s="7" t="inlineStr">
        <is>
          <t>string</t>
        </is>
      </c>
      <c r="C28" t="inlineStr">
        <is>
          <t>diffusion coefficient</t>
        </is>
      </c>
    </row>
    <row r="29">
      <c r="B29" t="inlineStr">
        <is>
          <t>time</t>
        </is>
      </c>
      <c r="C29" t="inlineStr">
        <is>
          <t>diffusive time of flight</t>
        </is>
      </c>
      <c r="D29" t="inlineStr">
        <is>
          <t>In EML schema but not in EML dictionary</t>
        </is>
      </c>
    </row>
    <row r="30">
      <c r="B30" t="inlineStr">
        <is>
          <t>token</t>
        </is>
      </c>
      <c r="C30" t="inlineStr">
        <is>
          <t>digital storage</t>
        </is>
      </c>
    </row>
    <row r="31">
      <c r="B31" t="inlineStr">
        <is>
          <t>unsignedByte</t>
        </is>
      </c>
      <c r="C31" t="inlineStr">
        <is>
          <t>dimensionless</t>
        </is>
      </c>
    </row>
    <row r="32">
      <c r="B32" t="inlineStr">
        <is>
          <t>unsignedInt</t>
        </is>
      </c>
      <c r="C32" t="inlineStr">
        <is>
          <t>dipole moment</t>
        </is>
      </c>
    </row>
    <row r="33">
      <c r="B33" t="inlineStr">
        <is>
          <t>unsignedLong</t>
        </is>
      </c>
      <c r="C33" t="inlineStr">
        <is>
          <t>dose equivalent</t>
        </is>
      </c>
    </row>
    <row r="34">
      <c r="B34" t="inlineStr">
        <is>
          <t>unsignedShort</t>
        </is>
      </c>
      <c r="C34" t="inlineStr">
        <is>
          <t>dynamic viscosity</t>
        </is>
      </c>
    </row>
    <row r="35">
      <c r="B35" s="7" t="inlineStr">
        <is>
          <t>vector</t>
        </is>
      </c>
      <c r="C35" t="inlineStr">
        <is>
          <t>electric charge</t>
        </is>
      </c>
    </row>
    <row r="36">
      <c r="C36" t="inlineStr">
        <is>
          <t>electric charge per area</t>
        </is>
      </c>
    </row>
    <row r="37">
      <c r="C37" t="inlineStr">
        <is>
          <t>electric charge per mass</t>
        </is>
      </c>
    </row>
    <row r="38">
      <c r="C38" t="inlineStr">
        <is>
          <t>electric charge per volume</t>
        </is>
      </c>
    </row>
    <row r="39">
      <c r="C39" t="inlineStr">
        <is>
          <t>electric conductance</t>
        </is>
      </c>
    </row>
    <row r="40">
      <c r="C40" t="inlineStr">
        <is>
          <t>electric conductivity</t>
        </is>
      </c>
    </row>
    <row r="41">
      <c r="C41" t="inlineStr">
        <is>
          <t>electric current</t>
        </is>
      </c>
    </row>
    <row r="42">
      <c r="C42" t="inlineStr">
        <is>
          <t>electric current density</t>
        </is>
      </c>
    </row>
    <row r="43">
      <c r="C43" t="inlineStr">
        <is>
          <t>electric field strength</t>
        </is>
      </c>
    </row>
    <row r="44">
      <c r="C44" t="inlineStr">
        <is>
          <t>electric potential difference</t>
        </is>
      </c>
    </row>
    <row r="45">
      <c r="C45" t="inlineStr">
        <is>
          <t>electric resistance</t>
        </is>
      </c>
    </row>
    <row r="46">
      <c r="C46" t="inlineStr">
        <is>
          <t>electric resistance per length</t>
        </is>
      </c>
    </row>
    <row r="47">
      <c r="C47" t="inlineStr">
        <is>
          <t>electrical resistivity</t>
        </is>
      </c>
    </row>
    <row r="48">
      <c r="C48" t="inlineStr">
        <is>
          <t>electromagnetic moment</t>
        </is>
      </c>
    </row>
    <row r="49">
      <c r="C49" t="inlineStr">
        <is>
          <t>energy</t>
        </is>
      </c>
    </row>
    <row r="50">
      <c r="C50" t="inlineStr">
        <is>
          <t>energy length per area</t>
        </is>
      </c>
    </row>
    <row r="51">
      <c r="C51" t="inlineStr">
        <is>
          <t>energy length per time area temperature</t>
        </is>
      </c>
    </row>
    <row r="52">
      <c r="C52" t="inlineStr">
        <is>
          <t>energy per area</t>
        </is>
      </c>
    </row>
    <row r="53">
      <c r="C53" t="inlineStr">
        <is>
          <t>energy per length</t>
        </is>
      </c>
    </row>
    <row r="54">
      <c r="C54" t="inlineStr">
        <is>
          <t>energy per mass</t>
        </is>
      </c>
    </row>
    <row r="55">
      <c r="C55" t="inlineStr">
        <is>
          <t>(energy per mass) per time</t>
        </is>
      </c>
    </row>
    <row r="56">
      <c r="C56" t="inlineStr">
        <is>
          <t>energy per volume</t>
        </is>
      </c>
    </row>
    <row r="57">
      <c r="C57" t="inlineStr">
        <is>
          <t>force</t>
        </is>
      </c>
    </row>
    <row r="58">
      <c r="C58" t="inlineStr">
        <is>
          <t>force area</t>
        </is>
      </c>
    </row>
    <row r="59">
      <c r="C59" t="inlineStr">
        <is>
          <t>force length per length</t>
        </is>
      </c>
    </row>
    <row r="60">
      <c r="C60" t="inlineStr">
        <is>
          <t>force or mass per volume</t>
        </is>
      </c>
      <c r="D60" t="inlineStr">
        <is>
          <t>use for geotechnical densities</t>
        </is>
      </c>
    </row>
    <row r="61">
      <c r="C61" t="inlineStr">
        <is>
          <t>force per force</t>
        </is>
      </c>
    </row>
    <row r="62">
      <c r="C62" t="inlineStr">
        <is>
          <t>force per length</t>
        </is>
      </c>
    </row>
    <row r="63">
      <c r="C63" t="inlineStr">
        <is>
          <t>force per volume</t>
        </is>
      </c>
    </row>
    <row r="64">
      <c r="C64" t="inlineStr">
        <is>
          <t>frequency</t>
        </is>
      </c>
    </row>
    <row r="65">
      <c r="C65" t="inlineStr">
        <is>
          <t>frequency interval</t>
        </is>
      </c>
    </row>
    <row r="66">
      <c r="C66" t="inlineStr">
        <is>
          <t>gravitational gradient</t>
        </is>
      </c>
      <c r="D66" t="inlineStr">
        <is>
          <t>use for gravity gradients</t>
        </is>
      </c>
      <c r="E66" t="inlineStr">
        <is>
          <t>Inow in EML dictionary</t>
        </is>
      </c>
    </row>
    <row r="67">
      <c r="C67" t="inlineStr">
        <is>
          <t>heat capacity</t>
        </is>
      </c>
    </row>
    <row r="68">
      <c r="C68" t="inlineStr">
        <is>
          <t>heat flow rate</t>
        </is>
      </c>
    </row>
    <row r="69">
      <c r="C69" t="inlineStr">
        <is>
          <t>heat transfer coefficient</t>
        </is>
      </c>
    </row>
    <row r="70">
      <c r="C70" t="inlineStr">
        <is>
          <t>illuminance</t>
        </is>
      </c>
    </row>
    <row r="71">
      <c r="C71" t="inlineStr">
        <is>
          <t>inductance</t>
        </is>
      </c>
    </row>
    <row r="72">
      <c r="C72" t="inlineStr">
        <is>
          <t>isothermal compressibility</t>
        </is>
      </c>
    </row>
    <row r="73">
      <c r="C73" t="inlineStr">
        <is>
          <t>kinematic viscosity</t>
        </is>
      </c>
    </row>
    <row r="74">
      <c r="C74" t="inlineStr">
        <is>
          <t>length</t>
        </is>
      </c>
    </row>
    <row r="75">
      <c r="C75" t="inlineStr">
        <is>
          <t>length per length</t>
        </is>
      </c>
    </row>
    <row r="76">
      <c r="C76" t="inlineStr">
        <is>
          <t>length per mass</t>
        </is>
      </c>
    </row>
    <row r="77">
      <c r="C77" t="inlineStr">
        <is>
          <t>length per pressure</t>
        </is>
      </c>
    </row>
    <row r="78">
      <c r="C78" t="inlineStr">
        <is>
          <t>length per temperature</t>
        </is>
      </c>
    </row>
    <row r="79">
      <c r="C79" t="inlineStr">
        <is>
          <t>length per time</t>
        </is>
      </c>
    </row>
    <row r="80">
      <c r="C80" t="inlineStr">
        <is>
          <t>length per volume</t>
        </is>
      </c>
    </row>
    <row r="81">
      <c r="C81" t="inlineStr">
        <is>
          <t>light exposure</t>
        </is>
      </c>
    </row>
    <row r="82">
      <c r="C82" t="inlineStr">
        <is>
          <t>linear acceleration</t>
        </is>
      </c>
    </row>
    <row r="83">
      <c r="C83" t="inlineStr">
        <is>
          <t>linear thermal expansion</t>
        </is>
      </c>
    </row>
    <row r="84">
      <c r="C84" t="inlineStr">
        <is>
          <t>logarithmic power ratio</t>
        </is>
      </c>
    </row>
    <row r="85">
      <c r="C85" t="inlineStr">
        <is>
          <t>logarithmic power ratio per length</t>
        </is>
      </c>
    </row>
    <row r="86">
      <c r="C86" t="inlineStr">
        <is>
          <t>luminance</t>
        </is>
      </c>
    </row>
    <row r="87">
      <c r="C87" t="inlineStr">
        <is>
          <t>luminous efficacy</t>
        </is>
      </c>
    </row>
    <row r="88">
      <c r="C88" t="inlineStr">
        <is>
          <t>luminous flux</t>
        </is>
      </c>
    </row>
    <row r="89">
      <c r="C89" t="inlineStr">
        <is>
          <t>luminous intensity</t>
        </is>
      </c>
    </row>
    <row r="90">
      <c r="C90" t="inlineStr">
        <is>
          <t>magnetic dipole moment</t>
        </is>
      </c>
    </row>
    <row r="91">
      <c r="C91" t="inlineStr">
        <is>
          <t>magnetic field strength</t>
        </is>
      </c>
    </row>
    <row r="92">
      <c r="C92" t="inlineStr">
        <is>
          <t>magnetic flux</t>
        </is>
      </c>
    </row>
    <row r="93">
      <c r="C93" t="inlineStr">
        <is>
          <t>magnetic flux density</t>
        </is>
      </c>
    </row>
    <row r="94">
      <c r="C94" t="inlineStr">
        <is>
          <t>magnetic flux density per length</t>
        </is>
      </c>
    </row>
    <row r="95">
      <c r="C95" t="inlineStr">
        <is>
          <t>magnetic permeability</t>
        </is>
      </c>
    </row>
    <row r="96">
      <c r="C96" t="inlineStr">
        <is>
          <t>magnetic vector potential</t>
        </is>
      </c>
    </row>
    <row r="97">
      <c r="C97" t="inlineStr">
        <is>
          <t>mass</t>
        </is>
      </c>
    </row>
    <row r="98">
      <c r="C98" t="inlineStr">
        <is>
          <t>mass length</t>
        </is>
      </c>
    </row>
    <row r="99">
      <c r="C99" t="inlineStr">
        <is>
          <t>mass per area</t>
        </is>
      </c>
    </row>
    <row r="100">
      <c r="C100" t="inlineStr">
        <is>
          <t>mass per energy</t>
        </is>
      </c>
    </row>
    <row r="101">
      <c r="C101" t="inlineStr">
        <is>
          <t>mass per length</t>
        </is>
      </c>
    </row>
    <row r="102">
      <c r="C102" t="inlineStr">
        <is>
          <t>mass per mass</t>
        </is>
      </c>
    </row>
    <row r="103">
      <c r="C103" t="inlineStr">
        <is>
          <t>mass per time</t>
        </is>
      </c>
    </row>
    <row r="104">
      <c r="C104" t="inlineStr">
        <is>
          <t>(mass per time) per area</t>
        </is>
      </c>
    </row>
    <row r="105">
      <c r="C105" t="inlineStr">
        <is>
          <t>(mass per time) per length</t>
        </is>
      </c>
    </row>
    <row r="106">
      <c r="C106" t="inlineStr">
        <is>
          <t>mass per volume</t>
        </is>
      </c>
    </row>
    <row r="107">
      <c r="C107" t="inlineStr">
        <is>
          <t>(mass per volume) per length</t>
        </is>
      </c>
    </row>
    <row r="108">
      <c r="C108" t="inlineStr">
        <is>
          <t>(mass per volume) per pressure</t>
        </is>
      </c>
      <c r="D108" t="inlineStr">
        <is>
          <t>In EML schema but not in EML dictionary</t>
        </is>
      </c>
    </row>
    <row r="109">
      <c r="C109" t="inlineStr">
        <is>
          <t>(mass per volume) per temperature</t>
        </is>
      </c>
      <c r="D109" t="inlineStr">
        <is>
          <t>In EML schema but not in EML dictionary</t>
        </is>
      </c>
    </row>
    <row r="110">
      <c r="C110" t="inlineStr">
        <is>
          <t>mobility</t>
        </is>
      </c>
    </row>
    <row r="111">
      <c r="C111" t="inlineStr">
        <is>
          <t>molar energy</t>
        </is>
      </c>
    </row>
    <row r="112">
      <c r="C112" t="inlineStr">
        <is>
          <t>molar heat capacity</t>
        </is>
      </c>
    </row>
    <row r="113">
      <c r="C113" t="inlineStr">
        <is>
          <t>molar volume</t>
        </is>
      </c>
    </row>
    <row r="114">
      <c r="C114" t="inlineStr">
        <is>
          <t>molecular weight</t>
        </is>
      </c>
    </row>
    <row r="115">
      <c r="C115" t="inlineStr">
        <is>
          <t>moment of force</t>
        </is>
      </c>
    </row>
    <row r="116">
      <c r="C116" t="inlineStr">
        <is>
          <t>moment of inertia</t>
        </is>
      </c>
    </row>
    <row r="117">
      <c r="C117" t="inlineStr">
        <is>
          <t>momentum</t>
        </is>
      </c>
    </row>
    <row r="118">
      <c r="C118" t="inlineStr">
        <is>
          <t>normalized power</t>
        </is>
      </c>
    </row>
    <row r="119">
      <c r="C119" t="inlineStr">
        <is>
          <t>permeability length</t>
        </is>
      </c>
    </row>
    <row r="120">
      <c r="C120" t="inlineStr">
        <is>
          <t>permeability rock</t>
        </is>
      </c>
    </row>
    <row r="121">
      <c r="C121" t="inlineStr">
        <is>
          <t>permittivity</t>
        </is>
      </c>
    </row>
    <row r="122">
      <c r="C122" t="inlineStr">
        <is>
          <t>plane angle</t>
        </is>
      </c>
    </row>
    <row r="123">
      <c r="C123" t="inlineStr">
        <is>
          <t>potential difference per power drop</t>
        </is>
      </c>
    </row>
    <row r="124">
      <c r="C124" t="inlineStr">
        <is>
          <t>power</t>
        </is>
      </c>
    </row>
    <row r="125">
      <c r="C125" t="inlineStr">
        <is>
          <t>power per area</t>
        </is>
      </c>
    </row>
    <row r="126">
      <c r="C126" t="inlineStr">
        <is>
          <t>power per power</t>
        </is>
      </c>
    </row>
    <row r="127">
      <c r="C127" t="inlineStr">
        <is>
          <t>power per volume</t>
        </is>
      </c>
    </row>
    <row r="128">
      <c r="C128" t="inlineStr">
        <is>
          <t>pressure</t>
        </is>
      </c>
    </row>
    <row r="129">
      <c r="C129" t="inlineStr">
        <is>
          <t>pressure per pressure</t>
        </is>
      </c>
      <c r="E129" t="inlineStr">
        <is>
          <t>Now in dictonary</t>
        </is>
      </c>
    </row>
    <row r="130">
      <c r="C130" t="inlineStr">
        <is>
          <t>pressure per time</t>
        </is>
      </c>
    </row>
    <row r="131">
      <c r="C131" t="inlineStr">
        <is>
          <t>pressure per volume</t>
        </is>
      </c>
    </row>
    <row r="132">
      <c r="C132" t="inlineStr">
        <is>
          <t>pressure squared</t>
        </is>
      </c>
    </row>
    <row r="133">
      <c r="C133" t="inlineStr">
        <is>
          <t>pressure squared per (force time per area)</t>
        </is>
      </c>
    </row>
    <row r="134">
      <c r="C134" t="inlineStr">
        <is>
          <t>pressure time per volume</t>
        </is>
      </c>
    </row>
    <row r="135">
      <c r="C135" t="inlineStr">
        <is>
          <t>quantity of light</t>
        </is>
      </c>
    </row>
    <row r="136">
      <c r="C136" t="inlineStr">
        <is>
          <t>radiance</t>
        </is>
      </c>
    </row>
    <row r="137">
      <c r="C137" t="inlineStr">
        <is>
          <t>radiant intensity</t>
        </is>
      </c>
    </row>
    <row r="138">
      <c r="C138" t="inlineStr">
        <is>
          <t>reciprocal area</t>
        </is>
      </c>
    </row>
    <row r="139">
      <c r="C139" t="inlineStr">
        <is>
          <t>reciprocal electric potential difference</t>
        </is>
      </c>
    </row>
    <row r="140">
      <c r="C140" t="inlineStr">
        <is>
          <t>reciprocal force</t>
        </is>
      </c>
    </row>
    <row r="141">
      <c r="C141" t="inlineStr">
        <is>
          <t>reciprocal length</t>
        </is>
      </c>
    </row>
    <row r="142">
      <c r="C142" t="inlineStr">
        <is>
          <t>reciprocal mass</t>
        </is>
      </c>
    </row>
    <row r="143">
      <c r="C143" t="inlineStr">
        <is>
          <t>reciprocal (mass time)</t>
        </is>
      </c>
    </row>
    <row r="144">
      <c r="C144" t="inlineStr">
        <is>
          <t>reciprocal pressure</t>
        </is>
      </c>
    </row>
    <row r="145">
      <c r="C145" t="inlineStr">
        <is>
          <t>reciprocal time</t>
        </is>
      </c>
    </row>
    <row r="146">
      <c r="C146" t="inlineStr">
        <is>
          <t>reciprocal volume</t>
        </is>
      </c>
    </row>
    <row r="147">
      <c r="C147" t="inlineStr">
        <is>
          <t>relative rate</t>
        </is>
      </c>
      <c r="D147" t="inlineStr">
        <is>
          <t>use for strain rate</t>
        </is>
      </c>
    </row>
    <row r="148">
      <c r="C148" t="inlineStr">
        <is>
          <t>reluctance</t>
        </is>
      </c>
    </row>
    <row r="149">
      <c r="C149" t="inlineStr">
        <is>
          <t>second moment of area</t>
        </is>
      </c>
    </row>
    <row r="150">
      <c r="C150" t="inlineStr">
        <is>
          <t>signaling event per time</t>
        </is>
      </c>
    </row>
    <row r="151">
      <c r="C151" t="inlineStr">
        <is>
          <t>solid angle</t>
        </is>
      </c>
    </row>
    <row r="152">
      <c r="C152" t="inlineStr">
        <is>
          <t>specific heat capacity</t>
        </is>
      </c>
    </row>
    <row r="153">
      <c r="C153" t="inlineStr">
        <is>
          <t>temperature interval</t>
        </is>
      </c>
    </row>
    <row r="154">
      <c r="C154" t="inlineStr">
        <is>
          <t>temperature interval per length</t>
        </is>
      </c>
    </row>
    <row r="155">
      <c r="C155" t="inlineStr">
        <is>
          <t>temperature interval per pressure</t>
        </is>
      </c>
    </row>
    <row r="156">
      <c r="C156" t="inlineStr">
        <is>
          <t>temperature interval per time</t>
        </is>
      </c>
    </row>
    <row r="157">
      <c r="C157" t="inlineStr">
        <is>
          <t>thermal conductance</t>
        </is>
      </c>
    </row>
    <row r="158">
      <c r="C158" t="inlineStr">
        <is>
          <t>thermal conductivity</t>
        </is>
      </c>
    </row>
    <row r="159">
      <c r="C159" t="inlineStr">
        <is>
          <t>thermal diffusivity</t>
        </is>
      </c>
    </row>
    <row r="160">
      <c r="C160" t="inlineStr">
        <is>
          <t>thermal insulance</t>
        </is>
      </c>
    </row>
    <row r="161">
      <c r="C161" t="inlineStr">
        <is>
          <t>thermal resistance</t>
        </is>
      </c>
    </row>
    <row r="162">
      <c r="C162" t="inlineStr">
        <is>
          <t>thermodynamic temperature</t>
        </is>
      </c>
    </row>
    <row r="163">
      <c r="C163" t="inlineStr">
        <is>
          <t>thermodynamic temperature per thermodynamic temperature</t>
        </is>
      </c>
      <c r="D163" t="inlineStr">
        <is>
          <t>In EML schema but not in EML dictionary</t>
        </is>
      </c>
    </row>
    <row r="164">
      <c r="C164" t="inlineStr">
        <is>
          <t>time</t>
        </is>
      </c>
    </row>
    <row r="165">
      <c r="C165" t="inlineStr">
        <is>
          <t>time per length</t>
        </is>
      </c>
    </row>
    <row r="166">
      <c r="C166" t="inlineStr">
        <is>
          <t>time per mass</t>
        </is>
      </c>
    </row>
    <row r="167">
      <c r="C167" t="inlineStr">
        <is>
          <t>time per time</t>
        </is>
      </c>
    </row>
    <row r="168">
      <c r="C168" t="inlineStr">
        <is>
          <t>time per volume</t>
        </is>
      </c>
    </row>
    <row r="169">
      <c r="C169" t="inlineStr">
        <is>
          <t>volume</t>
        </is>
      </c>
    </row>
    <row r="170">
      <c r="C170" t="inlineStr">
        <is>
          <t>volume flow rate per volume flow rate</t>
        </is>
      </c>
    </row>
    <row r="171">
      <c r="C171" t="inlineStr">
        <is>
          <t>volume per area</t>
        </is>
      </c>
    </row>
    <row r="172">
      <c r="C172" t="inlineStr">
        <is>
          <t>volume per length</t>
        </is>
      </c>
    </row>
    <row r="173">
      <c r="C173" t="inlineStr">
        <is>
          <t>volume per mass</t>
        </is>
      </c>
    </row>
    <row r="174">
      <c r="C174" t="inlineStr">
        <is>
          <t>volume per pressure</t>
        </is>
      </c>
    </row>
    <row r="175">
      <c r="C175" t="inlineStr">
        <is>
          <t>volume per rotation</t>
        </is>
      </c>
    </row>
    <row r="176">
      <c r="C176" t="inlineStr">
        <is>
          <t>volume per time</t>
        </is>
      </c>
    </row>
    <row r="177">
      <c r="C177" t="inlineStr">
        <is>
          <t>(volume per time) length</t>
        </is>
      </c>
    </row>
    <row r="178">
      <c r="C178" t="inlineStr">
        <is>
          <t>(volume per time) per area</t>
        </is>
      </c>
    </row>
    <row r="179">
      <c r="C179" t="inlineStr">
        <is>
          <t>(volume per time) per length</t>
        </is>
      </c>
    </row>
    <row r="180">
      <c r="C180" t="inlineStr">
        <is>
          <t>(volume per time) per pressure</t>
        </is>
      </c>
    </row>
    <row r="181">
      <c r="C181" t="inlineStr">
        <is>
          <t>(volume per time) per (pressure length)</t>
        </is>
      </c>
    </row>
    <row r="182">
      <c r="C182" t="inlineStr">
        <is>
          <t>(volume per time) per time</t>
        </is>
      </c>
    </row>
    <row r="183">
      <c r="C183" t="inlineStr">
        <is>
          <t>(volume per time) per volume</t>
        </is>
      </c>
    </row>
    <row r="184">
      <c r="C184" t="inlineStr">
        <is>
          <t>volume per volume</t>
        </is>
      </c>
    </row>
    <row r="185">
      <c r="C185" t="inlineStr">
        <is>
          <t>volumetric heat transfer coefficient</t>
        </is>
      </c>
    </row>
    <row r="186">
      <c r="C186" t="inlineStr">
        <is>
          <t>volumetric thermal expansion</t>
        </is>
      </c>
    </row>
    <row r="187">
      <c r="C187" t="inlineStr">
        <is>
          <t>reciprocal time(0.5)</t>
        </is>
      </c>
      <c r="D187" t="inlineStr">
        <is>
          <t>used for pressure filtration</t>
        </is>
      </c>
    </row>
    <row r="188">
      <c r="C188" t="inlineStr">
        <is>
          <t>volume or mass loss</t>
        </is>
      </c>
      <c r="D188" t="inlineStr">
        <is>
          <t>used for pressure filtration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Microsoft Office User</dc:creator>
  <dcterms:created xsi:type="dcterms:W3CDTF">2018-10-28T20:07:54Z</dcterms:created>
  <dcterms:modified xsi:type="dcterms:W3CDTF">2026-08-31T22:03:55Z</dcterms:modified>
  <cp:lastModifiedBy>Ponti, Daniel J</cp:lastModifiedBy>
</cp:coreProperties>
</file>