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verificationType</t>
        </is>
      </c>
      <c r="C3" s="12" t="inlineStr">
        <is>
          <t>verificationType</t>
        </is>
      </c>
      <c r="D3" s="12" t="inlineStr">
        <is>
          <t>DIGGS Design Verification Type Codelist Definitions</t>
        </is>
      </c>
      <c r="E3" s="2" t="inlineStr">
        <is>
          <t>Codes naming the kind of design check a diggs:DesignVerification records - buckling, shear, global stability, and so on. Mandatory: a verification reported without stating what kind of check it is, is not interpretable. Used for the value of diggs:DesignVerificationType/diggs:verificationType.</t>
        </is>
      </c>
    </row>
    <row r="4" ht="17" customHeight="1">
      <c r="A4" s="2" t="n"/>
      <c r="B4" s="2" t="n"/>
      <c r="D4" s="2" t="n"/>
      <c r="E4" s="2" t="inlineStr">
        <is>
          <t> </t>
        </is>
      </c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buckling</t>
        </is>
      </c>
      <c r="C2" s="13" t="inlineStr">
        <is>
          <t>Buckling check</t>
        </is>
      </c>
      <c r="D2" s="14" t="inlineStr">
        <is>
          <t>A structural stability check against elastic or inelastic buckling of the column.</t>
        </is>
      </c>
      <c r="E2" s="13" t="inlineStr">
        <is>
          <t>string</t>
        </is>
      </c>
      <c r="F2" s="13" t="n"/>
      <c r="G2" s="9" t="inlineStr">
        <is>
          <t>DIGGS</t>
        </is>
      </c>
    </row>
    <row r="3">
      <c r="A3" s="2">
        <f>IF(ISNA(VLOOKUP(B3,AssociatedElements!B$2:B2941,1,FALSE)),"Not used","")</f>
        <v/>
      </c>
      <c r="B3" s="13" t="inlineStr">
        <is>
          <t>shear</t>
        </is>
      </c>
      <c r="C3" s="13" t="inlineStr">
        <is>
          <t>Shear check</t>
        </is>
      </c>
      <c r="D3" s="14" t="inlineStr">
        <is>
          <t>A structural check against shear failure of the column.</t>
        </is>
      </c>
      <c r="E3" s="13" t="inlineStr">
        <is>
          <t>string</t>
        </is>
      </c>
      <c r="F3" s="13" t="n"/>
      <c r="G3" s="9" t="inlineStr">
        <is>
          <t>DIGGS</t>
        </is>
      </c>
    </row>
    <row r="4">
      <c r="A4" s="2">
        <f>IF(ISNA(VLOOKUP(B4,AssociatedElements!B$2:B2942,1,FALSE)),"Not used","")</f>
        <v/>
      </c>
      <c r="B4" t="inlineStr">
        <is>
          <t>global_stability</t>
        </is>
      </c>
      <c r="C4" t="inlineStr">
        <is>
          <t>Global / slope stability check</t>
        </is>
      </c>
      <c r="D4" t="inlineStr">
        <is>
          <t>An overall slope or global stability check of the treated ground mass.</t>
        </is>
      </c>
      <c r="E4" t="inlineStr">
        <is>
          <t>string</t>
        </is>
      </c>
      <c r="G4" s="9" t="inlineStr">
        <is>
          <t>DIGGS</t>
        </is>
      </c>
    </row>
    <row r="5">
      <c r="A5" s="2">
        <f>IF(ISNA(VLOOKUP(B5,AssociatedElements!B$2:B2943,1,FALSE)),"Not used","")</f>
        <v/>
      </c>
      <c r="B5" s="13" t="inlineStr">
        <is>
          <t>lateral_spreading</t>
        </is>
      </c>
      <c r="C5" s="13" t="inlineStr">
        <is>
          <t>Lateral spreading check</t>
        </is>
      </c>
      <c r="D5" s="14" t="inlineStr">
        <is>
          <t>A check against lateral spreading of the treated ground, typically near a slope or free face.</t>
        </is>
      </c>
      <c r="E5" s="13" t="inlineStr">
        <is>
          <t>string</t>
        </is>
      </c>
      <c r="F5" s="13" t="n"/>
      <c r="G5" s="9" t="inlineStr">
        <is>
          <t>DIGGS</t>
        </is>
      </c>
    </row>
    <row r="6">
      <c r="A6" s="2">
        <f>IF(ISNA(VLOOKUP(B6,AssociatedElements!B$2:B2944,1,FALSE)),"Not used","")</f>
        <v/>
      </c>
      <c r="B6" t="inlineStr">
        <is>
          <t>seismic</t>
        </is>
      </c>
      <c r="C6" s="16" t="inlineStr">
        <is>
          <t>Seismic check</t>
        </is>
      </c>
      <c r="D6" s="16" t="inlineStr">
        <is>
          <t>A design check against seismic demand, distinct from the static case.</t>
        </is>
      </c>
      <c r="E6" s="17" t="inlineStr">
        <is>
          <t>string</t>
        </is>
      </c>
      <c r="G6" s="9" t="inlineStr">
        <is>
          <t>DIGGS</t>
        </is>
      </c>
    </row>
    <row r="7">
      <c r="A7" s="2">
        <f>IF(ISNA(VLOOKUP(B7,AssociatedElements!B$2:B2945,1,FALSE)),"Not used","")</f>
        <v/>
      </c>
      <c r="B7" t="inlineStr">
        <is>
          <t>liquefaction</t>
        </is>
      </c>
      <c r="C7" t="inlineStr">
        <is>
          <t>Liquefaction check</t>
        </is>
      </c>
      <c r="D7" t="inlineStr">
        <is>
          <t>A check against liquefaction of the surrounding or underlying soil under seismic loading.</t>
        </is>
      </c>
      <c r="E7" t="inlineStr">
        <is>
          <t>string</t>
        </is>
      </c>
      <c r="G7" s="9" t="inlineStr">
        <is>
          <t>DIGGS</t>
        </is>
      </c>
    </row>
    <row r="8">
      <c r="A8" s="2">
        <f>IF(ISNA(VLOOKUP(B8,AssociatedElements!B$2:B2946,1,FALSE)),"Not used","")</f>
        <v/>
      </c>
      <c r="B8" t="inlineStr">
        <is>
          <t>punching</t>
        </is>
      </c>
      <c r="C8" t="inlineStr">
        <is>
          <t>Punching check</t>
        </is>
      </c>
      <c r="D8" t="inlineStr">
        <is>
          <t>A check against punching failure of the column into a weaker underlying stratum.</t>
        </is>
      </c>
      <c r="E8" t="inlineStr">
        <is>
          <t>string</t>
        </is>
      </c>
      <c r="G8" s="9" t="inlineStr">
        <is>
          <t>DIGGS</t>
        </is>
      </c>
    </row>
    <row r="9">
      <c r="A9" s="2">
        <f>IF(ISNA(VLOOKUP(B9,AssociatedElements!B$2:B2947,1,FALSE)),"Not used","")</f>
        <v/>
      </c>
      <c r="B9" t="inlineStr">
        <is>
          <t>structural_axial</t>
        </is>
      </c>
      <c r="C9" s="16" t="inlineStr">
        <is>
          <t>Structural axial check</t>
        </is>
      </c>
      <c r="D9" s="16" t="inlineStr">
        <is>
          <t>A structural check of the column's axial capacity against the applied axial demand.</t>
        </is>
      </c>
      <c r="E9" s="17" t="inlineStr">
        <is>
          <t>string</t>
        </is>
      </c>
      <c r="G9" s="9" t="inlineStr">
        <is>
          <t>DIGGS</t>
        </is>
      </c>
    </row>
    <row r="10">
      <c r="A10" s="2">
        <f>IF(ISNA(VLOOKUP(B10,AssociatedElements!B$2:B2948,1,FALSE)),"Not used","")</f>
        <v/>
      </c>
      <c r="B10" s="13" t="inlineStr">
        <is>
          <t>termination_criterion_trial_validation</t>
        </is>
      </c>
      <c r="C10" s="13" t="inlineStr">
        <is>
          <t>Pre-production trial validation of termination criterion</t>
        </is>
      </c>
      <c r="D10" s="14" t="inlineStr">
        <is>
          <t>Records the outcome of a pre-production indicator or trial column programme run to correlate drilling response against stratigraphy and confirm that the design's termination/refusal criterion is appropriate before production installation begins (V2 Installation row 43). Reuses diggs:DesignVerification's generic demand/capacity/outcome shape rather than a bespoke trial-programme object: the trial columns it draws on are already identifiable as diggs:RIColumn features whose samplingFeatureRef is absent (the schema's existing convention for a trial column), and this entry lets the correlation and validation performed against them be recorded as a verification like any other design check, with the specific columns and correlation reasoning carried in remark.</t>
        </is>
      </c>
      <c r="E10" s="13" t="inlineStr">
        <is>
          <t>string</t>
        </is>
      </c>
      <c r="F10" s="13" t="n"/>
      <c r="G10" s="9" t="inlineStr">
        <is>
          <t>DIGGS</t>
        </is>
      </c>
    </row>
    <row r="11">
      <c r="A11" s="2">
        <f>IF(ISNA(VLOOKUP(B11,AssociatedElements!B$2:B2949,1,FALSE)),"Not used","")</f>
        <v/>
      </c>
      <c r="B11" s="13" t="n"/>
      <c r="C11" s="13" t="n"/>
      <c r="D11" s="14" t="n"/>
      <c r="E11" s="13" t="n"/>
      <c r="F11" s="13" t="n"/>
      <c r="G11" s="9" t="n"/>
    </row>
    <row r="12">
      <c r="A12" s="2">
        <f>IF(ISNA(VLOOKUP(B12,AssociatedElements!B$2:B2950,1,FALSE)),"Not used","")</f>
        <v/>
      </c>
      <c r="B12" s="13" t="n"/>
      <c r="C12" s="13" t="n"/>
      <c r="D12" s="14" t="n"/>
      <c r="E12" s="13" t="n"/>
      <c r="F12" s="13" t="n"/>
      <c r="G12" s="9" t="n"/>
    </row>
    <row r="13">
      <c r="A13" s="2">
        <f>IF(ISNA(VLOOKUP(B13,AssociatedElements!B$2:B2951,1,FALSE)),"Not used","")</f>
        <v/>
      </c>
      <c r="B13" s="13" t="n"/>
      <c r="C13" s="13" t="n"/>
      <c r="D13" s="14" t="n"/>
      <c r="E13" s="13" t="n"/>
      <c r="F13" s="13" t="n"/>
      <c r="G13" s="9" t="n"/>
    </row>
    <row r="14">
      <c r="A14" s="2">
        <f>IF(ISNA(VLOOKUP(B14,AssociatedElements!B$2:B2952,1,FALSE)),"Not used","")</f>
        <v/>
      </c>
      <c r="B14" s="13" t="n"/>
      <c r="C14" s="13" t="n"/>
      <c r="D14" s="14" t="n"/>
      <c r="E14" s="13" t="n"/>
      <c r="F14" s="13" t="n"/>
      <c r="G14" s="9" t="n"/>
    </row>
    <row r="15">
      <c r="A15" s="2">
        <f>IF(ISNA(VLOOKUP(B15,AssociatedElements!B$2:B2953,1,FALSE)),"Not used","")</f>
        <v/>
      </c>
      <c r="B15" s="13" t="n"/>
      <c r="C15" s="18" t="n"/>
      <c r="D15" s="19" t="n"/>
      <c r="E15" s="18" t="n"/>
      <c r="F15" s="18" t="n"/>
      <c r="G15" s="9" t="n"/>
    </row>
    <row r="16">
      <c r="A16" s="2">
        <f>IF(ISNA(VLOOKUP(B16,AssociatedElements!B$2:B2954,1,FALSE)),"Not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IF(ISNA(VLOOKUP(B17,AssociatedElements!B$2:B2955,1,FALSE)),"Not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IF(ISNA(VLOOKUP(B18,AssociatedElements!B$2:B2956,1,FALSE)),"Not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IF(ISNA(VLOOKUP(B19,AssociatedElements!B$2:B2957,1,FALSE)),"Not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IF(ISNA(VLOOKUP(B20,AssociatedElements!B$2:B2958,1,FALSE)),"Not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IF(ISNA(VLOOKUP(B21,AssociatedElements!B$2:B2959,1,FALSE)),"Not used","")</f>
        <v/>
      </c>
      <c r="B21" s="13" t="n"/>
      <c r="C21" s="18" t="n"/>
      <c r="D21" s="19" t="n"/>
      <c r="E21" s="18" t="n"/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buckling</t>
        </is>
      </c>
      <c r="C2" t="inlineStr">
        <is>
          <t>//diggs:DesignVerification/diggs:verificationType</t>
        </is>
      </c>
    </row>
    <row r="3">
      <c r="A3">
        <f>IF(ISNA(VLOOKUP(B3,Definitions!B$2:B$1839,1,FALSE)),"Not listed","")</f>
        <v/>
      </c>
      <c r="B3" s="20" t="inlineStr">
        <is>
          <t>shear</t>
        </is>
      </c>
      <c r="C3" t="inlineStr">
        <is>
          <t>//diggs:DesignVerification/diggs:verificationType</t>
        </is>
      </c>
    </row>
    <row r="4">
      <c r="A4">
        <f>IF(ISNA(VLOOKUP(B4,Definitions!B$2:B$1839,1,FALSE)),"Not listed","")</f>
        <v/>
      </c>
      <c r="B4" s="2" t="inlineStr">
        <is>
          <t>global_stability</t>
        </is>
      </c>
      <c r="C4" t="inlineStr">
        <is>
          <t>//diggs:DesignVerification/diggs:verificationType</t>
        </is>
      </c>
    </row>
    <row r="5">
      <c r="A5">
        <f>IF(ISNA(VLOOKUP(B5,Definitions!B$2:B$1839,1,FALSE)),"Not listed","")</f>
        <v/>
      </c>
      <c r="B5" s="2" t="inlineStr">
        <is>
          <t>lateral_spreading</t>
        </is>
      </c>
      <c r="C5" t="inlineStr">
        <is>
          <t>//diggs:DesignVerification/diggs:verificationType</t>
        </is>
      </c>
    </row>
    <row r="6">
      <c r="A6">
        <f>IF(ISNA(VLOOKUP(B6,Definitions!B$2:B$1839,1,FALSE)),"Not listed","")</f>
        <v/>
      </c>
      <c r="B6" s="2" t="inlineStr">
        <is>
          <t>seismic</t>
        </is>
      </c>
      <c r="C6" t="inlineStr">
        <is>
          <t>//diggs:DesignVerification/diggs:verificationType</t>
        </is>
      </c>
    </row>
    <row r="7">
      <c r="A7">
        <f>IF(ISNA(VLOOKUP(B7,Definitions!B$2:B$1839,1,FALSE)),"Not listed","")</f>
        <v/>
      </c>
      <c r="B7" s="2" t="inlineStr">
        <is>
          <t>liquefaction</t>
        </is>
      </c>
      <c r="C7" t="inlineStr">
        <is>
          <t>//diggs:DesignVerification/diggs:verificationType</t>
        </is>
      </c>
    </row>
    <row r="8">
      <c r="A8">
        <f>IF(ISNA(VLOOKUP(B8,Definitions!B$2:B$1839,1,FALSE)),"Not listed","")</f>
        <v/>
      </c>
      <c r="B8" s="2" t="inlineStr">
        <is>
          <t>punching</t>
        </is>
      </c>
      <c r="C8" t="inlineStr">
        <is>
          <t>//diggs:DesignVerification/diggs:verificationType</t>
        </is>
      </c>
    </row>
    <row r="9">
      <c r="A9">
        <f>IF(ISNA(VLOOKUP(B9,Definitions!B$2:B$1839,1,FALSE)),"Not listed","")</f>
        <v/>
      </c>
      <c r="B9" s="2" t="inlineStr">
        <is>
          <t>structural_axial</t>
        </is>
      </c>
      <c r="C9" t="inlineStr">
        <is>
          <t>//diggs:DesignVerification/diggs:verificationType</t>
        </is>
      </c>
    </row>
    <row r="10">
      <c r="A10">
        <f>IF(ISNA(VLOOKUP(B10,Definitions!B$2:B$1839,1,FALSE)),"Not listed","")</f>
        <v/>
      </c>
      <c r="B10" s="20" t="inlineStr">
        <is>
          <t>termination_criterion_trial_validation</t>
        </is>
      </c>
      <c r="C10" t="inlineStr">
        <is>
          <t>//diggs:DesignVerification/diggs:verificationType</t>
        </is>
      </c>
    </row>
    <row r="11">
      <c r="A11">
        <f>IF(ISNA(VLOOKUP(B11,Definitions!B$2:B$1839,1,FALSE)),"Not listed","")</f>
        <v/>
      </c>
      <c r="B11" s="20" t="n"/>
    </row>
    <row r="12">
      <c r="A12">
        <f>IF(ISNA(VLOOKUP(B12,Definitions!B$2:B$1839,1,FALSE)),"Not listed","")</f>
        <v/>
      </c>
      <c r="B12" s="20" t="n"/>
    </row>
    <row r="13">
      <c r="A13">
        <f>IF(ISNA(VLOOKUP(B13,Definitions!B$2:B$1839,1,FALSE)),"Not listed","")</f>
        <v/>
      </c>
      <c r="B13" s="20" t="n"/>
    </row>
    <row r="14">
      <c r="A14">
        <f>IF(ISNA(VLOOKUP(B14,Definitions!B$2:B$1839,1,FALSE)),"Not listed","")</f>
        <v/>
      </c>
      <c r="B14" s="20" t="n"/>
    </row>
    <row r="15">
      <c r="A15">
        <f>IF(ISNA(VLOOKUP(B15,Definitions!B$2:B$1839,1,FALSE)),"Not listed","")</f>
        <v/>
      </c>
      <c r="B15" s="2" t="n"/>
    </row>
    <row r="16">
      <c r="A16">
        <f>IF(ISNA(VLOOKUP(B16,Definitions!B$2:B$1839,1,FALSE)),"Not listed","")</f>
        <v/>
      </c>
      <c r="B16" s="2" t="n"/>
    </row>
    <row r="17">
      <c r="A17">
        <f>IF(ISNA(VLOOKUP(B17,Definitions!B$2:B$1839,1,FALSE)),"Not listed","")</f>
        <v/>
      </c>
      <c r="B17" s="2" t="n"/>
    </row>
    <row r="18">
      <c r="A18">
        <f>IF(ISNA(VLOOKUP(B18,Definitions!B$2:B$1839,1,FALSE)),"Not listed","")</f>
        <v/>
      </c>
      <c r="B18" s="2" t="n"/>
    </row>
    <row r="19">
      <c r="A19">
        <f>IF(ISNA(VLOOKUP(B19,Definitions!B$2:B$1839,1,FALSE)),"Not listed","")</f>
        <v/>
      </c>
      <c r="B19" s="20" t="n"/>
    </row>
    <row r="20">
      <c r="A20">
        <f>IF(ISNA(VLOOKUP(B20,Definitions!B$2:B$1839,1,FALSE)),"Not listed","")</f>
        <v/>
      </c>
      <c r="B20" s="20" t="n"/>
    </row>
    <row r="21">
      <c r="A21">
        <f>IF(ISNA(VLOOKUP(B21,Definitions!B$2:B$1839,1,FALSE)),"Not listed","")</f>
        <v/>
      </c>
      <c r="B21" s="20" t="n"/>
    </row>
    <row r="22">
      <c r="A22">
        <f>IF(ISNA(VLOOKUP(B22,Definitions!B$2:B$1839,1,FALSE)),"Not listed","")</f>
        <v/>
      </c>
      <c r="B22" s="20" t="n"/>
    </row>
    <row r="23">
      <c r="A23">
        <f>IF(ISNA(VLOOKUP(B23,Definitions!B$2:B$1839,1,FALSE)),"Not listed","")</f>
        <v/>
      </c>
      <c r="B23" s="20" t="n"/>
    </row>
    <row r="24">
      <c r="A24">
        <f>IF(ISNA(VLOOKUP(B24,Definitions!B$2:B$1839,1,FALSE)),"Not listed","")</f>
        <v/>
      </c>
      <c r="B24" s="2" t="n"/>
    </row>
    <row r="25">
      <c r="A25">
        <f>IF(ISNA(VLOOKUP(B25,Definitions!B$2:B$1839,1,FALSE)),"Not listed","")</f>
        <v/>
      </c>
      <c r="B25" s="2" t="n"/>
    </row>
    <row r="26">
      <c r="A26">
        <f>IF(ISNA(VLOOKUP(B26,Definitions!B$2:B$1839,1,FALSE)),"Not listed","")</f>
        <v/>
      </c>
      <c r="B26" s="2" t="n"/>
    </row>
    <row r="27">
      <c r="A27">
        <f>IF(ISNA(VLOOKUP(B27,Definitions!B$2:B$1839,1,FALSE)),"Not listed","")</f>
        <v/>
      </c>
      <c r="B27" s="13" t="n"/>
    </row>
    <row r="28">
      <c r="A28">
        <f>IF(ISNA(VLOOKUP(B28,Definitions!B$2:B$1839,1,FALSE)),"Not listed","")</f>
        <v/>
      </c>
      <c r="B28" s="13" t="n"/>
    </row>
    <row r="29">
      <c r="A29">
        <f>IF(ISNA(VLOOKUP(B29,Definitions!B$2:B$1839,1,FALSE)),"Not listed","")</f>
        <v/>
      </c>
      <c r="B29" s="13" t="n"/>
    </row>
    <row r="30">
      <c r="A30">
        <f>IF(ISNA(VLOOKUP(B30,Definitions!B$2:B$1839,1,FALSE)),"Not listed","")</f>
        <v/>
      </c>
      <c r="B30" s="13" t="n"/>
    </row>
    <row r="31">
      <c r="A31">
        <f>IF(ISNA(VLOOKUP(B31,Definitions!B$2:B$1839,1,FALSE)),"Not listed","")</f>
        <v/>
      </c>
      <c r="B31" s="13" t="n"/>
    </row>
    <row r="32">
      <c r="A32">
        <f>IF(ISNA(VLOOKUP(B32,Definitions!B$2:B$1839,1,FALSE)),"Not listed","")</f>
        <v/>
      </c>
      <c r="B32" s="13" t="n"/>
    </row>
    <row r="33">
      <c r="A33">
        <f>IF(ISNA(VLOOKUP(B33,Definitions!B$2:B$1839,1,FALSE)),"Not listed","")</f>
        <v/>
      </c>
      <c r="B33" s="13" t="n"/>
    </row>
    <row r="34">
      <c r="A34">
        <f>IF(ISNA(VLOOKUP(B34,Definitions!B$2:B$1839,1,FALSE)),"Not listed","")</f>
        <v/>
      </c>
      <c r="B34" s="13" t="n"/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B2" t="inlineStr">
        <is>
          <t>LFS</t>
        </is>
      </c>
      <c r="C2" s="3" t="inlineStr">
        <is>
          <t>An alternate name for the definition code given in ID</t>
        </is>
      </c>
      <c r="D2" t="inlineStr">
        <is>
          <t>A URI to provide context for the name. Typically this might identify an authority, a language. a dictionary, or some other metadata value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2026-08-19T01:12:52Z</dcterms:modified>
  <cp:lastModifiedBy>Ponti, Daniel J</cp:lastModifiedBy>
</cp:coreProperties>
</file>